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jinkim/Dropbox (CSU Fullerton)/GitHub/Fundraising-Data-Analysis/"/>
    </mc:Choice>
  </mc:AlternateContent>
  <xr:revisionPtr revIDLastSave="0" documentId="13_ncr:1_{E6BABB74-475B-B64E-ACF5-3BC4F922A131}" xr6:coauthVersionLast="44" xr6:coauthVersionMax="44" xr10:uidLastSave="{00000000-0000-0000-0000-000000000000}"/>
  <bookViews>
    <workbookView xWindow="37980" yWindow="2800" windowWidth="28800" windowHeight="17540" xr2:uid="{00000000-000D-0000-FFFF-FFFF00000000}"/>
  </bookViews>
  <sheets>
    <sheet name="Sheet1" sheetId="50" r:id="rId1"/>
    <sheet name="Data" sheetId="49" r:id="rId2"/>
    <sheet name="2017JAN" sheetId="36" r:id="rId3"/>
    <sheet name="2017FEB" sheetId="37" r:id="rId4"/>
    <sheet name="2017MAR" sheetId="38" r:id="rId5"/>
    <sheet name="2017APR" sheetId="39" r:id="rId6"/>
    <sheet name="2017MAY" sheetId="40" r:id="rId7"/>
    <sheet name="2017JUN" sheetId="41" r:id="rId8"/>
    <sheet name="2017JUL" sheetId="42" r:id="rId9"/>
    <sheet name="2017AUG" sheetId="43" r:id="rId10"/>
    <sheet name="2017SEP" sheetId="44" r:id="rId11"/>
    <sheet name="2017OCT" sheetId="45" r:id="rId12"/>
    <sheet name="2017NOV" sheetId="46" r:id="rId13"/>
    <sheet name="2017DEC" sheetId="47" r:id="rId14"/>
    <sheet name="2018JAN" sheetId="15" r:id="rId15"/>
    <sheet name="2018FEB" sheetId="16" r:id="rId16"/>
    <sheet name="2018MAR" sheetId="17" r:id="rId17"/>
    <sheet name="2018APR" sheetId="18" r:id="rId18"/>
    <sheet name="2018MAY" sheetId="19" r:id="rId19"/>
    <sheet name="2018JUN" sheetId="20" r:id="rId20"/>
    <sheet name="2018JUL" sheetId="21" r:id="rId21"/>
    <sheet name="2018AUG" sheetId="22" r:id="rId22"/>
    <sheet name="2018SEP" sheetId="23" r:id="rId23"/>
    <sheet name="2018OCT" sheetId="24" r:id="rId24"/>
    <sheet name="2018NOV" sheetId="25" r:id="rId25"/>
    <sheet name="2018DEC" sheetId="26" r:id="rId26"/>
    <sheet name="2019JAN" sheetId="27" r:id="rId27"/>
    <sheet name="2019FEB" sheetId="28" r:id="rId28"/>
    <sheet name="2019MAR" sheetId="29" r:id="rId29"/>
    <sheet name="2019APR" sheetId="30" r:id="rId30"/>
    <sheet name="2019MAY" sheetId="31" r:id="rId31"/>
    <sheet name="2019JUN" sheetId="32" r:id="rId32"/>
  </sheets>
  <definedNames>
    <definedName name="_xlnm.Print_Area" localSheetId="5">'2017APR'!$A$1:$M$151</definedName>
    <definedName name="_xlnm.Print_Area" localSheetId="9">'2017AUG'!$A$1:$M$151</definedName>
    <definedName name="_xlnm.Print_Area" localSheetId="13">'2017DEC'!$A$1:$M$151</definedName>
    <definedName name="_xlnm.Print_Area" localSheetId="3">'2017FEB'!$A$1:$M$151</definedName>
    <definedName name="_xlnm.Print_Area" localSheetId="2">'2017JAN'!$A$1:$M$151</definedName>
    <definedName name="_xlnm.Print_Area" localSheetId="8">'2017JUL'!$A$1:$M$151</definedName>
    <definedName name="_xlnm.Print_Area" localSheetId="7">'2017JUN'!$A$1:$M$151</definedName>
    <definedName name="_xlnm.Print_Area" localSheetId="4">'2017MAR'!$A$1:$M$151</definedName>
    <definedName name="_xlnm.Print_Area" localSheetId="6">'2017MAY'!$A$1:$M$151</definedName>
    <definedName name="_xlnm.Print_Area" localSheetId="12">'2017NOV'!$A$1:$M$151</definedName>
    <definedName name="_xlnm.Print_Area" localSheetId="11">'2017OCT'!$A$1:$M$151</definedName>
    <definedName name="_xlnm.Print_Area" localSheetId="10">'2017SEP'!$A$1:$M$151</definedName>
    <definedName name="_xlnm.Print_Area" localSheetId="17">'2018APR'!$A$1:$M$168</definedName>
    <definedName name="_xlnm.Print_Area" localSheetId="21">'2018AUG'!$A$1:$M$168</definedName>
    <definedName name="_xlnm.Print_Area" localSheetId="25">'2018DEC'!$A$1:$M$168</definedName>
    <definedName name="_xlnm.Print_Area" localSheetId="15">'2018FEB'!$A$1:$M$168</definedName>
    <definedName name="_xlnm.Print_Area" localSheetId="14">'2018JAN'!$A$1:$M$168</definedName>
    <definedName name="_xlnm.Print_Area" localSheetId="20">'2018JUL'!$A$1:$M$168</definedName>
    <definedName name="_xlnm.Print_Area" localSheetId="19">'2018JUN'!$A$1:$M$168</definedName>
    <definedName name="_xlnm.Print_Area" localSheetId="16">'2018MAR'!$A$1:$M$168</definedName>
    <definedName name="_xlnm.Print_Area" localSheetId="18">'2018MAY'!$A$1:$M$168</definedName>
    <definedName name="_xlnm.Print_Area" localSheetId="24">'2018NOV'!$A$1:$M$168</definedName>
    <definedName name="_xlnm.Print_Area" localSheetId="23">'2018OCT'!$A$1:$M$168</definedName>
    <definedName name="_xlnm.Print_Area" localSheetId="22">'2018SEP'!$A$1:$M$168</definedName>
    <definedName name="_xlnm.Print_Area" localSheetId="29">'2019APR'!$A$1:$M$168</definedName>
    <definedName name="_xlnm.Print_Area" localSheetId="27">'2019FEB'!$A$1:$M$168</definedName>
    <definedName name="_xlnm.Print_Area" localSheetId="26">'2019JAN'!$A$1:$M$168</definedName>
    <definedName name="_xlnm.Print_Area" localSheetId="31">'2019JUN'!$A$1:$M$168</definedName>
    <definedName name="_xlnm.Print_Area" localSheetId="28">'2019MAR'!$A$1:$M$168</definedName>
    <definedName name="_xlnm.Print_Area" localSheetId="30">'2019MAY'!$A$1:$M$168</definedName>
  </definedNames>
  <calcPr calcId="191029"/>
  <pivotCaches>
    <pivotCache cacheId="3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5" l="1"/>
  <c r="D2" i="49"/>
  <c r="D6" i="49"/>
  <c r="D10" i="49"/>
  <c r="D14" i="49"/>
  <c r="D18" i="49"/>
  <c r="D22" i="49"/>
  <c r="D26" i="49"/>
  <c r="D30" i="49"/>
  <c r="K31" i="49"/>
  <c r="AA31" i="49"/>
  <c r="AQ31" i="49"/>
  <c r="T31" i="49"/>
  <c r="AJ31" i="49"/>
  <c r="I31" i="49"/>
  <c r="Y31" i="49"/>
  <c r="AO31" i="49"/>
  <c r="N31" i="49"/>
  <c r="AD31" i="49"/>
  <c r="AQ15" i="49"/>
  <c r="AQ25" i="49"/>
  <c r="AQ20" i="49"/>
  <c r="AQ29" i="49"/>
  <c r="AQ14" i="49"/>
  <c r="AP27" i="49"/>
  <c r="AP28" i="49"/>
  <c r="AP29" i="49"/>
  <c r="AP30" i="49"/>
  <c r="AQ11" i="49"/>
  <c r="D7" i="49"/>
  <c r="D11" i="49"/>
  <c r="D15" i="49"/>
  <c r="D19" i="49"/>
  <c r="D23" i="49"/>
  <c r="D27" i="49"/>
  <c r="D31" i="49"/>
  <c r="O31" i="49"/>
  <c r="AE31" i="49"/>
  <c r="H31" i="49"/>
  <c r="X31" i="49"/>
  <c r="AN31" i="49"/>
  <c r="M31" i="49"/>
  <c r="AC31" i="49"/>
  <c r="AS31" i="49"/>
  <c r="R31" i="49"/>
  <c r="AH31" i="49"/>
  <c r="AQ19" i="49"/>
  <c r="AQ18" i="49"/>
  <c r="AQ24" i="49"/>
  <c r="AQ22" i="49"/>
  <c r="AP14" i="49"/>
  <c r="AP16" i="49"/>
  <c r="AP17" i="49"/>
  <c r="AP18" i="49"/>
  <c r="AP23" i="49"/>
  <c r="D4" i="49"/>
  <c r="D8" i="49"/>
  <c r="D12" i="49"/>
  <c r="D16" i="49"/>
  <c r="D20" i="49"/>
  <c r="D24" i="49"/>
  <c r="D28" i="49"/>
  <c r="C31" i="49"/>
  <c r="S31" i="49"/>
  <c r="AI31" i="49"/>
  <c r="L31" i="49"/>
  <c r="AB31" i="49"/>
  <c r="AR31" i="49"/>
  <c r="Q31" i="49"/>
  <c r="AG31" i="49"/>
  <c r="F31" i="49"/>
  <c r="V31" i="49"/>
  <c r="AL31" i="49"/>
  <c r="AQ23" i="49"/>
  <c r="AQ26" i="49"/>
  <c r="AQ28" i="49"/>
  <c r="AQ30" i="49"/>
  <c r="AP15" i="49"/>
  <c r="AP20" i="49"/>
  <c r="AP21" i="49"/>
  <c r="AP22" i="49"/>
  <c r="AN14" i="49"/>
  <c r="D5" i="49"/>
  <c r="D9" i="49"/>
  <c r="D17" i="49"/>
  <c r="D21" i="49"/>
  <c r="D25" i="49"/>
  <c r="D29" i="49"/>
  <c r="W31" i="49"/>
  <c r="AM31" i="49"/>
  <c r="AF31" i="49"/>
  <c r="U31" i="49"/>
  <c r="J31" i="49"/>
  <c r="Z31" i="49"/>
  <c r="AQ27" i="49"/>
  <c r="AQ21" i="49"/>
  <c r="AQ17" i="49"/>
  <c r="AP19" i="49"/>
  <c r="AP25" i="49"/>
  <c r="AP26" i="49"/>
  <c r="D3" i="49"/>
  <c r="D13" i="49"/>
  <c r="G31" i="49"/>
  <c r="P31" i="49"/>
  <c r="E31" i="49"/>
  <c r="AK31" i="49"/>
  <c r="AP31" i="49"/>
  <c r="AQ16" i="49"/>
  <c r="AP24" i="49"/>
  <c r="AP13" i="49"/>
  <c r="A138" i="47" l="1"/>
  <c r="E109" i="47"/>
  <c r="D109" i="47"/>
  <c r="F106" i="47"/>
  <c r="E106" i="47"/>
  <c r="D106" i="47"/>
  <c r="E105" i="47"/>
  <c r="D105" i="47"/>
  <c r="D107" i="47" s="1"/>
  <c r="F104" i="47"/>
  <c r="E104" i="47"/>
  <c r="D104" i="47"/>
  <c r="F103" i="47"/>
  <c r="F102" i="47"/>
  <c r="E101" i="47"/>
  <c r="D101" i="47"/>
  <c r="F100" i="47"/>
  <c r="F99" i="47"/>
  <c r="E97" i="47"/>
  <c r="D97" i="47"/>
  <c r="F96" i="47"/>
  <c r="E96" i="47"/>
  <c r="E108" i="47" s="1"/>
  <c r="D96" i="47"/>
  <c r="D108" i="47" s="1"/>
  <c r="E95" i="47"/>
  <c r="D95" i="47"/>
  <c r="F94" i="47"/>
  <c r="F93" i="47"/>
  <c r="F92" i="47"/>
  <c r="E92" i="47"/>
  <c r="D92" i="47"/>
  <c r="F91" i="47"/>
  <c r="F90" i="47"/>
  <c r="E89" i="47"/>
  <c r="F89" i="47" s="1"/>
  <c r="D89" i="47"/>
  <c r="F88" i="47"/>
  <c r="F87" i="47"/>
  <c r="F86" i="47"/>
  <c r="E86" i="47"/>
  <c r="D86" i="47"/>
  <c r="F85" i="47"/>
  <c r="F84" i="47"/>
  <c r="D77" i="47"/>
  <c r="D76" i="47"/>
  <c r="E75" i="47"/>
  <c r="D75" i="47"/>
  <c r="D74" i="47"/>
  <c r="E73" i="47"/>
  <c r="F72" i="47"/>
  <c r="F71" i="47"/>
  <c r="E71" i="47"/>
  <c r="D71" i="47"/>
  <c r="E70" i="47"/>
  <c r="E76" i="47" s="1"/>
  <c r="F76" i="47" s="1"/>
  <c r="F69" i="47"/>
  <c r="D68" i="47"/>
  <c r="D67" i="47"/>
  <c r="D66" i="47"/>
  <c r="D65" i="47"/>
  <c r="E64" i="47"/>
  <c r="F64" i="47" s="1"/>
  <c r="E63" i="47"/>
  <c r="D62" i="47"/>
  <c r="E61" i="47"/>
  <c r="F60" i="47"/>
  <c r="E60" i="47"/>
  <c r="E58" i="47"/>
  <c r="D58" i="47"/>
  <c r="F57" i="47"/>
  <c r="E57" i="47"/>
  <c r="E59" i="47" s="1"/>
  <c r="D57" i="47"/>
  <c r="D59" i="47" s="1"/>
  <c r="F59" i="47" s="1"/>
  <c r="E56" i="47"/>
  <c r="D56" i="47"/>
  <c r="F55" i="47"/>
  <c r="F54" i="47"/>
  <c r="F53" i="47"/>
  <c r="E53" i="47"/>
  <c r="D53" i="47"/>
  <c r="F52" i="47"/>
  <c r="F51" i="47"/>
  <c r="F42" i="47"/>
  <c r="F41" i="47"/>
  <c r="F40" i="47"/>
  <c r="E40" i="47"/>
  <c r="D39" i="47"/>
  <c r="E38" i="47"/>
  <c r="F38" i="47" s="1"/>
  <c r="D38" i="47"/>
  <c r="I37" i="47"/>
  <c r="F37" i="47"/>
  <c r="F36" i="47"/>
  <c r="E35" i="47"/>
  <c r="D35" i="47"/>
  <c r="I34" i="47"/>
  <c r="F34" i="47"/>
  <c r="F33" i="47"/>
  <c r="E32" i="47"/>
  <c r="F32" i="47" s="1"/>
  <c r="F31" i="47"/>
  <c r="E30" i="47"/>
  <c r="D30" i="47"/>
  <c r="D32" i="47" s="1"/>
  <c r="I29" i="47"/>
  <c r="H29" i="47"/>
  <c r="G29" i="47"/>
  <c r="F29" i="47"/>
  <c r="F28" i="47"/>
  <c r="E26" i="47"/>
  <c r="E25" i="47"/>
  <c r="D25" i="47"/>
  <c r="I24" i="47"/>
  <c r="H24" i="47"/>
  <c r="G24" i="47"/>
  <c r="F24" i="47"/>
  <c r="F23" i="47"/>
  <c r="E22" i="47"/>
  <c r="F22" i="47" s="1"/>
  <c r="D22" i="47"/>
  <c r="F21" i="47"/>
  <c r="D14" i="47"/>
  <c r="C14" i="47"/>
  <c r="A138" i="46"/>
  <c r="D109" i="46"/>
  <c r="E108" i="46"/>
  <c r="D108" i="46"/>
  <c r="D110" i="46" s="1"/>
  <c r="D107" i="46"/>
  <c r="E106" i="46"/>
  <c r="F106" i="46" s="1"/>
  <c r="D106" i="46"/>
  <c r="F105" i="46"/>
  <c r="E105" i="46"/>
  <c r="D105" i="46"/>
  <c r="E104" i="46"/>
  <c r="F104" i="46" s="1"/>
  <c r="D104" i="46"/>
  <c r="F103" i="46"/>
  <c r="F102" i="46"/>
  <c r="F101" i="46"/>
  <c r="E101" i="46"/>
  <c r="D101" i="46"/>
  <c r="F100" i="46"/>
  <c r="F99" i="46"/>
  <c r="F98" i="46"/>
  <c r="E98" i="46"/>
  <c r="F97" i="46"/>
  <c r="E97" i="46"/>
  <c r="D97" i="46"/>
  <c r="E96" i="46"/>
  <c r="F96" i="46" s="1"/>
  <c r="D96" i="46"/>
  <c r="D98" i="46" s="1"/>
  <c r="E95" i="46"/>
  <c r="D95" i="46"/>
  <c r="F95" i="46" s="1"/>
  <c r="F94" i="46"/>
  <c r="F93" i="46"/>
  <c r="E92" i="46"/>
  <c r="D92" i="46"/>
  <c r="F91" i="46"/>
  <c r="F90" i="46"/>
  <c r="F89" i="46"/>
  <c r="E89" i="46"/>
  <c r="D89" i="46"/>
  <c r="F88" i="46"/>
  <c r="F87" i="46"/>
  <c r="E86" i="46"/>
  <c r="F86" i="46" s="1"/>
  <c r="D86" i="46"/>
  <c r="F85" i="46"/>
  <c r="F84" i="46"/>
  <c r="D76" i="46"/>
  <c r="D77" i="46" s="1"/>
  <c r="F75" i="46"/>
  <c r="E75" i="46"/>
  <c r="D75" i="46"/>
  <c r="F74" i="46"/>
  <c r="E74" i="46"/>
  <c r="D74" i="46"/>
  <c r="F73" i="46"/>
  <c r="E73" i="46"/>
  <c r="F72" i="46"/>
  <c r="D71" i="46"/>
  <c r="E70" i="46"/>
  <c r="F69" i="46"/>
  <c r="D67" i="46"/>
  <c r="D66" i="46"/>
  <c r="D68" i="46" s="1"/>
  <c r="D65" i="46"/>
  <c r="F64" i="46"/>
  <c r="E64" i="46"/>
  <c r="E63" i="46"/>
  <c r="D62" i="46"/>
  <c r="E60" i="46"/>
  <c r="E59" i="46"/>
  <c r="F59" i="46" s="1"/>
  <c r="E58" i="46"/>
  <c r="F58" i="46" s="1"/>
  <c r="D58" i="46"/>
  <c r="E57" i="46"/>
  <c r="F57" i="46" s="1"/>
  <c r="D57" i="46"/>
  <c r="D59" i="46" s="1"/>
  <c r="E56" i="46"/>
  <c r="F56" i="46" s="1"/>
  <c r="D56" i="46"/>
  <c r="F55" i="46"/>
  <c r="F54" i="46"/>
  <c r="E53" i="46"/>
  <c r="F53" i="46" s="1"/>
  <c r="D53" i="46"/>
  <c r="F52" i="46"/>
  <c r="F51" i="46"/>
  <c r="F42" i="46"/>
  <c r="F41" i="46"/>
  <c r="E40" i="46"/>
  <c r="E38" i="46"/>
  <c r="D38" i="46"/>
  <c r="I37" i="46"/>
  <c r="F37" i="46"/>
  <c r="F36" i="46"/>
  <c r="E35" i="46"/>
  <c r="D35" i="46"/>
  <c r="I34" i="46"/>
  <c r="F34" i="46"/>
  <c r="F33" i="46"/>
  <c r="E32" i="46"/>
  <c r="F32" i="46" s="1"/>
  <c r="D32" i="46"/>
  <c r="F31" i="46"/>
  <c r="F30" i="46"/>
  <c r="E30" i="46"/>
  <c r="D30" i="46"/>
  <c r="I29" i="46"/>
  <c r="H29" i="46"/>
  <c r="G29" i="46"/>
  <c r="F29" i="46"/>
  <c r="F28" i="46"/>
  <c r="D26" i="46"/>
  <c r="F25" i="46"/>
  <c r="E25" i="46"/>
  <c r="D25" i="46"/>
  <c r="I24" i="46"/>
  <c r="H24" i="46"/>
  <c r="G24" i="46"/>
  <c r="F24" i="46"/>
  <c r="F23" i="46"/>
  <c r="E22" i="46"/>
  <c r="F22" i="46" s="1"/>
  <c r="D22" i="46"/>
  <c r="F21" i="46"/>
  <c r="D14" i="46"/>
  <c r="C14" i="46"/>
  <c r="E106" i="45"/>
  <c r="D106" i="45"/>
  <c r="E105" i="45"/>
  <c r="D105" i="45"/>
  <c r="E104" i="45"/>
  <c r="F104" i="45" s="1"/>
  <c r="D104" i="45"/>
  <c r="F103" i="45"/>
  <c r="F102" i="45"/>
  <c r="E101" i="45"/>
  <c r="F101" i="45" s="1"/>
  <c r="D101" i="45"/>
  <c r="F100" i="45"/>
  <c r="F99" i="45"/>
  <c r="E98" i="45"/>
  <c r="F97" i="45"/>
  <c r="E97" i="45"/>
  <c r="E109" i="45" s="1"/>
  <c r="D97" i="45"/>
  <c r="E96" i="45"/>
  <c r="D96" i="45"/>
  <c r="E95" i="45"/>
  <c r="F95" i="45" s="1"/>
  <c r="D95" i="45"/>
  <c r="F94" i="45"/>
  <c r="F93" i="45"/>
  <c r="E92" i="45"/>
  <c r="F92" i="45" s="1"/>
  <c r="D92" i="45"/>
  <c r="F91" i="45"/>
  <c r="F90" i="45"/>
  <c r="E89" i="45"/>
  <c r="F89" i="45" s="1"/>
  <c r="D89" i="45"/>
  <c r="F88" i="45"/>
  <c r="F87" i="45"/>
  <c r="E86" i="45"/>
  <c r="F86" i="45" s="1"/>
  <c r="D86" i="45"/>
  <c r="F85" i="45"/>
  <c r="F84" i="45"/>
  <c r="E76" i="45"/>
  <c r="F76" i="45" s="1"/>
  <c r="D76" i="45"/>
  <c r="E75" i="45"/>
  <c r="D75" i="45"/>
  <c r="D74" i="45"/>
  <c r="E73" i="45"/>
  <c r="F72" i="45"/>
  <c r="F71" i="45"/>
  <c r="D71" i="45"/>
  <c r="F70" i="45"/>
  <c r="E70" i="45"/>
  <c r="E71" i="45" s="1"/>
  <c r="F69" i="45"/>
  <c r="D67" i="45"/>
  <c r="F66" i="45"/>
  <c r="E66" i="45"/>
  <c r="D66" i="45"/>
  <c r="D68" i="45" s="1"/>
  <c r="D65" i="45"/>
  <c r="E64" i="45"/>
  <c r="F63" i="45"/>
  <c r="E63" i="45"/>
  <c r="E62" i="45"/>
  <c r="F62" i="45" s="1"/>
  <c r="D62" i="45"/>
  <c r="E61" i="45"/>
  <c r="F60" i="45"/>
  <c r="E60" i="45"/>
  <c r="E59" i="45"/>
  <c r="F58" i="45"/>
  <c r="E58" i="45"/>
  <c r="D58" i="45"/>
  <c r="E57" i="45"/>
  <c r="D57" i="45"/>
  <c r="D59" i="45" s="1"/>
  <c r="E56" i="45"/>
  <c r="F56" i="45" s="1"/>
  <c r="D56" i="45"/>
  <c r="F55" i="45"/>
  <c r="F54" i="45"/>
  <c r="E53" i="45"/>
  <c r="F53" i="45" s="1"/>
  <c r="D53" i="45"/>
  <c r="F52" i="45"/>
  <c r="F51" i="45"/>
  <c r="E42" i="45"/>
  <c r="F41" i="45"/>
  <c r="E40" i="45"/>
  <c r="E38" i="45"/>
  <c r="D38" i="45"/>
  <c r="I37" i="45"/>
  <c r="F37" i="45"/>
  <c r="F36" i="45"/>
  <c r="E35" i="45"/>
  <c r="D35" i="45"/>
  <c r="I34" i="45"/>
  <c r="F34" i="45"/>
  <c r="F33" i="45"/>
  <c r="D32" i="45"/>
  <c r="F31" i="45"/>
  <c r="F30" i="45"/>
  <c r="E30" i="45"/>
  <c r="E32" i="45" s="1"/>
  <c r="F32" i="45" s="1"/>
  <c r="D30" i="45"/>
  <c r="H29" i="45"/>
  <c r="I29" i="45" s="1"/>
  <c r="G29" i="45"/>
  <c r="F29" i="45"/>
  <c r="F28" i="45"/>
  <c r="D26" i="45"/>
  <c r="E25" i="45"/>
  <c r="F25" i="45" s="1"/>
  <c r="D25" i="45"/>
  <c r="H24" i="45"/>
  <c r="G24" i="45"/>
  <c r="I24" i="45" s="1"/>
  <c r="F24" i="45"/>
  <c r="F23" i="45"/>
  <c r="E22" i="45"/>
  <c r="D22" i="45"/>
  <c r="F21" i="45"/>
  <c r="D14" i="45"/>
  <c r="C14" i="45"/>
  <c r="A138" i="44"/>
  <c r="E108" i="44"/>
  <c r="D108" i="44"/>
  <c r="E107" i="44"/>
  <c r="E106" i="44"/>
  <c r="F106" i="44" s="1"/>
  <c r="D106" i="44"/>
  <c r="F105" i="44"/>
  <c r="E105" i="44"/>
  <c r="D105" i="44"/>
  <c r="E104" i="44"/>
  <c r="D104" i="44"/>
  <c r="F103" i="44"/>
  <c r="F102" i="44"/>
  <c r="F101" i="44"/>
  <c r="E101" i="44"/>
  <c r="D101" i="44"/>
  <c r="F100" i="44"/>
  <c r="F99" i="44"/>
  <c r="D98" i="44"/>
  <c r="E97" i="44"/>
  <c r="F97" i="44" s="1"/>
  <c r="D97" i="44"/>
  <c r="D109" i="44" s="1"/>
  <c r="D110" i="44" s="1"/>
  <c r="E96" i="44"/>
  <c r="D96" i="44"/>
  <c r="F95" i="44"/>
  <c r="E95" i="44"/>
  <c r="D95" i="44"/>
  <c r="F94" i="44"/>
  <c r="F93" i="44"/>
  <c r="E92" i="44"/>
  <c r="D92" i="44"/>
  <c r="F91" i="44"/>
  <c r="F90" i="44"/>
  <c r="E89" i="44"/>
  <c r="F89" i="44" s="1"/>
  <c r="D89" i="44"/>
  <c r="F88" i="44"/>
  <c r="F87" i="44"/>
  <c r="F86" i="44"/>
  <c r="E86" i="44"/>
  <c r="D86" i="44"/>
  <c r="F85" i="44"/>
  <c r="F84" i="44"/>
  <c r="D77" i="44"/>
  <c r="D76" i="44"/>
  <c r="E75" i="44"/>
  <c r="F75" i="44" s="1"/>
  <c r="D75" i="44"/>
  <c r="D74" i="44"/>
  <c r="E73" i="44"/>
  <c r="F72" i="44"/>
  <c r="F71" i="44"/>
  <c r="E71" i="44"/>
  <c r="D71" i="44"/>
  <c r="F70" i="44"/>
  <c r="E70" i="44"/>
  <c r="F69" i="44"/>
  <c r="D67" i="44"/>
  <c r="E66" i="44"/>
  <c r="D66" i="44"/>
  <c r="D68" i="44" s="1"/>
  <c r="D65" i="44"/>
  <c r="F63" i="44"/>
  <c r="E63" i="44"/>
  <c r="D62" i="44"/>
  <c r="E61" i="44"/>
  <c r="E60" i="44"/>
  <c r="E58" i="44"/>
  <c r="D58" i="44"/>
  <c r="F57" i="44"/>
  <c r="E57" i="44"/>
  <c r="D57" i="44"/>
  <c r="E56" i="44"/>
  <c r="D56" i="44"/>
  <c r="F55" i="44"/>
  <c r="F54" i="44"/>
  <c r="F53" i="44"/>
  <c r="E53" i="44"/>
  <c r="D53" i="44"/>
  <c r="F52" i="44"/>
  <c r="F51" i="44"/>
  <c r="D43" i="44"/>
  <c r="D44" i="44" s="1"/>
  <c r="D45" i="44" s="1"/>
  <c r="F42" i="44"/>
  <c r="F41" i="44"/>
  <c r="F40" i="44"/>
  <c r="E40" i="44"/>
  <c r="D39" i="44"/>
  <c r="F38" i="44"/>
  <c r="E38" i="44"/>
  <c r="D38" i="44"/>
  <c r="I37" i="44"/>
  <c r="F37" i="44"/>
  <c r="F36" i="44"/>
  <c r="F35" i="44"/>
  <c r="E35" i="44"/>
  <c r="E39" i="44" s="1"/>
  <c r="F39" i="44" s="1"/>
  <c r="D35" i="44"/>
  <c r="I34" i="44"/>
  <c r="F34" i="44"/>
  <c r="F33" i="44"/>
  <c r="F31" i="44"/>
  <c r="E30" i="44"/>
  <c r="E32" i="44" s="1"/>
  <c r="F32" i="44" s="1"/>
  <c r="D30" i="44"/>
  <c r="D32" i="44" s="1"/>
  <c r="H29" i="44"/>
  <c r="I29" i="44" s="1"/>
  <c r="G29" i="44"/>
  <c r="F29" i="44"/>
  <c r="F28" i="44"/>
  <c r="D26" i="44"/>
  <c r="E25" i="44"/>
  <c r="F25" i="44" s="1"/>
  <c r="D25" i="44"/>
  <c r="H24" i="44"/>
  <c r="G24" i="44"/>
  <c r="F24" i="44"/>
  <c r="F23" i="44"/>
  <c r="E22" i="44"/>
  <c r="D22" i="44"/>
  <c r="F21" i="44"/>
  <c r="D14" i="44"/>
  <c r="C14" i="44"/>
  <c r="A138" i="43"/>
  <c r="E109" i="43"/>
  <c r="F109" i="43" s="1"/>
  <c r="E106" i="43"/>
  <c r="F106" i="43" s="1"/>
  <c r="D106" i="43"/>
  <c r="E105" i="43"/>
  <c r="E107" i="43" s="1"/>
  <c r="F107" i="43" s="1"/>
  <c r="D105" i="43"/>
  <c r="D107" i="43" s="1"/>
  <c r="E104" i="43"/>
  <c r="F104" i="43" s="1"/>
  <c r="D104" i="43"/>
  <c r="F103" i="43"/>
  <c r="F102" i="43"/>
  <c r="E101" i="43"/>
  <c r="F101" i="43" s="1"/>
  <c r="D101" i="43"/>
  <c r="F100" i="43"/>
  <c r="F99" i="43"/>
  <c r="F97" i="43"/>
  <c r="E97" i="43"/>
  <c r="D97" i="43"/>
  <c r="D109" i="43" s="1"/>
  <c r="E96" i="43"/>
  <c r="D96" i="43"/>
  <c r="D108" i="43" s="1"/>
  <c r="D110" i="43" s="1"/>
  <c r="F95" i="43"/>
  <c r="E95" i="43"/>
  <c r="D95" i="43"/>
  <c r="F94" i="43"/>
  <c r="F93" i="43"/>
  <c r="E92" i="43"/>
  <c r="D92" i="43"/>
  <c r="F92" i="43" s="1"/>
  <c r="F91" i="43"/>
  <c r="F90" i="43"/>
  <c r="E89" i="43"/>
  <c r="F89" i="43" s="1"/>
  <c r="D89" i="43"/>
  <c r="F88" i="43"/>
  <c r="F87" i="43"/>
  <c r="E86" i="43"/>
  <c r="D86" i="43"/>
  <c r="F85" i="43"/>
  <c r="F84" i="43"/>
  <c r="D76" i="43"/>
  <c r="E75" i="43"/>
  <c r="D75" i="43"/>
  <c r="D77" i="43" s="1"/>
  <c r="D74" i="43"/>
  <c r="E73" i="43"/>
  <c r="F72" i="43"/>
  <c r="D71" i="43"/>
  <c r="E70" i="43"/>
  <c r="F69" i="43"/>
  <c r="D67" i="43"/>
  <c r="F66" i="43"/>
  <c r="E66" i="43"/>
  <c r="D66" i="43"/>
  <c r="D68" i="43" s="1"/>
  <c r="D65" i="43"/>
  <c r="E64" i="43"/>
  <c r="F63" i="43"/>
  <c r="E63" i="43"/>
  <c r="E65" i="43" s="1"/>
  <c r="F65" i="43" s="1"/>
  <c r="D62" i="43"/>
  <c r="F60" i="43"/>
  <c r="E60" i="43"/>
  <c r="D59" i="43"/>
  <c r="E58" i="43"/>
  <c r="F58" i="43" s="1"/>
  <c r="D58" i="43"/>
  <c r="E57" i="43"/>
  <c r="D57" i="43"/>
  <c r="E56" i="43"/>
  <c r="F56" i="43" s="1"/>
  <c r="D56" i="43"/>
  <c r="F55" i="43"/>
  <c r="F54" i="43"/>
  <c r="E53" i="43"/>
  <c r="F53" i="43" s="1"/>
  <c r="D53" i="43"/>
  <c r="F52" i="43"/>
  <c r="F51" i="43"/>
  <c r="F42" i="43"/>
  <c r="F41" i="43"/>
  <c r="F40" i="43"/>
  <c r="D39" i="43"/>
  <c r="F38" i="43"/>
  <c r="E38" i="43"/>
  <c r="D38" i="43"/>
  <c r="I37" i="43"/>
  <c r="F37" i="43"/>
  <c r="F36" i="43"/>
  <c r="F35" i="43"/>
  <c r="E35" i="43"/>
  <c r="E39" i="43" s="1"/>
  <c r="D35" i="43"/>
  <c r="I34" i="43"/>
  <c r="F34" i="43"/>
  <c r="F33" i="43"/>
  <c r="E32" i="43"/>
  <c r="F31" i="43"/>
  <c r="E30" i="43"/>
  <c r="D30" i="43"/>
  <c r="I29" i="43"/>
  <c r="H29" i="43"/>
  <c r="G29" i="43"/>
  <c r="F29" i="43"/>
  <c r="F28" i="43"/>
  <c r="F26" i="43"/>
  <c r="E25" i="43"/>
  <c r="D25" i="43"/>
  <c r="F25" i="43" s="1"/>
  <c r="I24" i="43"/>
  <c r="H24" i="43"/>
  <c r="G24" i="43"/>
  <c r="F24" i="43"/>
  <c r="F23" i="43"/>
  <c r="E22" i="43"/>
  <c r="E26" i="43" s="1"/>
  <c r="E43" i="43" s="1"/>
  <c r="D22" i="43"/>
  <c r="D26" i="43" s="1"/>
  <c r="F21" i="43"/>
  <c r="D14" i="43"/>
  <c r="C14" i="43"/>
  <c r="A138" i="42"/>
  <c r="E108" i="42"/>
  <c r="F106" i="42"/>
  <c r="E106" i="42"/>
  <c r="D106" i="42"/>
  <c r="E105" i="42"/>
  <c r="D105" i="42"/>
  <c r="D107" i="42" s="1"/>
  <c r="F104" i="42"/>
  <c r="E104" i="42"/>
  <c r="D104" i="42"/>
  <c r="F103" i="42"/>
  <c r="F102" i="42"/>
  <c r="E101" i="42"/>
  <c r="D101" i="42"/>
  <c r="F101" i="42" s="1"/>
  <c r="F100" i="42"/>
  <c r="F99" i="42"/>
  <c r="E98" i="42"/>
  <c r="E97" i="42"/>
  <c r="D97" i="42"/>
  <c r="D109" i="42" s="1"/>
  <c r="E96" i="42"/>
  <c r="F96" i="42" s="1"/>
  <c r="D96" i="42"/>
  <c r="D108" i="42" s="1"/>
  <c r="E95" i="42"/>
  <c r="D95" i="42"/>
  <c r="F95" i="42" s="1"/>
  <c r="F94" i="42"/>
  <c r="F93" i="42"/>
  <c r="E92" i="42"/>
  <c r="F92" i="42" s="1"/>
  <c r="D92" i="42"/>
  <c r="F91" i="42"/>
  <c r="F90" i="42"/>
  <c r="E89" i="42"/>
  <c r="D89" i="42"/>
  <c r="F89" i="42" s="1"/>
  <c r="F88" i="42"/>
  <c r="F87" i="42"/>
  <c r="E86" i="42"/>
  <c r="F86" i="42" s="1"/>
  <c r="D86" i="42"/>
  <c r="F85" i="42"/>
  <c r="F84" i="42"/>
  <c r="F76" i="42"/>
  <c r="E76" i="42"/>
  <c r="D76" i="42"/>
  <c r="E75" i="42"/>
  <c r="E77" i="42" s="1"/>
  <c r="D75" i="42"/>
  <c r="F75" i="42" s="1"/>
  <c r="F74" i="42"/>
  <c r="E74" i="42"/>
  <c r="D74" i="42"/>
  <c r="E73" i="42"/>
  <c r="F73" i="42" s="1"/>
  <c r="F72" i="42"/>
  <c r="E71" i="42"/>
  <c r="D71" i="42"/>
  <c r="F70" i="42"/>
  <c r="E70" i="42"/>
  <c r="F69" i="42"/>
  <c r="E67" i="42"/>
  <c r="F67" i="42" s="1"/>
  <c r="D67" i="42"/>
  <c r="D66" i="42"/>
  <c r="D68" i="42" s="1"/>
  <c r="D65" i="42"/>
  <c r="F64" i="42"/>
  <c r="E64" i="42"/>
  <c r="E63" i="42"/>
  <c r="D62" i="42"/>
  <c r="F61" i="42"/>
  <c r="E61" i="42"/>
  <c r="E60" i="42"/>
  <c r="E58" i="42"/>
  <c r="F58" i="42" s="1"/>
  <c r="D58" i="42"/>
  <c r="E57" i="42"/>
  <c r="E59" i="42" s="1"/>
  <c r="F59" i="42" s="1"/>
  <c r="D57" i="42"/>
  <c r="D59" i="42" s="1"/>
  <c r="E56" i="42"/>
  <c r="F56" i="42" s="1"/>
  <c r="D56" i="42"/>
  <c r="F55" i="42"/>
  <c r="F54" i="42"/>
  <c r="E53" i="42"/>
  <c r="F53" i="42" s="1"/>
  <c r="D53" i="42"/>
  <c r="F52" i="42"/>
  <c r="F51" i="42"/>
  <c r="F42" i="42"/>
  <c r="F41" i="42"/>
  <c r="F40" i="42"/>
  <c r="F39" i="42"/>
  <c r="E39" i="42"/>
  <c r="E38" i="42"/>
  <c r="F38" i="42" s="1"/>
  <c r="D38" i="42"/>
  <c r="I37" i="42"/>
  <c r="F37" i="42"/>
  <c r="H36" i="42"/>
  <c r="F36" i="42"/>
  <c r="E35" i="42"/>
  <c r="D35" i="42"/>
  <c r="D39" i="42" s="1"/>
  <c r="I34" i="42"/>
  <c r="F34" i="42"/>
  <c r="F33" i="42"/>
  <c r="D32" i="42"/>
  <c r="F31" i="42"/>
  <c r="E30" i="42"/>
  <c r="D30" i="42"/>
  <c r="H29" i="42"/>
  <c r="G29" i="42"/>
  <c r="F29" i="42"/>
  <c r="F28" i="42"/>
  <c r="E25" i="42"/>
  <c r="F25" i="42" s="1"/>
  <c r="D25" i="42"/>
  <c r="H24" i="42"/>
  <c r="G24" i="42"/>
  <c r="F24" i="42"/>
  <c r="F23" i="42"/>
  <c r="E22" i="42"/>
  <c r="D22" i="42"/>
  <c r="D26" i="42" s="1"/>
  <c r="D43" i="42" s="1"/>
  <c r="D44" i="42" s="1"/>
  <c r="D45" i="42" s="1"/>
  <c r="F21" i="42"/>
  <c r="D14" i="42"/>
  <c r="C14" i="42"/>
  <c r="A138" i="41"/>
  <c r="E109" i="41"/>
  <c r="F109" i="41" s="1"/>
  <c r="E107" i="41"/>
  <c r="F107" i="41" s="1"/>
  <c r="E106" i="41"/>
  <c r="D106" i="41"/>
  <c r="F106" i="41" s="1"/>
  <c r="F105" i="41"/>
  <c r="E105" i="41"/>
  <c r="D105" i="41"/>
  <c r="D107" i="41" s="1"/>
  <c r="E104" i="41"/>
  <c r="D104" i="41"/>
  <c r="F104" i="41" s="1"/>
  <c r="F103" i="41"/>
  <c r="F102" i="41"/>
  <c r="F101" i="41"/>
  <c r="E101" i="41"/>
  <c r="D101" i="41"/>
  <c r="F100" i="41"/>
  <c r="F99" i="41"/>
  <c r="E97" i="41"/>
  <c r="F97" i="41" s="1"/>
  <c r="D97" i="41"/>
  <c r="D109" i="41" s="1"/>
  <c r="E96" i="41"/>
  <c r="E108" i="41" s="1"/>
  <c r="D96" i="41"/>
  <c r="F96" i="41" s="1"/>
  <c r="E95" i="41"/>
  <c r="F95" i="41" s="1"/>
  <c r="D95" i="41"/>
  <c r="F94" i="41"/>
  <c r="F93" i="41"/>
  <c r="E92" i="41"/>
  <c r="D92" i="41"/>
  <c r="F92" i="41" s="1"/>
  <c r="F91" i="41"/>
  <c r="F90" i="41"/>
  <c r="E89" i="41"/>
  <c r="F89" i="41" s="1"/>
  <c r="D89" i="41"/>
  <c r="F88" i="41"/>
  <c r="F87" i="41"/>
  <c r="E86" i="41"/>
  <c r="D86" i="41"/>
  <c r="F86" i="41" s="1"/>
  <c r="F85" i="41"/>
  <c r="F84" i="41"/>
  <c r="D76" i="41"/>
  <c r="E75" i="41"/>
  <c r="D75" i="41"/>
  <c r="D77" i="41" s="1"/>
  <c r="D74" i="41"/>
  <c r="E73" i="41"/>
  <c r="F72" i="41"/>
  <c r="D71" i="41"/>
  <c r="E70" i="41"/>
  <c r="F69" i="41"/>
  <c r="D67" i="41"/>
  <c r="E66" i="41"/>
  <c r="F66" i="41" s="1"/>
  <c r="D66" i="41"/>
  <c r="D65" i="41"/>
  <c r="F63" i="41"/>
  <c r="E63" i="41"/>
  <c r="D62" i="41"/>
  <c r="F60" i="41"/>
  <c r="E60" i="41"/>
  <c r="E58" i="41"/>
  <c r="F58" i="41" s="1"/>
  <c r="D58" i="41"/>
  <c r="E57" i="41"/>
  <c r="D57" i="41"/>
  <c r="F57" i="41" s="1"/>
  <c r="E56" i="41"/>
  <c r="F56" i="41" s="1"/>
  <c r="D56" i="41"/>
  <c r="F55" i="41"/>
  <c r="F54" i="41"/>
  <c r="E53" i="41"/>
  <c r="D53" i="41"/>
  <c r="F53" i="41" s="1"/>
  <c r="F52" i="41"/>
  <c r="F51" i="41"/>
  <c r="F42" i="41"/>
  <c r="F41" i="41"/>
  <c r="F40" i="41"/>
  <c r="D39" i="41"/>
  <c r="I38" i="41"/>
  <c r="H38" i="41"/>
  <c r="E38" i="41"/>
  <c r="F38" i="41" s="1"/>
  <c r="D38" i="41"/>
  <c r="I37" i="41"/>
  <c r="F37" i="41"/>
  <c r="I36" i="41"/>
  <c r="F36" i="41"/>
  <c r="E35" i="41"/>
  <c r="D35" i="41"/>
  <c r="I34" i="41"/>
  <c r="F34" i="41"/>
  <c r="F33" i="41"/>
  <c r="E32" i="41"/>
  <c r="F32" i="41" s="1"/>
  <c r="D32" i="41"/>
  <c r="F31" i="41"/>
  <c r="F30" i="41"/>
  <c r="E30" i="41"/>
  <c r="D30" i="41"/>
  <c r="I29" i="41"/>
  <c r="H29" i="41"/>
  <c r="G29" i="41"/>
  <c r="F29" i="41"/>
  <c r="F28" i="41"/>
  <c r="D26" i="41"/>
  <c r="F25" i="41"/>
  <c r="E25" i="41"/>
  <c r="D25" i="41"/>
  <c r="I24" i="41"/>
  <c r="H24" i="41"/>
  <c r="G24" i="41"/>
  <c r="F24" i="41"/>
  <c r="F23" i="41"/>
  <c r="E22" i="41"/>
  <c r="D22" i="41"/>
  <c r="F21" i="41"/>
  <c r="D14" i="41"/>
  <c r="C14" i="41"/>
  <c r="A138" i="40"/>
  <c r="E108" i="40"/>
  <c r="D108" i="40"/>
  <c r="D110" i="40" s="1"/>
  <c r="E106" i="40"/>
  <c r="F106" i="40" s="1"/>
  <c r="D106" i="40"/>
  <c r="F105" i="40"/>
  <c r="E105" i="40"/>
  <c r="D105" i="40"/>
  <c r="D107" i="40" s="1"/>
  <c r="E104" i="40"/>
  <c r="D104" i="40"/>
  <c r="F103" i="40"/>
  <c r="F102" i="40"/>
  <c r="E101" i="40"/>
  <c r="F101" i="40" s="1"/>
  <c r="D101" i="40"/>
  <c r="F100" i="40"/>
  <c r="F99" i="40"/>
  <c r="F97" i="40"/>
  <c r="E97" i="40"/>
  <c r="E109" i="40" s="1"/>
  <c r="F109" i="40" s="1"/>
  <c r="D97" i="40"/>
  <c r="D109" i="40" s="1"/>
  <c r="E96" i="40"/>
  <c r="D96" i="40"/>
  <c r="D98" i="40" s="1"/>
  <c r="F95" i="40"/>
  <c r="E95" i="40"/>
  <c r="D95" i="40"/>
  <c r="F94" i="40"/>
  <c r="F93" i="40"/>
  <c r="E92" i="40"/>
  <c r="D92" i="40"/>
  <c r="F91" i="40"/>
  <c r="F90" i="40"/>
  <c r="E89" i="40"/>
  <c r="F89" i="40" s="1"/>
  <c r="D89" i="40"/>
  <c r="F88" i="40"/>
  <c r="F87" i="40"/>
  <c r="E86" i="40"/>
  <c r="D86" i="40"/>
  <c r="F85" i="40"/>
  <c r="F84" i="40"/>
  <c r="D76" i="40"/>
  <c r="E75" i="40"/>
  <c r="D75" i="40"/>
  <c r="D74" i="40"/>
  <c r="E73" i="40"/>
  <c r="F72" i="40"/>
  <c r="D71" i="40"/>
  <c r="E70" i="40"/>
  <c r="F69" i="40"/>
  <c r="D67" i="40"/>
  <c r="F66" i="40"/>
  <c r="E66" i="40"/>
  <c r="D66" i="40"/>
  <c r="D68" i="40" s="1"/>
  <c r="D65" i="40"/>
  <c r="E64" i="40"/>
  <c r="F63" i="40"/>
  <c r="E63" i="40"/>
  <c r="D62" i="40"/>
  <c r="F60" i="40"/>
  <c r="E60" i="40"/>
  <c r="E58" i="40"/>
  <c r="F58" i="40" s="1"/>
  <c r="D58" i="40"/>
  <c r="E57" i="40"/>
  <c r="D57" i="40"/>
  <c r="D59" i="40" s="1"/>
  <c r="E56" i="40"/>
  <c r="F56" i="40" s="1"/>
  <c r="D56" i="40"/>
  <c r="F55" i="40"/>
  <c r="F54" i="40"/>
  <c r="E53" i="40"/>
  <c r="F53" i="40" s="1"/>
  <c r="D53" i="40"/>
  <c r="F52" i="40"/>
  <c r="F51" i="40"/>
  <c r="F42" i="40"/>
  <c r="F41" i="40"/>
  <c r="F40" i="40"/>
  <c r="D39" i="40"/>
  <c r="I38" i="40"/>
  <c r="H38" i="40"/>
  <c r="G38" i="40"/>
  <c r="E38" i="40"/>
  <c r="F38" i="40" s="1"/>
  <c r="D38" i="40"/>
  <c r="I37" i="40"/>
  <c r="F37" i="40"/>
  <c r="I36" i="40"/>
  <c r="G36" i="40"/>
  <c r="G36" i="41" s="1"/>
  <c r="G38" i="41" s="1"/>
  <c r="F36" i="40"/>
  <c r="E35" i="40"/>
  <c r="D35" i="40"/>
  <c r="I34" i="40"/>
  <c r="F34" i="40"/>
  <c r="F33" i="40"/>
  <c r="E32" i="40"/>
  <c r="D32" i="40"/>
  <c r="F31" i="40"/>
  <c r="F30" i="40"/>
  <c r="E30" i="40"/>
  <c r="D30" i="40"/>
  <c r="H29" i="40"/>
  <c r="I29" i="40" s="1"/>
  <c r="G29" i="40"/>
  <c r="F29" i="40"/>
  <c r="F28" i="40"/>
  <c r="E26" i="40"/>
  <c r="D26" i="40"/>
  <c r="D43" i="40" s="1"/>
  <c r="D44" i="40" s="1"/>
  <c r="D45" i="40" s="1"/>
  <c r="F25" i="40"/>
  <c r="E25" i="40"/>
  <c r="D25" i="40"/>
  <c r="I24" i="40"/>
  <c r="H24" i="40"/>
  <c r="G24" i="40"/>
  <c r="F24" i="40"/>
  <c r="F23" i="40"/>
  <c r="E22" i="40"/>
  <c r="D22" i="40"/>
  <c r="F21" i="40"/>
  <c r="D14" i="40"/>
  <c r="C14" i="40"/>
  <c r="A138" i="39"/>
  <c r="E106" i="39"/>
  <c r="F106" i="39" s="1"/>
  <c r="D106" i="39"/>
  <c r="F105" i="39"/>
  <c r="E105" i="39"/>
  <c r="D105" i="39"/>
  <c r="D107" i="39" s="1"/>
  <c r="E104" i="39"/>
  <c r="F104" i="39" s="1"/>
  <c r="D104" i="39"/>
  <c r="F103" i="39"/>
  <c r="F102" i="39"/>
  <c r="F101" i="39"/>
  <c r="E101" i="39"/>
  <c r="D101" i="39"/>
  <c r="F100" i="39"/>
  <c r="F99" i="39"/>
  <c r="F97" i="39"/>
  <c r="E97" i="39"/>
  <c r="D97" i="39"/>
  <c r="D109" i="39" s="1"/>
  <c r="E96" i="39"/>
  <c r="D96" i="39"/>
  <c r="D108" i="39" s="1"/>
  <c r="D110" i="39" s="1"/>
  <c r="F95" i="39"/>
  <c r="E95" i="39"/>
  <c r="D95" i="39"/>
  <c r="F94" i="39"/>
  <c r="F93" i="39"/>
  <c r="E92" i="39"/>
  <c r="F92" i="39" s="1"/>
  <c r="D92" i="39"/>
  <c r="F91" i="39"/>
  <c r="F90" i="39"/>
  <c r="F89" i="39"/>
  <c r="E89" i="39"/>
  <c r="D89" i="39"/>
  <c r="F88" i="39"/>
  <c r="F87" i="39"/>
  <c r="E86" i="39"/>
  <c r="D86" i="39"/>
  <c r="F85" i="39"/>
  <c r="F84" i="39"/>
  <c r="E76" i="39"/>
  <c r="F76" i="39" s="1"/>
  <c r="D76" i="39"/>
  <c r="F75" i="39"/>
  <c r="E75" i="39"/>
  <c r="D75" i="39"/>
  <c r="D77" i="39" s="1"/>
  <c r="E74" i="39"/>
  <c r="F74" i="39" s="1"/>
  <c r="D74" i="39"/>
  <c r="F73" i="39"/>
  <c r="E73" i="39"/>
  <c r="F72" i="39"/>
  <c r="D71" i="39"/>
  <c r="F70" i="39"/>
  <c r="E70" i="39"/>
  <c r="F69" i="39"/>
  <c r="D67" i="39"/>
  <c r="D66" i="39"/>
  <c r="D68" i="39" s="1"/>
  <c r="E65" i="39"/>
  <c r="D65" i="39"/>
  <c r="F64" i="39"/>
  <c r="E64" i="39"/>
  <c r="E63" i="39"/>
  <c r="F63" i="39" s="1"/>
  <c r="D62" i="39"/>
  <c r="E60" i="39"/>
  <c r="E66" i="39" s="1"/>
  <c r="F58" i="39"/>
  <c r="E58" i="39"/>
  <c r="D58" i="39"/>
  <c r="E57" i="39"/>
  <c r="D57" i="39"/>
  <c r="D59" i="39" s="1"/>
  <c r="F56" i="39"/>
  <c r="E56" i="39"/>
  <c r="D56" i="39"/>
  <c r="F55" i="39"/>
  <c r="F54" i="39"/>
  <c r="E53" i="39"/>
  <c r="F53" i="39" s="1"/>
  <c r="D53" i="39"/>
  <c r="F52" i="39"/>
  <c r="F51" i="39"/>
  <c r="F42" i="39"/>
  <c r="F41" i="39"/>
  <c r="F40" i="39"/>
  <c r="H38" i="39"/>
  <c r="G38" i="39"/>
  <c r="F38" i="39"/>
  <c r="E38" i="39"/>
  <c r="D38" i="39"/>
  <c r="I37" i="39"/>
  <c r="F37" i="39"/>
  <c r="I36" i="39"/>
  <c r="F36" i="39"/>
  <c r="E35" i="39"/>
  <c r="D35" i="39"/>
  <c r="D39" i="39" s="1"/>
  <c r="I34" i="39"/>
  <c r="F34" i="39"/>
  <c r="F33" i="39"/>
  <c r="E32" i="39"/>
  <c r="D32" i="39"/>
  <c r="F31" i="39"/>
  <c r="F30" i="39"/>
  <c r="E30" i="39"/>
  <c r="D30" i="39"/>
  <c r="H29" i="39"/>
  <c r="I29" i="39" s="1"/>
  <c r="G29" i="39"/>
  <c r="F29" i="39"/>
  <c r="F28" i="39"/>
  <c r="E26" i="39"/>
  <c r="F25" i="39"/>
  <c r="E25" i="39"/>
  <c r="D25" i="39"/>
  <c r="H24" i="39"/>
  <c r="I24" i="39" s="1"/>
  <c r="G24" i="39"/>
  <c r="F24" i="39"/>
  <c r="F23" i="39"/>
  <c r="E22" i="39"/>
  <c r="D22" i="39"/>
  <c r="D26" i="39" s="1"/>
  <c r="F21" i="39"/>
  <c r="D14" i="39"/>
  <c r="C14" i="39"/>
  <c r="A138" i="38"/>
  <c r="E106" i="38"/>
  <c r="D106" i="38"/>
  <c r="F105" i="38"/>
  <c r="E105" i="38"/>
  <c r="E107" i="38" s="1"/>
  <c r="D105" i="38"/>
  <c r="E104" i="38"/>
  <c r="D104" i="38"/>
  <c r="F103" i="38"/>
  <c r="F102" i="38"/>
  <c r="F101" i="38"/>
  <c r="E101" i="38"/>
  <c r="D101" i="38"/>
  <c r="F100" i="38"/>
  <c r="F99" i="38"/>
  <c r="F97" i="38"/>
  <c r="E97" i="38"/>
  <c r="E109" i="38" s="1"/>
  <c r="D97" i="38"/>
  <c r="E96" i="38"/>
  <c r="F96" i="38" s="1"/>
  <c r="D96" i="38"/>
  <c r="D108" i="38" s="1"/>
  <c r="F95" i="38"/>
  <c r="E95" i="38"/>
  <c r="D95" i="38"/>
  <c r="F94" i="38"/>
  <c r="F93" i="38"/>
  <c r="E92" i="38"/>
  <c r="D92" i="38"/>
  <c r="F91" i="38"/>
  <c r="F90" i="38"/>
  <c r="F89" i="38"/>
  <c r="E89" i="38"/>
  <c r="D89" i="38"/>
  <c r="F88" i="38"/>
  <c r="F87" i="38"/>
  <c r="E86" i="38"/>
  <c r="F86" i="38" s="1"/>
  <c r="D86" i="38"/>
  <c r="F85" i="38"/>
  <c r="F84" i="38"/>
  <c r="E76" i="38"/>
  <c r="F76" i="38" s="1"/>
  <c r="D76" i="38"/>
  <c r="E75" i="38"/>
  <c r="F75" i="38" s="1"/>
  <c r="D75" i="38"/>
  <c r="D77" i="38" s="1"/>
  <c r="E74" i="38"/>
  <c r="F74" i="38" s="1"/>
  <c r="D74" i="38"/>
  <c r="E73" i="38"/>
  <c r="F73" i="38" s="1"/>
  <c r="F72" i="38"/>
  <c r="E71" i="38"/>
  <c r="F71" i="38" s="1"/>
  <c r="D71" i="38"/>
  <c r="F70" i="38"/>
  <c r="E70" i="38"/>
  <c r="F69" i="38"/>
  <c r="E67" i="38"/>
  <c r="F67" i="38" s="1"/>
  <c r="D67" i="38"/>
  <c r="D66" i="38"/>
  <c r="D68" i="38" s="1"/>
  <c r="E65" i="38"/>
  <c r="F65" i="38" s="1"/>
  <c r="D65" i="38"/>
  <c r="E64" i="38"/>
  <c r="F64" i="38" s="1"/>
  <c r="E63" i="38"/>
  <c r="F63" i="38" s="1"/>
  <c r="E62" i="38"/>
  <c r="F62" i="38" s="1"/>
  <c r="D62" i="38"/>
  <c r="E61" i="38"/>
  <c r="F61" i="38" s="1"/>
  <c r="E60" i="38"/>
  <c r="E66" i="38" s="1"/>
  <c r="E58" i="38"/>
  <c r="F58" i="38" s="1"/>
  <c r="D58" i="38"/>
  <c r="E57" i="38"/>
  <c r="F57" i="38" s="1"/>
  <c r="D57" i="38"/>
  <c r="D59" i="38" s="1"/>
  <c r="E56" i="38"/>
  <c r="F56" i="38" s="1"/>
  <c r="D56" i="38"/>
  <c r="F55" i="38"/>
  <c r="F54" i="38"/>
  <c r="E53" i="38"/>
  <c r="F53" i="38" s="1"/>
  <c r="D53" i="38"/>
  <c r="F52" i="38"/>
  <c r="F51" i="38"/>
  <c r="F42" i="38"/>
  <c r="F41" i="38"/>
  <c r="F40" i="38"/>
  <c r="H38" i="38"/>
  <c r="I38" i="38" s="1"/>
  <c r="G38" i="38"/>
  <c r="E38" i="38"/>
  <c r="F38" i="38" s="1"/>
  <c r="D38" i="38"/>
  <c r="I37" i="38"/>
  <c r="F37" i="38"/>
  <c r="I36" i="38"/>
  <c r="F36" i="38"/>
  <c r="E35" i="38"/>
  <c r="F35" i="38" s="1"/>
  <c r="D35" i="38"/>
  <c r="D39" i="38" s="1"/>
  <c r="I34" i="38"/>
  <c r="F34" i="38"/>
  <c r="F33" i="38"/>
  <c r="E32" i="38"/>
  <c r="F32" i="38" s="1"/>
  <c r="F31" i="38"/>
  <c r="E30" i="38"/>
  <c r="F30" i="38" s="1"/>
  <c r="D30" i="38"/>
  <c r="D32" i="38" s="1"/>
  <c r="I29" i="38"/>
  <c r="H29" i="38"/>
  <c r="G29" i="38"/>
  <c r="F29" i="38"/>
  <c r="F28" i="38"/>
  <c r="E25" i="38"/>
  <c r="F25" i="38" s="1"/>
  <c r="D25" i="38"/>
  <c r="I24" i="38"/>
  <c r="H24" i="38"/>
  <c r="G24" i="38"/>
  <c r="F24" i="38"/>
  <c r="F23" i="38"/>
  <c r="E22" i="38"/>
  <c r="E26" i="38" s="1"/>
  <c r="D22" i="38"/>
  <c r="D26" i="38" s="1"/>
  <c r="D43" i="38" s="1"/>
  <c r="D44" i="38" s="1"/>
  <c r="D45" i="38" s="1"/>
  <c r="F21" i="38"/>
  <c r="D14" i="38"/>
  <c r="C14" i="38"/>
  <c r="A138" i="37"/>
  <c r="E106" i="37"/>
  <c r="F106" i="37" s="1"/>
  <c r="D106" i="37"/>
  <c r="E105" i="37"/>
  <c r="F105" i="37" s="1"/>
  <c r="D105" i="37"/>
  <c r="D107" i="37" s="1"/>
  <c r="E104" i="37"/>
  <c r="F104" i="37" s="1"/>
  <c r="D104" i="37"/>
  <c r="H103" i="37"/>
  <c r="H103" i="38" s="1"/>
  <c r="G103" i="37"/>
  <c r="G103" i="38" s="1"/>
  <c r="G103" i="39" s="1"/>
  <c r="G103" i="40" s="1"/>
  <c r="G103" i="41" s="1"/>
  <c r="G103" i="42" s="1"/>
  <c r="G103" i="43" s="1"/>
  <c r="G103" i="44" s="1"/>
  <c r="G103" i="45" s="1"/>
  <c r="G103" i="46" s="1"/>
  <c r="G103" i="47" s="1"/>
  <c r="F103" i="37"/>
  <c r="H102" i="37"/>
  <c r="H102" i="38" s="1"/>
  <c r="G102" i="37"/>
  <c r="G102" i="38" s="1"/>
  <c r="F102" i="37"/>
  <c r="E101" i="37"/>
  <c r="F101" i="37" s="1"/>
  <c r="D101" i="37"/>
  <c r="F100" i="37"/>
  <c r="F99" i="37"/>
  <c r="E97" i="37"/>
  <c r="F97" i="37" s="1"/>
  <c r="D97" i="37"/>
  <c r="D109" i="37" s="1"/>
  <c r="E96" i="37"/>
  <c r="F96" i="37" s="1"/>
  <c r="D96" i="37"/>
  <c r="D108" i="37" s="1"/>
  <c r="D110" i="37" s="1"/>
  <c r="E95" i="37"/>
  <c r="F95" i="37" s="1"/>
  <c r="D95" i="37"/>
  <c r="F94" i="37"/>
  <c r="F93" i="37"/>
  <c r="E92" i="37"/>
  <c r="F92" i="37" s="1"/>
  <c r="D92" i="37"/>
  <c r="H91" i="37"/>
  <c r="H91" i="38" s="1"/>
  <c r="G91" i="37"/>
  <c r="G91" i="38" s="1"/>
  <c r="G91" i="39" s="1"/>
  <c r="G91" i="40" s="1"/>
  <c r="G91" i="41" s="1"/>
  <c r="G91" i="42" s="1"/>
  <c r="G91" i="43" s="1"/>
  <c r="G91" i="44" s="1"/>
  <c r="G91" i="45" s="1"/>
  <c r="G91" i="46" s="1"/>
  <c r="G91" i="47" s="1"/>
  <c r="F91" i="37"/>
  <c r="H90" i="37"/>
  <c r="H92" i="37" s="1"/>
  <c r="G90" i="37"/>
  <c r="G92" i="37" s="1"/>
  <c r="F90" i="37"/>
  <c r="E89" i="37"/>
  <c r="F89" i="37" s="1"/>
  <c r="D89" i="37"/>
  <c r="F88" i="37"/>
  <c r="F87" i="37"/>
  <c r="E86" i="37"/>
  <c r="F86" i="37" s="1"/>
  <c r="D86" i="37"/>
  <c r="H85" i="37"/>
  <c r="H85" i="38" s="1"/>
  <c r="G85" i="37"/>
  <c r="F85" i="37"/>
  <c r="H84" i="37"/>
  <c r="G84" i="37"/>
  <c r="F84" i="37"/>
  <c r="E76" i="37"/>
  <c r="F76" i="37" s="1"/>
  <c r="D76" i="37"/>
  <c r="E75" i="37"/>
  <c r="F75" i="37" s="1"/>
  <c r="D75" i="37"/>
  <c r="D77" i="37" s="1"/>
  <c r="E74" i="37"/>
  <c r="F74" i="37" s="1"/>
  <c r="D74" i="37"/>
  <c r="H73" i="37"/>
  <c r="H73" i="38" s="1"/>
  <c r="G73" i="37"/>
  <c r="G73" i="38" s="1"/>
  <c r="G73" i="39" s="1"/>
  <c r="G73" i="40" s="1"/>
  <c r="G73" i="41" s="1"/>
  <c r="G73" i="42" s="1"/>
  <c r="G73" i="43" s="1"/>
  <c r="G73" i="44" s="1"/>
  <c r="G73" i="45" s="1"/>
  <c r="G73" i="46" s="1"/>
  <c r="G73" i="47" s="1"/>
  <c r="E73" i="37"/>
  <c r="F73" i="37" s="1"/>
  <c r="H72" i="37"/>
  <c r="H74" i="37" s="1"/>
  <c r="F72" i="37"/>
  <c r="E71" i="37"/>
  <c r="F71" i="37" s="1"/>
  <c r="D71" i="37"/>
  <c r="G70" i="37"/>
  <c r="G70" i="38" s="1"/>
  <c r="F70" i="37"/>
  <c r="E70" i="37"/>
  <c r="H69" i="37"/>
  <c r="H75" i="37" s="1"/>
  <c r="G69" i="37"/>
  <c r="G71" i="37" s="1"/>
  <c r="F69" i="37"/>
  <c r="E67" i="37"/>
  <c r="F67" i="37" s="1"/>
  <c r="D67" i="37"/>
  <c r="D66" i="37"/>
  <c r="D68" i="37" s="1"/>
  <c r="E65" i="37"/>
  <c r="F65" i="37" s="1"/>
  <c r="D65" i="37"/>
  <c r="H64" i="37"/>
  <c r="I64" i="37" s="1"/>
  <c r="G64" i="37"/>
  <c r="G64" i="38" s="1"/>
  <c r="G64" i="39" s="1"/>
  <c r="G64" i="40" s="1"/>
  <c r="G64" i="41" s="1"/>
  <c r="G64" i="42" s="1"/>
  <c r="G64" i="43" s="1"/>
  <c r="G64" i="44" s="1"/>
  <c r="G64" i="45" s="1"/>
  <c r="G64" i="46" s="1"/>
  <c r="G64" i="47" s="1"/>
  <c r="E64" i="37"/>
  <c r="F64" i="37" s="1"/>
  <c r="H63" i="37"/>
  <c r="H65" i="37" s="1"/>
  <c r="E63" i="37"/>
  <c r="F63" i="37" s="1"/>
  <c r="E62" i="37"/>
  <c r="F62" i="37" s="1"/>
  <c r="D62" i="37"/>
  <c r="G61" i="37"/>
  <c r="G67" i="37" s="1"/>
  <c r="E61" i="37"/>
  <c r="F61" i="37" s="1"/>
  <c r="H60" i="37"/>
  <c r="E60" i="37"/>
  <c r="E66" i="37" s="1"/>
  <c r="E58" i="37"/>
  <c r="F58" i="37" s="1"/>
  <c r="D58" i="37"/>
  <c r="E57" i="37"/>
  <c r="F57" i="37" s="1"/>
  <c r="D57" i="37"/>
  <c r="D59" i="37" s="1"/>
  <c r="E56" i="37"/>
  <c r="F56" i="37" s="1"/>
  <c r="D56" i="37"/>
  <c r="F55" i="37"/>
  <c r="F54" i="37"/>
  <c r="E53" i="37"/>
  <c r="F53" i="37" s="1"/>
  <c r="D53" i="37"/>
  <c r="H52" i="37"/>
  <c r="G52" i="37"/>
  <c r="G52" i="38" s="1"/>
  <c r="F52" i="37"/>
  <c r="H51" i="37"/>
  <c r="G51" i="37"/>
  <c r="G51" i="38" s="1"/>
  <c r="F51" i="37"/>
  <c r="F42" i="37"/>
  <c r="F41" i="37"/>
  <c r="F40" i="37"/>
  <c r="H38" i="37"/>
  <c r="I38" i="37" s="1"/>
  <c r="G38" i="37"/>
  <c r="E38" i="37"/>
  <c r="F38" i="37" s="1"/>
  <c r="D38" i="37"/>
  <c r="I37" i="37"/>
  <c r="F37" i="37"/>
  <c r="I36" i="37"/>
  <c r="F36" i="37"/>
  <c r="E35" i="37"/>
  <c r="E39" i="37" s="1"/>
  <c r="D35" i="37"/>
  <c r="D39" i="37" s="1"/>
  <c r="I34" i="37"/>
  <c r="F34" i="37"/>
  <c r="F33" i="37"/>
  <c r="E32" i="37"/>
  <c r="F32" i="37" s="1"/>
  <c r="H31" i="37"/>
  <c r="H31" i="38" s="1"/>
  <c r="G31" i="37"/>
  <c r="G31" i="38" s="1"/>
  <c r="G31" i="39" s="1"/>
  <c r="G31" i="40" s="1"/>
  <c r="G31" i="41" s="1"/>
  <c r="G31" i="42" s="1"/>
  <c r="G31" i="43" s="1"/>
  <c r="G31" i="44" s="1"/>
  <c r="G31" i="45" s="1"/>
  <c r="G31" i="46" s="1"/>
  <c r="G31" i="47" s="1"/>
  <c r="F31" i="37"/>
  <c r="E30" i="37"/>
  <c r="F30" i="37" s="1"/>
  <c r="D30" i="37"/>
  <c r="D32" i="37" s="1"/>
  <c r="I29" i="37"/>
  <c r="H29" i="37"/>
  <c r="G29" i="37"/>
  <c r="F29" i="37"/>
  <c r="F28" i="37"/>
  <c r="E25" i="37"/>
  <c r="F25" i="37" s="1"/>
  <c r="D25" i="37"/>
  <c r="I24" i="37"/>
  <c r="H24" i="37"/>
  <c r="G24" i="37"/>
  <c r="F24" i="37"/>
  <c r="F23" i="37"/>
  <c r="E22" i="37"/>
  <c r="F22" i="37" s="1"/>
  <c r="D22" i="37"/>
  <c r="D26" i="37" s="1"/>
  <c r="H21" i="37"/>
  <c r="H22" i="37" s="1"/>
  <c r="G21" i="37"/>
  <c r="G21" i="38" s="1"/>
  <c r="F21" i="37"/>
  <c r="D14" i="37"/>
  <c r="C14" i="37"/>
  <c r="A138" i="36"/>
  <c r="E106" i="36"/>
  <c r="F106" i="36" s="1"/>
  <c r="D106" i="36"/>
  <c r="F105" i="36"/>
  <c r="E105" i="36"/>
  <c r="E107" i="36" s="1"/>
  <c r="D105" i="36"/>
  <c r="D107" i="36" s="1"/>
  <c r="H104" i="36"/>
  <c r="I104" i="36" s="1"/>
  <c r="E104" i="36"/>
  <c r="F104" i="36" s="1"/>
  <c r="D104" i="36"/>
  <c r="H103" i="36"/>
  <c r="I103" i="36" s="1"/>
  <c r="G103" i="36"/>
  <c r="F103" i="36"/>
  <c r="H102" i="36"/>
  <c r="I102" i="36" s="1"/>
  <c r="G102" i="36"/>
  <c r="G104" i="36" s="1"/>
  <c r="F102" i="36"/>
  <c r="G101" i="36"/>
  <c r="F101" i="36"/>
  <c r="E101" i="36"/>
  <c r="D101" i="36"/>
  <c r="H100" i="36"/>
  <c r="H100" i="37" s="1"/>
  <c r="G100" i="36"/>
  <c r="G106" i="36" s="1"/>
  <c r="F100" i="36"/>
  <c r="H99" i="36"/>
  <c r="H99" i="37" s="1"/>
  <c r="G99" i="36"/>
  <c r="G99" i="37" s="1"/>
  <c r="F99" i="36"/>
  <c r="F97" i="36"/>
  <c r="E97" i="36"/>
  <c r="E109" i="36" s="1"/>
  <c r="D97" i="36"/>
  <c r="D109" i="36" s="1"/>
  <c r="E96" i="36"/>
  <c r="E108" i="36" s="1"/>
  <c r="D96" i="36"/>
  <c r="D108" i="36" s="1"/>
  <c r="G95" i="36"/>
  <c r="F95" i="36"/>
  <c r="E95" i="36"/>
  <c r="D95" i="36"/>
  <c r="H94" i="36"/>
  <c r="H94" i="37" s="1"/>
  <c r="G94" i="36"/>
  <c r="G94" i="37" s="1"/>
  <c r="G94" i="38" s="1"/>
  <c r="G94" i="39" s="1"/>
  <c r="G94" i="40" s="1"/>
  <c r="G94" i="41" s="1"/>
  <c r="G94" i="42" s="1"/>
  <c r="G94" i="43" s="1"/>
  <c r="G94" i="44" s="1"/>
  <c r="G94" i="45" s="1"/>
  <c r="G94" i="46" s="1"/>
  <c r="G94" i="47" s="1"/>
  <c r="F94" i="36"/>
  <c r="H93" i="36"/>
  <c r="H93" i="37" s="1"/>
  <c r="G93" i="36"/>
  <c r="G93" i="37" s="1"/>
  <c r="F93" i="36"/>
  <c r="H92" i="36"/>
  <c r="E92" i="36"/>
  <c r="F92" i="36" s="1"/>
  <c r="D92" i="36"/>
  <c r="H91" i="36"/>
  <c r="I91" i="36" s="1"/>
  <c r="G91" i="36"/>
  <c r="F91" i="36"/>
  <c r="H90" i="36"/>
  <c r="I90" i="36" s="1"/>
  <c r="G90" i="36"/>
  <c r="G92" i="36" s="1"/>
  <c r="F90" i="36"/>
  <c r="G89" i="36"/>
  <c r="F89" i="36"/>
  <c r="E89" i="36"/>
  <c r="D89" i="36"/>
  <c r="H88" i="36"/>
  <c r="H88" i="37" s="1"/>
  <c r="G88" i="36"/>
  <c r="G88" i="37" s="1"/>
  <c r="G88" i="38" s="1"/>
  <c r="G88" i="39" s="1"/>
  <c r="G88" i="40" s="1"/>
  <c r="G88" i="41" s="1"/>
  <c r="G88" i="42" s="1"/>
  <c r="G88" i="43" s="1"/>
  <c r="G88" i="44" s="1"/>
  <c r="G88" i="45" s="1"/>
  <c r="G88" i="46" s="1"/>
  <c r="G88" i="47" s="1"/>
  <c r="F88" i="36"/>
  <c r="H87" i="36"/>
  <c r="H87" i="37" s="1"/>
  <c r="G87" i="36"/>
  <c r="G87" i="37" s="1"/>
  <c r="F87" i="36"/>
  <c r="H86" i="36"/>
  <c r="E86" i="36"/>
  <c r="F86" i="36" s="1"/>
  <c r="D86" i="36"/>
  <c r="H85" i="36"/>
  <c r="I85" i="36" s="1"/>
  <c r="G85" i="36"/>
  <c r="G97" i="36" s="1"/>
  <c r="G109" i="36" s="1"/>
  <c r="F85" i="36"/>
  <c r="H84" i="36"/>
  <c r="I84" i="36" s="1"/>
  <c r="G84" i="36"/>
  <c r="G96" i="36" s="1"/>
  <c r="F84" i="36"/>
  <c r="D76" i="36"/>
  <c r="F75" i="36"/>
  <c r="E75" i="36"/>
  <c r="D75" i="36"/>
  <c r="D77" i="36" s="1"/>
  <c r="H74" i="36"/>
  <c r="E74" i="36"/>
  <c r="F74" i="36" s="1"/>
  <c r="D74" i="36"/>
  <c r="H73" i="36"/>
  <c r="I73" i="36" s="1"/>
  <c r="G73" i="36"/>
  <c r="F73" i="36"/>
  <c r="E73" i="36"/>
  <c r="H72" i="36"/>
  <c r="I72" i="36" s="1"/>
  <c r="G72" i="36"/>
  <c r="G72" i="37" s="1"/>
  <c r="F72" i="36"/>
  <c r="G71" i="36"/>
  <c r="D71" i="36"/>
  <c r="G70" i="36"/>
  <c r="G76" i="36" s="1"/>
  <c r="E70" i="36"/>
  <c r="H70" i="36" s="1"/>
  <c r="H69" i="36"/>
  <c r="I69" i="36" s="1"/>
  <c r="G69" i="36"/>
  <c r="G75" i="36" s="1"/>
  <c r="G77" i="36" s="1"/>
  <c r="F69" i="36"/>
  <c r="D67" i="36"/>
  <c r="D66" i="36"/>
  <c r="D68" i="36" s="1"/>
  <c r="H65" i="36"/>
  <c r="E65" i="36"/>
  <c r="F65" i="36" s="1"/>
  <c r="D65" i="36"/>
  <c r="H64" i="36"/>
  <c r="I64" i="36" s="1"/>
  <c r="G64" i="36"/>
  <c r="F64" i="36"/>
  <c r="E64" i="36"/>
  <c r="H63" i="36"/>
  <c r="I63" i="36" s="1"/>
  <c r="G63" i="36"/>
  <c r="G63" i="37" s="1"/>
  <c r="E63" i="36"/>
  <c r="F63" i="36" s="1"/>
  <c r="D62" i="36"/>
  <c r="G61" i="36"/>
  <c r="G67" i="36" s="1"/>
  <c r="H60" i="36"/>
  <c r="H66" i="36" s="1"/>
  <c r="G60" i="36"/>
  <c r="G60" i="37" s="1"/>
  <c r="E60" i="36"/>
  <c r="E66" i="36" s="1"/>
  <c r="F58" i="36"/>
  <c r="E58" i="36"/>
  <c r="D58" i="36"/>
  <c r="E57" i="36"/>
  <c r="F57" i="36" s="1"/>
  <c r="D57" i="36"/>
  <c r="D59" i="36" s="1"/>
  <c r="G56" i="36"/>
  <c r="F56" i="36"/>
  <c r="E56" i="36"/>
  <c r="D56" i="36"/>
  <c r="H55" i="36"/>
  <c r="H55" i="37" s="1"/>
  <c r="G55" i="36"/>
  <c r="G55" i="37" s="1"/>
  <c r="G55" i="38" s="1"/>
  <c r="G55" i="39" s="1"/>
  <c r="G55" i="40" s="1"/>
  <c r="G55" i="41" s="1"/>
  <c r="G55" i="42" s="1"/>
  <c r="G55" i="43" s="1"/>
  <c r="G55" i="44" s="1"/>
  <c r="G55" i="45" s="1"/>
  <c r="G55" i="46" s="1"/>
  <c r="G55" i="47" s="1"/>
  <c r="F55" i="36"/>
  <c r="H54" i="36"/>
  <c r="H54" i="37" s="1"/>
  <c r="G54" i="36"/>
  <c r="G54" i="37" s="1"/>
  <c r="F54" i="36"/>
  <c r="H53" i="36"/>
  <c r="E53" i="36"/>
  <c r="F53" i="36" s="1"/>
  <c r="D53" i="36"/>
  <c r="H52" i="36"/>
  <c r="I52" i="36" s="1"/>
  <c r="G52" i="36"/>
  <c r="G58" i="36" s="1"/>
  <c r="F52" i="36"/>
  <c r="H51" i="36"/>
  <c r="I51" i="36" s="1"/>
  <c r="G51" i="36"/>
  <c r="G57" i="36" s="1"/>
  <c r="F51" i="36"/>
  <c r="H42" i="36"/>
  <c r="G42" i="36"/>
  <c r="G42" i="37" s="1"/>
  <c r="G42" i="38" s="1"/>
  <c r="G42" i="39" s="1"/>
  <c r="G42" i="40" s="1"/>
  <c r="G42" i="41" s="1"/>
  <c r="G42" i="42" s="1"/>
  <c r="G42" i="43" s="1"/>
  <c r="G42" i="44" s="1"/>
  <c r="G42" i="45" s="1"/>
  <c r="G42" i="46" s="1"/>
  <c r="G42" i="47" s="1"/>
  <c r="F42" i="36"/>
  <c r="H41" i="36"/>
  <c r="G41" i="36"/>
  <c r="G41" i="37" s="1"/>
  <c r="G41" i="38" s="1"/>
  <c r="G41" i="39" s="1"/>
  <c r="G41" i="40" s="1"/>
  <c r="G41" i="41" s="1"/>
  <c r="G41" i="42" s="1"/>
  <c r="G41" i="43" s="1"/>
  <c r="G41" i="44" s="1"/>
  <c r="G41" i="45" s="1"/>
  <c r="G41" i="46" s="1"/>
  <c r="G41" i="47" s="1"/>
  <c r="F41" i="36"/>
  <c r="H40" i="36"/>
  <c r="G40" i="36"/>
  <c r="G40" i="37" s="1"/>
  <c r="G40" i="38" s="1"/>
  <c r="G40" i="39" s="1"/>
  <c r="G40" i="40" s="1"/>
  <c r="G40" i="41" s="1"/>
  <c r="G40" i="42" s="1"/>
  <c r="G40" i="43" s="1"/>
  <c r="G40" i="44" s="1"/>
  <c r="G40" i="45" s="1"/>
  <c r="G40" i="46" s="1"/>
  <c r="G40" i="47" s="1"/>
  <c r="F40" i="36"/>
  <c r="H38" i="36"/>
  <c r="I38" i="36" s="1"/>
  <c r="G38" i="36"/>
  <c r="F38" i="36"/>
  <c r="E38" i="36"/>
  <c r="D38" i="36"/>
  <c r="I37" i="36"/>
  <c r="F37" i="36"/>
  <c r="I36" i="36"/>
  <c r="F36" i="36"/>
  <c r="E35" i="36"/>
  <c r="E39" i="36" s="1"/>
  <c r="D35" i="36"/>
  <c r="D39" i="36" s="1"/>
  <c r="I34" i="36"/>
  <c r="F34" i="36"/>
  <c r="H33" i="36"/>
  <c r="G33" i="36"/>
  <c r="G35" i="36" s="1"/>
  <c r="G39" i="36" s="1"/>
  <c r="F33" i="36"/>
  <c r="E32" i="36"/>
  <c r="F32" i="36" s="1"/>
  <c r="D32" i="36"/>
  <c r="H31" i="36"/>
  <c r="G31" i="36"/>
  <c r="I31" i="36" s="1"/>
  <c r="F31" i="36"/>
  <c r="G30" i="36"/>
  <c r="G32" i="36" s="1"/>
  <c r="F30" i="36"/>
  <c r="E30" i="36"/>
  <c r="D30" i="36"/>
  <c r="H29" i="36"/>
  <c r="I29" i="36" s="1"/>
  <c r="G29" i="36"/>
  <c r="F29" i="36"/>
  <c r="H28" i="36"/>
  <c r="G28" i="36"/>
  <c r="G28" i="37" s="1"/>
  <c r="F28" i="36"/>
  <c r="D26" i="36"/>
  <c r="G25" i="36"/>
  <c r="F25" i="36"/>
  <c r="E25" i="36"/>
  <c r="D25" i="36"/>
  <c r="H24" i="36"/>
  <c r="I24" i="36" s="1"/>
  <c r="G24" i="36"/>
  <c r="F24" i="36"/>
  <c r="H23" i="36"/>
  <c r="G23" i="36"/>
  <c r="G23" i="37" s="1"/>
  <c r="F23" i="36"/>
  <c r="H22" i="36"/>
  <c r="E22" i="36"/>
  <c r="F22" i="36" s="1"/>
  <c r="D22" i="36"/>
  <c r="H21" i="36"/>
  <c r="I21" i="36" s="1"/>
  <c r="G21" i="36"/>
  <c r="G22" i="36" s="1"/>
  <c r="G26" i="36" s="1"/>
  <c r="G43" i="36" s="1"/>
  <c r="G44" i="36" s="1"/>
  <c r="G45" i="36" s="1"/>
  <c r="F21" i="36"/>
  <c r="D14" i="36"/>
  <c r="C14" i="36"/>
  <c r="H23" i="37" l="1"/>
  <c r="H25" i="36"/>
  <c r="I25" i="36" s="1"/>
  <c r="I23" i="36"/>
  <c r="G56" i="37"/>
  <c r="G54" i="38"/>
  <c r="H55" i="38"/>
  <c r="I55" i="37"/>
  <c r="G63" i="38"/>
  <c r="G65" i="37"/>
  <c r="I86" i="36"/>
  <c r="H42" i="37"/>
  <c r="I42" i="36"/>
  <c r="G93" i="38"/>
  <c r="G95" i="37"/>
  <c r="I94" i="37"/>
  <c r="H94" i="38"/>
  <c r="F109" i="36"/>
  <c r="H105" i="37"/>
  <c r="H101" i="37"/>
  <c r="H99" i="38"/>
  <c r="I99" i="37"/>
  <c r="F66" i="36"/>
  <c r="G87" i="38"/>
  <c r="G89" i="37"/>
  <c r="G57" i="38"/>
  <c r="G59" i="38" s="1"/>
  <c r="G53" i="38"/>
  <c r="G51" i="39"/>
  <c r="H58" i="37"/>
  <c r="I58" i="37" s="1"/>
  <c r="G70" i="39"/>
  <c r="G76" i="38"/>
  <c r="I74" i="37"/>
  <c r="H96" i="37"/>
  <c r="I92" i="37"/>
  <c r="F66" i="38"/>
  <c r="E68" i="38"/>
  <c r="F68" i="38" s="1"/>
  <c r="D43" i="36"/>
  <c r="D44" i="36" s="1"/>
  <c r="D45" i="36" s="1"/>
  <c r="H28" i="37"/>
  <c r="H30" i="36"/>
  <c r="I28" i="36"/>
  <c r="H33" i="37"/>
  <c r="I33" i="36"/>
  <c r="F39" i="36"/>
  <c r="G99" i="38"/>
  <c r="G105" i="37"/>
  <c r="G101" i="37"/>
  <c r="H100" i="38"/>
  <c r="H106" i="37"/>
  <c r="I65" i="37"/>
  <c r="G97" i="37"/>
  <c r="I22" i="36"/>
  <c r="H26" i="36"/>
  <c r="H35" i="36"/>
  <c r="H54" i="38"/>
  <c r="H56" i="37"/>
  <c r="I56" i="37" s="1"/>
  <c r="I54" i="37"/>
  <c r="G98" i="36"/>
  <c r="D43" i="37"/>
  <c r="D44" i="37" s="1"/>
  <c r="D45" i="37" s="1"/>
  <c r="F39" i="37"/>
  <c r="G58" i="38"/>
  <c r="G52" i="39"/>
  <c r="F66" i="37"/>
  <c r="E68" i="37"/>
  <c r="F68" i="37" s="1"/>
  <c r="H73" i="39"/>
  <c r="I73" i="39" s="1"/>
  <c r="I73" i="38"/>
  <c r="G96" i="37"/>
  <c r="H85" i="39"/>
  <c r="I85" i="38"/>
  <c r="G104" i="38"/>
  <c r="G102" i="39"/>
  <c r="F26" i="38"/>
  <c r="E77" i="40"/>
  <c r="F77" i="40" s="1"/>
  <c r="H41" i="37"/>
  <c r="I41" i="36"/>
  <c r="H76" i="36"/>
  <c r="I76" i="36" s="1"/>
  <c r="I70" i="36"/>
  <c r="H70" i="37"/>
  <c r="H71" i="36"/>
  <c r="I71" i="36" s="1"/>
  <c r="H88" i="38"/>
  <c r="I88" i="37"/>
  <c r="H95" i="37"/>
  <c r="H93" i="38"/>
  <c r="I93" i="37"/>
  <c r="D110" i="36"/>
  <c r="G23" i="38"/>
  <c r="G25" i="37"/>
  <c r="G28" i="38"/>
  <c r="G30" i="37"/>
  <c r="G32" i="37" s="1"/>
  <c r="H40" i="37"/>
  <c r="I40" i="36"/>
  <c r="G59" i="36"/>
  <c r="G60" i="38"/>
  <c r="G66" i="37"/>
  <c r="G68" i="37" s="1"/>
  <c r="G62" i="37"/>
  <c r="G72" i="38"/>
  <c r="G74" i="37"/>
  <c r="H89" i="37"/>
  <c r="I89" i="37" s="1"/>
  <c r="I87" i="37"/>
  <c r="H87" i="38"/>
  <c r="I92" i="36"/>
  <c r="E110" i="36"/>
  <c r="F110" i="36" s="1"/>
  <c r="F108" i="36"/>
  <c r="F107" i="36"/>
  <c r="G21" i="39"/>
  <c r="G22" i="38"/>
  <c r="H31" i="39"/>
  <c r="I31" i="38"/>
  <c r="H57" i="37"/>
  <c r="I75" i="37"/>
  <c r="D43" i="39"/>
  <c r="D44" i="39" s="1"/>
  <c r="D45" i="39" s="1"/>
  <c r="H96" i="36"/>
  <c r="D98" i="36"/>
  <c r="G58" i="37"/>
  <c r="E98" i="37"/>
  <c r="E108" i="37"/>
  <c r="E59" i="38"/>
  <c r="F59" i="38" s="1"/>
  <c r="G61" i="38"/>
  <c r="H63" i="38"/>
  <c r="G69" i="38"/>
  <c r="H72" i="38"/>
  <c r="G84" i="38"/>
  <c r="G85" i="38"/>
  <c r="E98" i="38"/>
  <c r="E43" i="39"/>
  <c r="F26" i="39"/>
  <c r="E77" i="39"/>
  <c r="F77" i="39" s="1"/>
  <c r="E39" i="40"/>
  <c r="F39" i="40" s="1"/>
  <c r="F35" i="40"/>
  <c r="D77" i="40"/>
  <c r="E39" i="41"/>
  <c r="F39" i="41" s="1"/>
  <c r="F35" i="41"/>
  <c r="F63" i="42"/>
  <c r="F108" i="42"/>
  <c r="F108" i="44"/>
  <c r="E110" i="44"/>
  <c r="F110" i="44" s="1"/>
  <c r="I54" i="36"/>
  <c r="E59" i="36"/>
  <c r="F59" i="36" s="1"/>
  <c r="E76" i="36"/>
  <c r="F76" i="36" s="1"/>
  <c r="I88" i="36"/>
  <c r="I93" i="36"/>
  <c r="I94" i="36"/>
  <c r="I100" i="36"/>
  <c r="G105" i="36"/>
  <c r="G107" i="36" s="1"/>
  <c r="F35" i="37"/>
  <c r="I91" i="38"/>
  <c r="H91" i="39"/>
  <c r="I103" i="38"/>
  <c r="H103" i="39"/>
  <c r="F22" i="38"/>
  <c r="H52" i="38"/>
  <c r="H64" i="38"/>
  <c r="H69" i="38"/>
  <c r="H84" i="38"/>
  <c r="G90" i="38"/>
  <c r="F22" i="39"/>
  <c r="I38" i="39"/>
  <c r="F65" i="39"/>
  <c r="F66" i="39"/>
  <c r="F92" i="40"/>
  <c r="F108" i="40"/>
  <c r="F75" i="41"/>
  <c r="D108" i="41"/>
  <c r="D110" i="41" s="1"/>
  <c r="F108" i="46"/>
  <c r="F35" i="36"/>
  <c r="H56" i="36"/>
  <c r="I56" i="36" s="1"/>
  <c r="H58" i="36"/>
  <c r="I58" i="36" s="1"/>
  <c r="I60" i="36"/>
  <c r="E71" i="36"/>
  <c r="F71" i="36" s="1"/>
  <c r="H75" i="36"/>
  <c r="H89" i="36"/>
  <c r="I89" i="36" s="1"/>
  <c r="H95" i="36"/>
  <c r="I95" i="36" s="1"/>
  <c r="F96" i="36"/>
  <c r="H97" i="36"/>
  <c r="H101" i="36"/>
  <c r="I101" i="36" s="1"/>
  <c r="H105" i="36"/>
  <c r="I21" i="37"/>
  <c r="G22" i="37"/>
  <c r="G26" i="37" s="1"/>
  <c r="I31" i="37"/>
  <c r="G33" i="37"/>
  <c r="I51" i="37"/>
  <c r="I52" i="37"/>
  <c r="G53" i="37"/>
  <c r="G57" i="37"/>
  <c r="G59" i="37" s="1"/>
  <c r="F60" i="37"/>
  <c r="I69" i="37"/>
  <c r="I73" i="37"/>
  <c r="G76" i="37"/>
  <c r="E77" i="37"/>
  <c r="F77" i="37" s="1"/>
  <c r="I84" i="37"/>
  <c r="I85" i="37"/>
  <c r="G86" i="37"/>
  <c r="I90" i="37"/>
  <c r="I91" i="37"/>
  <c r="G100" i="37"/>
  <c r="I100" i="37" s="1"/>
  <c r="I102" i="37"/>
  <c r="I103" i="37"/>
  <c r="G104" i="37"/>
  <c r="E107" i="37"/>
  <c r="F107" i="37" s="1"/>
  <c r="E109" i="37"/>
  <c r="F109" i="37" s="1"/>
  <c r="F60" i="38"/>
  <c r="E77" i="38"/>
  <c r="F77" i="38" s="1"/>
  <c r="H90" i="38"/>
  <c r="F92" i="38"/>
  <c r="F104" i="38"/>
  <c r="F106" i="38"/>
  <c r="F35" i="39"/>
  <c r="F57" i="39"/>
  <c r="E59" i="39"/>
  <c r="F59" i="39" s="1"/>
  <c r="F86" i="39"/>
  <c r="F96" i="39"/>
  <c r="E109" i="39"/>
  <c r="F109" i="39" s="1"/>
  <c r="E98" i="39"/>
  <c r="E108" i="39"/>
  <c r="F26" i="40"/>
  <c r="F57" i="40"/>
  <c r="E71" i="40"/>
  <c r="F71" i="40" s="1"/>
  <c r="E76" i="40"/>
  <c r="F76" i="40" s="1"/>
  <c r="F70" i="40"/>
  <c r="H73" i="40"/>
  <c r="I73" i="40" s="1"/>
  <c r="E74" i="40"/>
  <c r="F74" i="40" s="1"/>
  <c r="F75" i="40"/>
  <c r="E107" i="40"/>
  <c r="F107" i="40" s="1"/>
  <c r="D59" i="41"/>
  <c r="D98" i="41"/>
  <c r="E32" i="42"/>
  <c r="F32" i="42" s="1"/>
  <c r="F30" i="42"/>
  <c r="D110" i="42"/>
  <c r="F66" i="44"/>
  <c r="H57" i="36"/>
  <c r="H106" i="36"/>
  <c r="I106" i="36" s="1"/>
  <c r="E26" i="37"/>
  <c r="E59" i="37"/>
  <c r="F59" i="37" s="1"/>
  <c r="G75" i="37"/>
  <c r="G77" i="37" s="1"/>
  <c r="E39" i="38"/>
  <c r="F39" i="38" s="1"/>
  <c r="H60" i="38"/>
  <c r="E108" i="38"/>
  <c r="E107" i="39"/>
  <c r="F107" i="39" s="1"/>
  <c r="E65" i="40"/>
  <c r="F65" i="40" s="1"/>
  <c r="F22" i="41"/>
  <c r="E26" i="41"/>
  <c r="E74" i="41"/>
  <c r="F74" i="41" s="1"/>
  <c r="E64" i="41"/>
  <c r="F73" i="41"/>
  <c r="E65" i="42"/>
  <c r="F65" i="42" s="1"/>
  <c r="D32" i="43"/>
  <c r="F32" i="43" s="1"/>
  <c r="F30" i="43"/>
  <c r="E74" i="44"/>
  <c r="F74" i="44" s="1"/>
  <c r="F73" i="44"/>
  <c r="E64" i="44"/>
  <c r="E26" i="36"/>
  <c r="I55" i="36"/>
  <c r="G66" i="36"/>
  <c r="G68" i="36" s="1"/>
  <c r="F70" i="36"/>
  <c r="I87" i="36"/>
  <c r="E98" i="36"/>
  <c r="I99" i="36"/>
  <c r="I60" i="37"/>
  <c r="I63" i="37"/>
  <c r="H66" i="37"/>
  <c r="I72" i="37"/>
  <c r="H97" i="37"/>
  <c r="I102" i="38"/>
  <c r="H102" i="39"/>
  <c r="H21" i="38"/>
  <c r="H51" i="38"/>
  <c r="D107" i="38"/>
  <c r="F107" i="38" s="1"/>
  <c r="F32" i="39"/>
  <c r="D98" i="39"/>
  <c r="F64" i="40"/>
  <c r="E110" i="40"/>
  <c r="F110" i="40" s="1"/>
  <c r="F71" i="42"/>
  <c r="E77" i="43"/>
  <c r="F77" i="43" s="1"/>
  <c r="F75" i="43"/>
  <c r="F56" i="44"/>
  <c r="F59" i="45"/>
  <c r="G53" i="36"/>
  <c r="I53" i="36" s="1"/>
  <c r="F60" i="36"/>
  <c r="E61" i="36"/>
  <c r="G62" i="36"/>
  <c r="G65" i="36"/>
  <c r="I65" i="36" s="1"/>
  <c r="G74" i="36"/>
  <c r="I74" i="36" s="1"/>
  <c r="G86" i="36"/>
  <c r="H53" i="37"/>
  <c r="I53" i="37" s="1"/>
  <c r="H86" i="37"/>
  <c r="I86" i="37" s="1"/>
  <c r="D98" i="37"/>
  <c r="H104" i="37"/>
  <c r="D109" i="38"/>
  <c r="F109" i="38" s="1"/>
  <c r="D98" i="38"/>
  <c r="H104" i="38"/>
  <c r="E39" i="39"/>
  <c r="F39" i="39" s="1"/>
  <c r="E61" i="39"/>
  <c r="E71" i="39"/>
  <c r="F71" i="39" s="1"/>
  <c r="F22" i="40"/>
  <c r="F32" i="40"/>
  <c r="E61" i="40"/>
  <c r="F73" i="40"/>
  <c r="F86" i="40"/>
  <c r="F96" i="40"/>
  <c r="E59" i="41"/>
  <c r="D68" i="41"/>
  <c r="E71" i="41"/>
  <c r="F71" i="41" s="1"/>
  <c r="E76" i="41"/>
  <c r="F76" i="41" s="1"/>
  <c r="F70" i="41"/>
  <c r="E61" i="41"/>
  <c r="H36" i="43"/>
  <c r="I36" i="42"/>
  <c r="H38" i="42"/>
  <c r="F57" i="42"/>
  <c r="E44" i="43"/>
  <c r="F64" i="43"/>
  <c r="F105" i="43"/>
  <c r="C138" i="43"/>
  <c r="F38" i="45"/>
  <c r="E39" i="45"/>
  <c r="E59" i="40"/>
  <c r="F59" i="40" s="1"/>
  <c r="E98" i="40"/>
  <c r="F98" i="40" s="1"/>
  <c r="F104" i="40"/>
  <c r="D43" i="41"/>
  <c r="D44" i="41" s="1"/>
  <c r="D45" i="41" s="1"/>
  <c r="E110" i="41"/>
  <c r="F110" i="41" s="1"/>
  <c r="F22" i="42"/>
  <c r="I24" i="42"/>
  <c r="E66" i="42"/>
  <c r="F60" i="42"/>
  <c r="E62" i="42"/>
  <c r="F62" i="42" s="1"/>
  <c r="D77" i="42"/>
  <c r="F97" i="42"/>
  <c r="F57" i="43"/>
  <c r="E71" i="43"/>
  <c r="F71" i="43" s="1"/>
  <c r="E76" i="43"/>
  <c r="F76" i="43" s="1"/>
  <c r="F70" i="43"/>
  <c r="E74" i="43"/>
  <c r="F74" i="43" s="1"/>
  <c r="D98" i="43"/>
  <c r="D59" i="44"/>
  <c r="F58" i="44"/>
  <c r="D43" i="45"/>
  <c r="D44" i="45" s="1"/>
  <c r="D45" i="45" s="1"/>
  <c r="F40" i="45"/>
  <c r="E65" i="45"/>
  <c r="F65" i="45" s="1"/>
  <c r="F64" i="45"/>
  <c r="E77" i="45"/>
  <c r="F77" i="45" s="1"/>
  <c r="F75" i="45"/>
  <c r="F38" i="46"/>
  <c r="F60" i="39"/>
  <c r="E62" i="41"/>
  <c r="F62" i="41" s="1"/>
  <c r="I29" i="42"/>
  <c r="F35" i="42"/>
  <c r="G36" i="42"/>
  <c r="F77" i="42"/>
  <c r="F105" i="42"/>
  <c r="F22" i="43"/>
  <c r="F39" i="43"/>
  <c r="E61" i="43"/>
  <c r="F73" i="43"/>
  <c r="F86" i="43"/>
  <c r="F96" i="43"/>
  <c r="F22" i="44"/>
  <c r="I24" i="44"/>
  <c r="F30" i="44"/>
  <c r="E59" i="44"/>
  <c r="F59" i="44" s="1"/>
  <c r="F61" i="44"/>
  <c r="F107" i="44"/>
  <c r="E67" i="45"/>
  <c r="F61" i="45"/>
  <c r="D107" i="45"/>
  <c r="F35" i="46"/>
  <c r="E39" i="46"/>
  <c r="E98" i="41"/>
  <c r="E26" i="42"/>
  <c r="E107" i="42"/>
  <c r="F107" i="42" s="1"/>
  <c r="E109" i="42"/>
  <c r="F109" i="42" s="1"/>
  <c r="E59" i="43"/>
  <c r="F59" i="43" s="1"/>
  <c r="E98" i="43"/>
  <c r="F98" i="43" s="1"/>
  <c r="E108" i="43"/>
  <c r="E26" i="44"/>
  <c r="E62" i="44"/>
  <c r="F62" i="44" s="1"/>
  <c r="E76" i="44"/>
  <c r="F76" i="44" s="1"/>
  <c r="E77" i="44"/>
  <c r="F77" i="44" s="1"/>
  <c r="E109" i="44"/>
  <c r="F109" i="44" s="1"/>
  <c r="D39" i="45"/>
  <c r="D98" i="45"/>
  <c r="F98" i="45" s="1"/>
  <c r="D108" i="45"/>
  <c r="D110" i="45" s="1"/>
  <c r="E107" i="45"/>
  <c r="F105" i="45"/>
  <c r="E61" i="46"/>
  <c r="E71" i="46"/>
  <c r="F71" i="46" s="1"/>
  <c r="F70" i="46"/>
  <c r="D98" i="42"/>
  <c r="F98" i="42" s="1"/>
  <c r="F60" i="44"/>
  <c r="F96" i="44"/>
  <c r="E98" i="44"/>
  <c r="F98" i="44" s="1"/>
  <c r="F22" i="45"/>
  <c r="E26" i="45"/>
  <c r="A138" i="45"/>
  <c r="F42" i="45"/>
  <c r="F63" i="46"/>
  <c r="E65" i="46"/>
  <c r="F65" i="46" s="1"/>
  <c r="E76" i="46"/>
  <c r="F76" i="46" s="1"/>
  <c r="F92" i="44"/>
  <c r="F104" i="44"/>
  <c r="D107" i="44"/>
  <c r="F35" i="45"/>
  <c r="F57" i="45"/>
  <c r="F96" i="45"/>
  <c r="D109" i="45"/>
  <c r="F109" i="45" s="1"/>
  <c r="F106" i="45"/>
  <c r="E26" i="46"/>
  <c r="E66" i="46"/>
  <c r="F60" i="46"/>
  <c r="E77" i="46"/>
  <c r="F77" i="46" s="1"/>
  <c r="F92" i="46"/>
  <c r="E43" i="47"/>
  <c r="E39" i="47"/>
  <c r="F39" i="47" s="1"/>
  <c r="F35" i="47"/>
  <c r="F73" i="45"/>
  <c r="E74" i="45"/>
  <c r="F74" i="45" s="1"/>
  <c r="D77" i="45"/>
  <c r="E108" i="45"/>
  <c r="D39" i="46"/>
  <c r="D43" i="46" s="1"/>
  <c r="D44" i="46" s="1"/>
  <c r="D45" i="46" s="1"/>
  <c r="F40" i="46"/>
  <c r="E62" i="46"/>
  <c r="F62" i="46" s="1"/>
  <c r="E109" i="46"/>
  <c r="F109" i="46" s="1"/>
  <c r="E107" i="46"/>
  <c r="F107" i="46" s="1"/>
  <c r="E62" i="47"/>
  <c r="F62" i="47" s="1"/>
  <c r="E66" i="47"/>
  <c r="E74" i="47"/>
  <c r="F74" i="47" s="1"/>
  <c r="F73" i="47"/>
  <c r="F75" i="47"/>
  <c r="E77" i="47"/>
  <c r="F77" i="47" s="1"/>
  <c r="F109" i="47"/>
  <c r="E65" i="47"/>
  <c r="F65" i="47" s="1"/>
  <c r="F63" i="47"/>
  <c r="F101" i="47"/>
  <c r="F25" i="47"/>
  <c r="D110" i="47"/>
  <c r="F108" i="47"/>
  <c r="D26" i="47"/>
  <c r="D43" i="47" s="1"/>
  <c r="D44" i="47" s="1"/>
  <c r="D45" i="47" s="1"/>
  <c r="F30" i="47"/>
  <c r="F56" i="47"/>
  <c r="F58" i="47"/>
  <c r="E67" i="47"/>
  <c r="F67" i="47" s="1"/>
  <c r="F61" i="47"/>
  <c r="F95" i="47"/>
  <c r="E110" i="47"/>
  <c r="F110" i="47" s="1"/>
  <c r="F97" i="47"/>
  <c r="F105" i="47"/>
  <c r="E107" i="47"/>
  <c r="F107" i="47" s="1"/>
  <c r="D98" i="47"/>
  <c r="F70" i="47"/>
  <c r="E98" i="47"/>
  <c r="AN2" i="49"/>
  <c r="AK25" i="49"/>
  <c r="AI18" i="49"/>
  <c r="AG3" i="49"/>
  <c r="AE4" i="49"/>
  <c r="AB15" i="49"/>
  <c r="Z18" i="49"/>
  <c r="X17" i="49"/>
  <c r="AM18" i="49"/>
  <c r="AJ25" i="49"/>
  <c r="AG28" i="49"/>
  <c r="AD25" i="49"/>
  <c r="AB9" i="49"/>
  <c r="X22" i="49"/>
  <c r="U17" i="49"/>
  <c r="T6" i="49"/>
  <c r="Q21" i="49"/>
  <c r="O29" i="49"/>
  <c r="M14" i="49"/>
  <c r="K13" i="49"/>
  <c r="I10" i="49"/>
  <c r="AA24" i="49"/>
  <c r="V18" i="49"/>
  <c r="R22" i="49"/>
  <c r="AM10" i="49"/>
  <c r="AJ11" i="49"/>
  <c r="AG7" i="49"/>
  <c r="AB28" i="49"/>
  <c r="AM27" i="49"/>
  <c r="AK20" i="49"/>
  <c r="AI26" i="49"/>
  <c r="AG12" i="49"/>
  <c r="AE6" i="49"/>
  <c r="AB20" i="49"/>
  <c r="Z24" i="49"/>
  <c r="X14" i="49"/>
  <c r="AM5" i="49"/>
  <c r="AJ7" i="49"/>
  <c r="AG14" i="49"/>
  <c r="AD26" i="49"/>
  <c r="AB12" i="49"/>
  <c r="X28" i="49"/>
  <c r="U16" i="49"/>
  <c r="S23" i="49"/>
  <c r="Q16" i="49"/>
  <c r="O22" i="49"/>
  <c r="M5" i="49"/>
  <c r="K12" i="49"/>
  <c r="H19" i="49"/>
  <c r="AA14" i="49"/>
  <c r="V22" i="49"/>
  <c r="R18" i="49"/>
  <c r="AM13" i="49"/>
  <c r="AJ12" i="49"/>
  <c r="AG13" i="49"/>
  <c r="AA29" i="49"/>
  <c r="U19" i="49"/>
  <c r="Q3" i="49"/>
  <c r="AI21" i="49"/>
  <c r="AC20" i="49"/>
  <c r="AM28" i="49"/>
  <c r="AK3" i="49"/>
  <c r="AI8" i="49"/>
  <c r="AF15" i="49"/>
  <c r="AD28" i="49"/>
  <c r="AB21" i="49"/>
  <c r="Y19" i="49"/>
  <c r="W26" i="49"/>
  <c r="AL19" i="49"/>
  <c r="AI15" i="49"/>
  <c r="AG6" i="49"/>
  <c r="AD12" i="49"/>
  <c r="AA5" i="49"/>
  <c r="W25" i="49"/>
  <c r="U14" i="49"/>
  <c r="S25" i="49"/>
  <c r="Q14" i="49"/>
  <c r="O6" i="49"/>
  <c r="M2" i="49"/>
  <c r="J21" i="49"/>
  <c r="H20" i="49"/>
  <c r="Z26" i="49"/>
  <c r="U29" i="49"/>
  <c r="R13" i="49"/>
  <c r="AL16" i="49"/>
  <c r="AI28" i="49"/>
  <c r="AF29" i="49"/>
  <c r="AB5" i="49"/>
  <c r="V3" i="49"/>
  <c r="AN27" i="49"/>
  <c r="AH15" i="49"/>
  <c r="AC13" i="49"/>
  <c r="AG20" i="49"/>
  <c r="X21" i="49"/>
  <c r="AE2" i="49"/>
  <c r="T11" i="49"/>
  <c r="K22" i="49"/>
  <c r="S11" i="49"/>
  <c r="AC11" i="49"/>
  <c r="AN18" i="49"/>
  <c r="AB25" i="49"/>
  <c r="W2" i="49"/>
  <c r="R28" i="49"/>
  <c r="O8" i="49"/>
  <c r="L4" i="49"/>
  <c r="I8" i="49"/>
  <c r="AK6" i="49"/>
  <c r="AM23" i="49"/>
  <c r="AH2" i="49"/>
  <c r="AA16" i="49"/>
  <c r="V21" i="49"/>
  <c r="R12" i="49"/>
  <c r="N21" i="49"/>
  <c r="K27" i="49"/>
  <c r="H3" i="49"/>
  <c r="AJ13" i="49"/>
  <c r="V9" i="49"/>
  <c r="N12" i="49"/>
  <c r="AL26" i="49"/>
  <c r="N16" i="49"/>
  <c r="AM26" i="49"/>
  <c r="AD23" i="49"/>
  <c r="AM9" i="49"/>
  <c r="AA11" i="49"/>
  <c r="Q17" i="49"/>
  <c r="H25" i="49"/>
  <c r="AL27" i="49"/>
  <c r="AN17" i="49"/>
  <c r="AL7" i="49"/>
  <c r="AJ8" i="49"/>
  <c r="AG19" i="49"/>
  <c r="AE16" i="49"/>
  <c r="AC16" i="49"/>
  <c r="AA9" i="49"/>
  <c r="Y13" i="49"/>
  <c r="AN10" i="49"/>
  <c r="AK12" i="49"/>
  <c r="AH11" i="49"/>
  <c r="AE3" i="49"/>
  <c r="AB30" i="49"/>
  <c r="Z13" i="49"/>
  <c r="V25" i="49"/>
  <c r="T18" i="49"/>
  <c r="R3" i="49"/>
  <c r="P13" i="49"/>
  <c r="M15" i="49"/>
  <c r="K18" i="49"/>
  <c r="I28" i="49"/>
  <c r="AC29" i="49"/>
  <c r="X3" i="49"/>
  <c r="S27" i="49"/>
  <c r="AM15" i="49"/>
  <c r="AK11" i="49"/>
  <c r="AH5" i="49"/>
  <c r="AD14" i="49"/>
  <c r="AN15" i="49"/>
  <c r="AL12" i="49"/>
  <c r="AJ2" i="49"/>
  <c r="AG29" i="49"/>
  <c r="AE17" i="49"/>
  <c r="AC3" i="49"/>
  <c r="AA12" i="49"/>
  <c r="X15" i="49"/>
  <c r="AN6" i="49"/>
  <c r="AK7" i="49"/>
  <c r="AH12" i="49"/>
  <c r="AE10" i="49"/>
  <c r="AA21" i="49"/>
  <c r="Y11" i="49"/>
  <c r="V20" i="49"/>
  <c r="T22" i="49"/>
  <c r="R6" i="49"/>
  <c r="P6" i="49"/>
  <c r="M21" i="49"/>
  <c r="K24" i="49"/>
  <c r="I26" i="49"/>
  <c r="AK5" i="49"/>
  <c r="AF21" i="49"/>
  <c r="AB14" i="49"/>
  <c r="W28" i="49"/>
  <c r="AI24" i="49"/>
  <c r="AC23" i="49"/>
  <c r="W24" i="49"/>
  <c r="S26" i="49"/>
  <c r="O9" i="49"/>
  <c r="J16" i="49"/>
  <c r="Y15" i="49"/>
  <c r="Q29" i="49"/>
  <c r="AI22" i="49"/>
  <c r="AA10" i="49"/>
  <c r="AK10" i="49"/>
  <c r="AF16" i="49"/>
  <c r="AA27" i="49"/>
  <c r="W30" i="49"/>
  <c r="AI29" i="49"/>
  <c r="AC17" i="49"/>
  <c r="W14" i="49"/>
  <c r="S7" i="49"/>
  <c r="N19" i="49"/>
  <c r="J17" i="49"/>
  <c r="AC12" i="49"/>
  <c r="V12" i="49"/>
  <c r="AN25" i="49"/>
  <c r="AJ27" i="49"/>
  <c r="AF13" i="49"/>
  <c r="Z10" i="49"/>
  <c r="R24" i="49"/>
  <c r="AH6" i="49"/>
  <c r="AN30" i="49"/>
  <c r="AK19" i="49"/>
  <c r="AH24" i="49"/>
  <c r="AE27" i="49"/>
  <c r="AC5" i="49"/>
  <c r="Z3" i="49"/>
  <c r="AN3" i="49"/>
  <c r="AJ30" i="49"/>
  <c r="AF11" i="49"/>
  <c r="AB16" i="49"/>
  <c r="X19" i="49"/>
  <c r="U10" i="49"/>
  <c r="R25" i="49"/>
  <c r="O28" i="49"/>
  <c r="L30" i="49"/>
  <c r="I30" i="49"/>
  <c r="AA15" i="49"/>
  <c r="T15" i="49"/>
  <c r="AN4" i="49"/>
  <c r="AJ22" i="49"/>
  <c r="AE23" i="49"/>
  <c r="X25" i="49"/>
  <c r="Q19" i="49"/>
  <c r="AG18" i="49"/>
  <c r="AL6" i="49"/>
  <c r="AB2" i="49"/>
  <c r="AA20" i="49"/>
  <c r="O23" i="49"/>
  <c r="W8" i="49"/>
  <c r="W18" i="49"/>
  <c r="AH28" i="49"/>
  <c r="W23" i="49"/>
  <c r="Q18" i="49"/>
  <c r="M20" i="49"/>
  <c r="J6" i="49"/>
  <c r="AI13" i="49"/>
  <c r="AJ19" i="49"/>
  <c r="AC22" i="49"/>
  <c r="V10" i="49"/>
  <c r="P8" i="49"/>
  <c r="L24" i="49"/>
  <c r="AJ18" i="49"/>
  <c r="Z16" i="49"/>
  <c r="O18" i="49"/>
  <c r="AB3" i="49"/>
  <c r="H27" i="49"/>
  <c r="AJ16" i="49"/>
  <c r="AF9" i="49"/>
  <c r="AA26" i="49"/>
  <c r="AN19" i="49"/>
  <c r="AI9" i="49"/>
  <c r="AC8" i="49"/>
  <c r="W11" i="49"/>
  <c r="R19" i="49"/>
  <c r="N25" i="49"/>
  <c r="J12" i="49"/>
  <c r="X23" i="49"/>
  <c r="AN22" i="49"/>
  <c r="AH21" i="49"/>
  <c r="Y14" i="49"/>
  <c r="AJ17" i="49"/>
  <c r="AF8" i="49"/>
  <c r="AB11" i="49"/>
  <c r="AN29" i="49"/>
  <c r="AH27" i="49"/>
  <c r="AC2" i="49"/>
  <c r="W4" i="49"/>
  <c r="R29" i="49"/>
  <c r="N3" i="49"/>
  <c r="J2" i="49"/>
  <c r="Y29" i="49"/>
  <c r="T26" i="49"/>
  <c r="AM29" i="49"/>
  <c r="AI3" i="49"/>
  <c r="AE29" i="49"/>
  <c r="X4" i="49"/>
  <c r="AN12" i="49"/>
  <c r="AF22" i="49"/>
  <c r="AN8" i="49"/>
  <c r="AJ21" i="49"/>
  <c r="AH13" i="49"/>
  <c r="AE11" i="49"/>
  <c r="AA28" i="49"/>
  <c r="Y4" i="49"/>
  <c r="AM20" i="49"/>
  <c r="AI6" i="49"/>
  <c r="AE25" i="49"/>
  <c r="AA18" i="49"/>
  <c r="X13" i="49"/>
  <c r="T17" i="49"/>
  <c r="Q15" i="49"/>
  <c r="N20" i="49"/>
  <c r="K23" i="49"/>
  <c r="I13" i="49"/>
  <c r="Y9" i="49"/>
  <c r="T2" i="49"/>
  <c r="AM14" i="49"/>
  <c r="AI2" i="49"/>
  <c r="AD24" i="49"/>
  <c r="X2" i="49"/>
  <c r="AM3" i="49"/>
  <c r="AF10" i="49"/>
  <c r="AI27" i="49"/>
  <c r="AM21" i="49"/>
  <c r="Y5" i="49"/>
  <c r="M16" i="49"/>
  <c r="AM24" i="49"/>
  <c r="U7" i="49"/>
  <c r="AE24" i="49"/>
  <c r="U22" i="49"/>
  <c r="P18" i="49"/>
  <c r="L19" i="49"/>
  <c r="H28" i="49"/>
  <c r="AF30" i="49"/>
  <c r="AI16" i="49"/>
  <c r="Z20" i="49"/>
  <c r="T7" i="49"/>
  <c r="O26" i="49"/>
  <c r="K4" i="49"/>
  <c r="AF7" i="49"/>
  <c r="X7" i="49"/>
  <c r="L20" i="49"/>
  <c r="U23" i="49"/>
  <c r="AD17" i="49"/>
  <c r="AB18" i="49"/>
  <c r="AG9" i="49"/>
  <c r="S24" i="49"/>
  <c r="AA13" i="49"/>
  <c r="AG2" i="49"/>
  <c r="R7" i="49"/>
  <c r="AD19" i="49"/>
  <c r="W29" i="49"/>
  <c r="S14" i="49"/>
  <c r="O21" i="49"/>
  <c r="L18" i="49"/>
  <c r="I21" i="49"/>
  <c r="AL8" i="49"/>
  <c r="AC6" i="49"/>
  <c r="AI5" i="49"/>
  <c r="AC4" i="49"/>
  <c r="W7" i="49"/>
  <c r="R15" i="49"/>
  <c r="O3" i="49"/>
  <c r="L14" i="49"/>
  <c r="I25" i="49"/>
  <c r="AN16" i="49"/>
  <c r="W12" i="49"/>
  <c r="O13" i="49"/>
  <c r="I3" i="49"/>
  <c r="P23" i="49"/>
  <c r="AA23" i="49"/>
  <c r="AH22" i="49"/>
  <c r="Y22" i="49"/>
  <c r="AF18" i="49"/>
  <c r="U3" i="49"/>
  <c r="L28" i="49"/>
  <c r="U4" i="49"/>
  <c r="AF5" i="49"/>
  <c r="Q20" i="49"/>
  <c r="AD4" i="49"/>
  <c r="X12" i="49"/>
  <c r="S8" i="49"/>
  <c r="O16" i="49"/>
  <c r="L17" i="49"/>
  <c r="I20" i="49"/>
  <c r="AK27" i="49"/>
  <c r="AN20" i="49"/>
  <c r="AH30" i="49"/>
  <c r="AB27" i="49"/>
  <c r="W9" i="49"/>
  <c r="R16" i="49"/>
  <c r="O4" i="49"/>
  <c r="L10" i="49"/>
  <c r="AM30" i="49"/>
  <c r="AD29" i="49"/>
  <c r="AL30" i="49"/>
  <c r="Z15" i="49"/>
  <c r="Q9" i="49"/>
  <c r="H29" i="49"/>
  <c r="AL25" i="49"/>
  <c r="AM11" i="49"/>
  <c r="AD18" i="49"/>
  <c r="AL17" i="49"/>
  <c r="Z25" i="49"/>
  <c r="Q8" i="49"/>
  <c r="AF26" i="49"/>
  <c r="S29" i="49"/>
  <c r="AH20" i="49"/>
  <c r="U13" i="49"/>
  <c r="AE9" i="49"/>
  <c r="AJ5" i="49"/>
  <c r="AD6" i="49"/>
  <c r="X16" i="49"/>
  <c r="AH25" i="49"/>
  <c r="Z14" i="49"/>
  <c r="T8" i="49"/>
  <c r="N5" i="49"/>
  <c r="AD15" i="49"/>
  <c r="S6" i="49"/>
  <c r="AH9" i="49"/>
  <c r="T14" i="49"/>
  <c r="AD30" i="49"/>
  <c r="AJ23" i="49"/>
  <c r="I11" i="49"/>
  <c r="R23" i="49"/>
  <c r="T24" i="49"/>
  <c r="K30" i="49"/>
  <c r="AC28" i="49"/>
  <c r="Y12" i="49"/>
  <c r="N13" i="49"/>
  <c r="AC14" i="49"/>
  <c r="K6" i="49"/>
  <c r="AK29" i="49"/>
  <c r="W27" i="49"/>
  <c r="U21" i="49"/>
  <c r="U25" i="49"/>
  <c r="W5" i="49"/>
  <c r="AG27" i="49"/>
  <c r="V26" i="49"/>
  <c r="Q10" i="49"/>
  <c r="M18" i="49"/>
  <c r="I4" i="49"/>
  <c r="AH19" i="49"/>
  <c r="AJ28" i="49"/>
  <c r="AB7" i="49"/>
  <c r="U12" i="49"/>
  <c r="P4" i="49"/>
  <c r="K16" i="49"/>
  <c r="AH17" i="49"/>
  <c r="Y18" i="49"/>
  <c r="M22" i="49"/>
  <c r="Y23" i="49"/>
  <c r="AL13" i="49"/>
  <c r="AF17" i="49"/>
  <c r="AL3" i="49"/>
  <c r="X10" i="49"/>
  <c r="J14" i="49"/>
  <c r="AL9" i="49"/>
  <c r="T12" i="49"/>
  <c r="AA17" i="49"/>
  <c r="U11" i="49"/>
  <c r="P12" i="49"/>
  <c r="K17" i="49"/>
  <c r="AN21" i="49"/>
  <c r="AE13" i="49"/>
  <c r="AG8" i="49"/>
  <c r="Y26" i="49"/>
  <c r="S20" i="49"/>
  <c r="N26" i="49"/>
  <c r="J29" i="49"/>
  <c r="AG21" i="49"/>
  <c r="AA22" i="49"/>
  <c r="R8" i="49"/>
  <c r="K19" i="49"/>
  <c r="X27" i="49"/>
  <c r="J11" i="49"/>
  <c r="Q4" i="49"/>
  <c r="AH14" i="49"/>
  <c r="T28" i="49"/>
  <c r="AC24" i="49"/>
  <c r="AD10" i="49"/>
  <c r="Y28" i="49"/>
  <c r="J19" i="49"/>
  <c r="AE14" i="49"/>
  <c r="M25" i="49"/>
  <c r="Q24" i="49"/>
  <c r="T16" i="49"/>
  <c r="AE22" i="49"/>
  <c r="P19" i="49"/>
  <c r="J30" i="49"/>
  <c r="V7" i="49"/>
  <c r="AM17" i="49"/>
  <c r="N17" i="49"/>
  <c r="V2" i="49"/>
  <c r="AL29" i="49"/>
  <c r="AE21" i="49"/>
  <c r="L16" i="49"/>
  <c r="O30" i="49"/>
  <c r="R30" i="49"/>
  <c r="I14" i="49"/>
  <c r="W6" i="49"/>
  <c r="S30" i="49"/>
  <c r="P9" i="49"/>
  <c r="AD16" i="49"/>
  <c r="S22" i="49"/>
  <c r="AD8" i="49"/>
  <c r="S2" i="49"/>
  <c r="J25" i="49"/>
  <c r="U30" i="49"/>
  <c r="M13" i="49"/>
  <c r="AH10" i="49"/>
  <c r="M28" i="49"/>
  <c r="J23" i="49"/>
  <c r="T27" i="49"/>
  <c r="Q12" i="49"/>
  <c r="O11" i="49"/>
  <c r="AN13" i="49"/>
  <c r="R14" i="49"/>
  <c r="AK26" i="49"/>
  <c r="O14" i="49"/>
  <c r="I29" i="49"/>
  <c r="U9" i="49"/>
  <c r="L23" i="49"/>
  <c r="AE12" i="49"/>
  <c r="L21" i="49"/>
  <c r="S19" i="49"/>
  <c r="AF2" i="49"/>
  <c r="I27" i="49"/>
  <c r="U18" i="49"/>
  <c r="H18" i="49"/>
  <c r="N9" i="49"/>
  <c r="P3" i="49"/>
  <c r="N2" i="49"/>
  <c r="O10" i="49"/>
  <c r="L7" i="49"/>
  <c r="AR8" i="49"/>
  <c r="AS30" i="49"/>
  <c r="H5" i="49"/>
  <c r="B2" i="49"/>
  <c r="G30" i="49"/>
  <c r="F4" i="49"/>
  <c r="AR2" i="49"/>
  <c r="AO12" i="49"/>
  <c r="F17" i="49"/>
  <c r="AQ6" i="49"/>
  <c r="B12" i="49"/>
  <c r="AO6" i="49"/>
  <c r="C4" i="49"/>
  <c r="AO19" i="49"/>
  <c r="B26" i="49"/>
  <c r="B4" i="49"/>
  <c r="AR28" i="49"/>
  <c r="B36" i="49"/>
  <c r="H12" i="49"/>
  <c r="B7" i="49"/>
  <c r="B15" i="49"/>
  <c r="F22" i="49"/>
  <c r="C21" i="49"/>
  <c r="E16" i="49"/>
  <c r="G7" i="49"/>
  <c r="AR18" i="49"/>
  <c r="F13" i="49"/>
  <c r="C15" i="49"/>
  <c r="H14" i="49"/>
  <c r="E14" i="49"/>
  <c r="AS11" i="49"/>
  <c r="AO28" i="49"/>
  <c r="AQ4" i="49"/>
  <c r="H6" i="49"/>
  <c r="E24" i="49"/>
  <c r="AS8" i="49"/>
  <c r="AP8" i="49"/>
  <c r="F3" i="49"/>
  <c r="G19" i="49"/>
  <c r="B18" i="49"/>
  <c r="AS10" i="49"/>
  <c r="E13" i="49"/>
  <c r="B10" i="49"/>
  <c r="F14" i="49"/>
  <c r="E23" i="49"/>
  <c r="C26" i="49"/>
  <c r="F9" i="49"/>
  <c r="AP10" i="49"/>
  <c r="AR22" i="49"/>
  <c r="H7" i="49"/>
  <c r="F6" i="49"/>
  <c r="AP3" i="49"/>
  <c r="H11" i="49"/>
  <c r="C24" i="49"/>
  <c r="G22" i="49"/>
  <c r="AR14" i="49"/>
  <c r="E17" i="49"/>
  <c r="AS18" i="49"/>
  <c r="B33" i="49"/>
  <c r="AS4" i="49"/>
  <c r="AP9" i="49"/>
  <c r="AO18" i="49"/>
  <c r="AP12" i="49"/>
  <c r="AR17" i="49"/>
  <c r="B27" i="49"/>
  <c r="AS9" i="49"/>
  <c r="F15" i="49"/>
  <c r="AI25" i="49"/>
  <c r="I5" i="49"/>
  <c r="AO2" i="49"/>
  <c r="AR20" i="49"/>
  <c r="E25" i="49"/>
  <c r="AO10" i="49"/>
  <c r="B16" i="49"/>
  <c r="F29" i="49"/>
  <c r="F12" i="49"/>
  <c r="B17" i="49"/>
  <c r="E26" i="49"/>
  <c r="F20" i="49"/>
  <c r="G10" i="49"/>
  <c r="C6" i="49"/>
  <c r="AR29" i="49"/>
  <c r="F27" i="49"/>
  <c r="AO11" i="49"/>
  <c r="AS25" i="49"/>
  <c r="G13" i="49"/>
  <c r="AO5" i="49"/>
  <c r="F24" i="49"/>
  <c r="AR3" i="49"/>
  <c r="E10" i="49"/>
  <c r="AR16" i="49"/>
  <c r="C13" i="49"/>
  <c r="B31" i="49"/>
  <c r="C19" i="49"/>
  <c r="F19" i="49"/>
  <c r="AS2" i="49"/>
  <c r="C23" i="49"/>
  <c r="B35" i="49"/>
  <c r="C7" i="49"/>
  <c r="E7" i="49"/>
  <c r="G28" i="49"/>
  <c r="AS29" i="49"/>
  <c r="B32" i="49"/>
  <c r="AO13" i="49"/>
  <c r="C2" i="49"/>
  <c r="AO23" i="49"/>
  <c r="G5" i="49"/>
  <c r="G4" i="49"/>
  <c r="AR27" i="49"/>
  <c r="G14" i="49"/>
  <c r="AR10" i="49"/>
  <c r="AR9" i="49"/>
  <c r="AO4" i="49"/>
  <c r="AL23" i="49"/>
  <c r="AD9" i="49"/>
  <c r="AL2" i="49"/>
  <c r="Y16" i="49"/>
  <c r="P17" i="49"/>
  <c r="AD22" i="49"/>
  <c r="AK18" i="49"/>
  <c r="AL22" i="49"/>
  <c r="AC19" i="49"/>
  <c r="AK17" i="49"/>
  <c r="Y25" i="49"/>
  <c r="P22" i="49"/>
  <c r="AD13" i="49"/>
  <c r="Q25" i="49"/>
  <c r="AG23" i="49"/>
  <c r="S28" i="49"/>
  <c r="AN28" i="49"/>
  <c r="AI17" i="49"/>
  <c r="AC25" i="49"/>
  <c r="X8" i="49"/>
  <c r="AG22" i="49"/>
  <c r="Z9" i="49"/>
  <c r="S9" i="49"/>
  <c r="M17" i="49"/>
  <c r="AC21" i="49"/>
  <c r="AN23" i="49"/>
  <c r="AG17" i="49"/>
  <c r="S4" i="49"/>
  <c r="AN9" i="49"/>
  <c r="AG15" i="49"/>
  <c r="AB17" i="49"/>
  <c r="AK21" i="49"/>
  <c r="S17" i="49"/>
  <c r="J22" i="49"/>
  <c r="AL14" i="49"/>
  <c r="X9" i="49"/>
  <c r="M7" i="49"/>
  <c r="AD3" i="49"/>
  <c r="I22" i="49"/>
  <c r="AI11" i="49"/>
  <c r="AJ4" i="49"/>
  <c r="O7" i="49"/>
  <c r="R4" i="49"/>
  <c r="T21" i="49"/>
  <c r="AA19" i="49"/>
  <c r="V6" i="49"/>
  <c r="P14" i="49"/>
  <c r="L2" i="49"/>
  <c r="H4" i="49"/>
  <c r="AE15" i="49"/>
  <c r="AG24" i="49"/>
  <c r="Y27" i="49"/>
  <c r="T13" i="49"/>
  <c r="N24" i="49"/>
  <c r="AP2" i="49"/>
  <c r="AE28" i="49"/>
  <c r="T19" i="49"/>
  <c r="L9" i="49"/>
  <c r="U8" i="49"/>
  <c r="V16" i="49"/>
  <c r="AD7" i="49"/>
  <c r="AI14" i="49"/>
  <c r="S10" i="49"/>
  <c r="AE7" i="49"/>
  <c r="AI4" i="49"/>
  <c r="AM2" i="49"/>
  <c r="Z29" i="49"/>
  <c r="T10" i="49"/>
  <c r="N22" i="49"/>
  <c r="K8" i="49"/>
  <c r="AM7" i="49"/>
  <c r="AM12" i="49"/>
  <c r="AE18" i="49"/>
  <c r="X26" i="49"/>
  <c r="Q28" i="49"/>
  <c r="M30" i="49"/>
  <c r="J13" i="49"/>
  <c r="AD27" i="49"/>
  <c r="Y8" i="49"/>
  <c r="P7" i="49"/>
  <c r="J18" i="49"/>
  <c r="T5" i="49"/>
  <c r="AJ24" i="49"/>
  <c r="N8" i="49"/>
  <c r="AB26" i="49"/>
  <c r="R17" i="49"/>
  <c r="AK24" i="49"/>
  <c r="AK14" i="49"/>
  <c r="U6" i="49"/>
  <c r="AN26" i="49"/>
  <c r="Z12" i="49"/>
  <c r="J24" i="49"/>
  <c r="K21" i="49"/>
  <c r="O25" i="49"/>
  <c r="Z30" i="49"/>
  <c r="O12" i="49"/>
  <c r="I12" i="49"/>
  <c r="Q7" i="49"/>
  <c r="AB8" i="49"/>
  <c r="K28" i="49"/>
  <c r="M29" i="49"/>
  <c r="AA2" i="49"/>
  <c r="S16" i="49"/>
  <c r="AF19" i="49"/>
  <c r="L25" i="49"/>
  <c r="L5" i="49"/>
  <c r="AJ14" i="49"/>
  <c r="N10" i="49"/>
  <c r="AF3" i="49"/>
  <c r="M12" i="49"/>
  <c r="AI20" i="49"/>
  <c r="O17" i="49"/>
  <c r="X18" i="49"/>
  <c r="AG16" i="49"/>
  <c r="AK4" i="49"/>
  <c r="S12" i="49"/>
  <c r="K25" i="49"/>
  <c r="Z8" i="49"/>
  <c r="J20" i="49"/>
  <c r="AH4" i="49"/>
  <c r="L6" i="49"/>
  <c r="AC26" i="49"/>
  <c r="L3" i="49"/>
  <c r="AH3" i="49"/>
  <c r="O2" i="49"/>
  <c r="U24" i="49"/>
  <c r="Y7" i="49"/>
  <c r="AI23" i="49"/>
  <c r="R2" i="49"/>
  <c r="K14" i="49"/>
  <c r="W16" i="49"/>
  <c r="I19" i="49"/>
  <c r="P2" i="49"/>
  <c r="AN24" i="49"/>
  <c r="AN7" i="49"/>
  <c r="Q22" i="49"/>
  <c r="H30" i="49"/>
  <c r="I9" i="49"/>
  <c r="K9" i="49"/>
  <c r="E9" i="49"/>
  <c r="G23" i="49"/>
  <c r="C25" i="49"/>
  <c r="F10" i="49"/>
  <c r="B14" i="49"/>
  <c r="E8" i="49"/>
  <c r="AQ8" i="49"/>
  <c r="C28" i="49"/>
  <c r="E29" i="49"/>
  <c r="AR5" i="49"/>
  <c r="G18" i="49"/>
  <c r="C22" i="49"/>
  <c r="G8" i="49"/>
  <c r="E28" i="49"/>
  <c r="AR15" i="49"/>
  <c r="E21" i="49"/>
  <c r="G24" i="49"/>
  <c r="AS23" i="49"/>
  <c r="AO20" i="49"/>
  <c r="AS24" i="49"/>
  <c r="G9" i="49"/>
  <c r="Y20" i="49"/>
  <c r="V5" i="49"/>
  <c r="V13" i="49"/>
  <c r="AH23" i="49"/>
  <c r="AF20" i="49"/>
  <c r="L26" i="49"/>
  <c r="AL11" i="49"/>
  <c r="AL20" i="49"/>
  <c r="AG25" i="49"/>
  <c r="AL5" i="49"/>
  <c r="V19" i="49"/>
  <c r="K3" i="49"/>
  <c r="AK15" i="49"/>
  <c r="AK23" i="49"/>
  <c r="V29" i="49"/>
  <c r="AA4" i="49"/>
  <c r="AN5" i="49"/>
  <c r="S13" i="49"/>
  <c r="S5" i="49"/>
  <c r="AG4" i="49"/>
  <c r="M8" i="49"/>
  <c r="AM22" i="49"/>
  <c r="T30" i="49"/>
  <c r="K11" i="49"/>
  <c r="AM25" i="49"/>
  <c r="X29" i="49"/>
  <c r="M23" i="49"/>
  <c r="AH29" i="49"/>
  <c r="J27" i="49"/>
  <c r="AM8" i="49"/>
  <c r="AC30" i="49"/>
  <c r="Z4" i="49"/>
  <c r="AJ9" i="49"/>
  <c r="R10" i="49"/>
  <c r="J3" i="49"/>
  <c r="AK16" i="49"/>
  <c r="U28" i="49"/>
  <c r="L15" i="49"/>
  <c r="AM4" i="49"/>
  <c r="N27" i="49"/>
  <c r="P10" i="49"/>
  <c r="K5" i="49"/>
  <c r="P30" i="49"/>
  <c r="U20" i="49"/>
  <c r="AG26" i="49"/>
  <c r="AG5" i="49"/>
  <c r="K15" i="49"/>
  <c r="M24" i="49"/>
  <c r="N11" i="49"/>
  <c r="H26" i="49"/>
  <c r="Q11" i="49"/>
  <c r="AA8" i="49"/>
  <c r="W10" i="49"/>
  <c r="W19" i="49"/>
  <c r="J4" i="49"/>
  <c r="L29" i="49"/>
  <c r="S3" i="49"/>
  <c r="P5" i="49"/>
  <c r="T25" i="49"/>
  <c r="Y3" i="49"/>
  <c r="W13" i="49"/>
  <c r="AB22" i="49"/>
  <c r="N18" i="49"/>
  <c r="AA25" i="49"/>
  <c r="I15" i="49"/>
  <c r="AF6" i="49"/>
  <c r="AB24" i="49"/>
  <c r="N28" i="49"/>
  <c r="M10" i="49"/>
  <c r="AM19" i="49"/>
  <c r="AR24" i="49"/>
  <c r="AS20" i="49"/>
  <c r="AO15" i="49"/>
  <c r="G12" i="49"/>
  <c r="C30" i="49"/>
  <c r="AQ2" i="49"/>
  <c r="AO26" i="49"/>
  <c r="AS17" i="49"/>
  <c r="AS14" i="49"/>
  <c r="AR4" i="49"/>
  <c r="F8" i="49"/>
  <c r="B30" i="49"/>
  <c r="F5" i="49"/>
  <c r="E20" i="49"/>
  <c r="B22" i="49"/>
  <c r="G27" i="49"/>
  <c r="AP6" i="49"/>
  <c r="AQ3" i="49"/>
  <c r="C9" i="49"/>
  <c r="AO30" i="49"/>
  <c r="AO24" i="49"/>
  <c r="AR12" i="49"/>
  <c r="F25" i="49"/>
  <c r="E2" i="49"/>
  <c r="AS22" i="49"/>
  <c r="C8" i="49"/>
  <c r="H13" i="49"/>
  <c r="B20" i="49"/>
  <c r="AR30" i="49"/>
  <c r="C29" i="49"/>
  <c r="F7" i="49"/>
  <c r="C5" i="49"/>
  <c r="E19" i="49"/>
  <c r="B28" i="49"/>
  <c r="AO22" i="49"/>
  <c r="W21" i="49"/>
  <c r="X24" i="49"/>
  <c r="R20" i="49"/>
  <c r="L22" i="49"/>
  <c r="V27" i="49"/>
  <c r="E15" i="49"/>
  <c r="AO8" i="49"/>
  <c r="AP5" i="49"/>
  <c r="AQ12" i="49"/>
  <c r="E12" i="49"/>
  <c r="B13" i="49"/>
  <c r="E18" i="49"/>
  <c r="G2" i="49"/>
  <c r="AS3" i="49"/>
  <c r="G21" i="49"/>
  <c r="B21" i="49"/>
  <c r="E27" i="49"/>
  <c r="G6" i="49"/>
  <c r="AP4" i="49"/>
  <c r="C11" i="49"/>
  <c r="AO29" i="49"/>
  <c r="AS12" i="49"/>
  <c r="B37" i="49"/>
  <c r="F30" i="49"/>
  <c r="C16" i="49"/>
  <c r="B5" i="49"/>
  <c r="B9" i="49"/>
  <c r="AR7" i="49"/>
  <c r="H10" i="49"/>
  <c r="B19" i="49"/>
  <c r="C10" i="49"/>
  <c r="AI10" i="49"/>
  <c r="AF27" i="49"/>
  <c r="AF24" i="49"/>
  <c r="Y21" i="49"/>
  <c r="V8" i="49"/>
  <c r="X30" i="49"/>
  <c r="AM6" i="49"/>
  <c r="AB10" i="49"/>
  <c r="P27" i="49"/>
  <c r="W17" i="49"/>
  <c r="AE30" i="49"/>
  <c r="AJ20" i="49"/>
  <c r="AF25" i="49"/>
  <c r="J26" i="49"/>
  <c r="AD5" i="49"/>
  <c r="AI19" i="49"/>
  <c r="N15" i="49"/>
  <c r="AM16" i="49"/>
  <c r="Q27" i="49"/>
  <c r="J10" i="49"/>
  <c r="M19" i="49"/>
  <c r="AA30" i="49"/>
  <c r="Z21" i="49"/>
  <c r="Y10" i="49"/>
  <c r="AJ6" i="49"/>
  <c r="AD11" i="49"/>
  <c r="I7" i="49"/>
  <c r="V28" i="49"/>
  <c r="Z17" i="49"/>
  <c r="Z11" i="49"/>
  <c r="Y30" i="49"/>
  <c r="T29" i="49"/>
  <c r="W3" i="49"/>
  <c r="AI30" i="49"/>
  <c r="U26" i="49"/>
  <c r="AC18" i="49"/>
  <c r="I24" i="49"/>
  <c r="X20" i="49"/>
  <c r="AC15" i="49"/>
  <c r="AD2" i="49"/>
  <c r="J7" i="49"/>
  <c r="T9" i="49"/>
  <c r="I18" i="49"/>
  <c r="R9" i="49"/>
  <c r="O20" i="49"/>
  <c r="M9" i="49"/>
  <c r="Y6" i="49"/>
  <c r="X5" i="49"/>
  <c r="AC9" i="49"/>
  <c r="E11" i="49"/>
  <c r="AO25" i="49"/>
  <c r="B6" i="49"/>
  <c r="H9" i="49"/>
  <c r="AO16" i="49"/>
  <c r="F11" i="49"/>
  <c r="F18" i="49"/>
  <c r="G11" i="49"/>
  <c r="AQ7" i="49"/>
  <c r="AO27" i="49"/>
  <c r="G29" i="49"/>
  <c r="B24" i="49"/>
  <c r="B11" i="49"/>
  <c r="AS19" i="49"/>
  <c r="AO7" i="49"/>
  <c r="C20" i="49"/>
  <c r="G25" i="49"/>
  <c r="AR11" i="49"/>
  <c r="F23" i="49"/>
  <c r="E5" i="49"/>
  <c r="B8" i="49"/>
  <c r="F26" i="49"/>
  <c r="AS26" i="49"/>
  <c r="AR26" i="49"/>
  <c r="AH18" i="49"/>
  <c r="AF12" i="49"/>
  <c r="L11" i="49"/>
  <c r="AE20" i="49"/>
  <c r="U2" i="49"/>
  <c r="X6" i="49"/>
  <c r="Z19" i="49"/>
  <c r="AL18" i="49"/>
  <c r="Z23" i="49"/>
  <c r="AC7" i="49"/>
  <c r="P11" i="49"/>
  <c r="V23" i="49"/>
  <c r="Y24" i="49"/>
  <c r="AC10" i="49"/>
  <c r="AG30" i="49"/>
  <c r="AE5" i="49"/>
  <c r="I16" i="49"/>
  <c r="K26" i="49"/>
  <c r="W15" i="49"/>
  <c r="Z2" i="49"/>
  <c r="N4" i="49"/>
  <c r="AD21" i="49"/>
  <c r="P20" i="49"/>
  <c r="P21" i="49"/>
  <c r="K10" i="49"/>
  <c r="N29" i="49"/>
  <c r="V24" i="49"/>
  <c r="M11" i="49"/>
  <c r="AH8" i="49"/>
  <c r="O19" i="49"/>
  <c r="H24" i="49"/>
  <c r="T3" i="49"/>
  <c r="V4" i="49"/>
  <c r="V15" i="49"/>
  <c r="M27" i="49"/>
  <c r="P29" i="49"/>
  <c r="S21" i="49"/>
  <c r="AA6" i="49"/>
  <c r="AB6" i="49"/>
  <c r="W22" i="49"/>
  <c r="AB29" i="49"/>
  <c r="S15" i="49"/>
  <c r="W20" i="49"/>
  <c r="Y2" i="49"/>
  <c r="P28" i="49"/>
  <c r="AE8" i="49"/>
  <c r="I6" i="49"/>
  <c r="M26" i="49"/>
  <c r="O24" i="49"/>
  <c r="J8" i="49"/>
  <c r="AL4" i="49"/>
  <c r="Q26" i="49"/>
  <c r="R21" i="49"/>
  <c r="B3" i="49"/>
  <c r="F16" i="49"/>
  <c r="E30" i="49"/>
  <c r="C12" i="49"/>
  <c r="E4" i="49"/>
  <c r="E22" i="49"/>
  <c r="C14" i="49"/>
  <c r="AO9" i="49"/>
  <c r="AS5" i="49"/>
  <c r="AS28" i="49"/>
  <c r="AS27" i="49"/>
  <c r="G15" i="49"/>
  <c r="AS15" i="49"/>
  <c r="AP7" i="49"/>
  <c r="H2" i="49"/>
  <c r="F21" i="49"/>
  <c r="AO17" i="49"/>
  <c r="AS6" i="49"/>
  <c r="AR21" i="49"/>
  <c r="AQ5" i="49"/>
  <c r="AQ13" i="49"/>
  <c r="AR23" i="49"/>
  <c r="F2" i="49"/>
  <c r="Z6" i="49"/>
  <c r="U5" i="49"/>
  <c r="T20" i="49"/>
  <c r="AH7" i="49"/>
  <c r="AE19" i="49"/>
  <c r="L8" i="49"/>
  <c r="AK28" i="49"/>
  <c r="AK13" i="49"/>
  <c r="AF14" i="49"/>
  <c r="AK30" i="49"/>
  <c r="U15" i="49"/>
  <c r="J9" i="49"/>
  <c r="AK9" i="49"/>
  <c r="AJ26" i="49"/>
  <c r="R5" i="49"/>
  <c r="Z7" i="49"/>
  <c r="AL28" i="49"/>
  <c r="Q13" i="49"/>
  <c r="Q5" i="49"/>
  <c r="Z22" i="49"/>
  <c r="J15" i="49"/>
  <c r="AJ29" i="49"/>
  <c r="R11" i="49"/>
  <c r="J28" i="49"/>
  <c r="AL10" i="49"/>
  <c r="U27" i="49"/>
  <c r="M4" i="49"/>
  <c r="AB23" i="49"/>
  <c r="AK2" i="49"/>
  <c r="AJ15" i="49"/>
  <c r="Z28" i="49"/>
  <c r="Q6" i="49"/>
  <c r="AG10" i="49"/>
  <c r="P15" i="49"/>
  <c r="H15" i="49"/>
  <c r="AJ10" i="49"/>
  <c r="T23" i="49"/>
  <c r="K29" i="49"/>
  <c r="AG11" i="49"/>
  <c r="M3" i="49"/>
  <c r="M6" i="49"/>
  <c r="AN11" i="49"/>
  <c r="AL24" i="49"/>
  <c r="AI7" i="49"/>
  <c r="AK8" i="49"/>
  <c r="AA3" i="49"/>
  <c r="AL21" i="49"/>
  <c r="L12" i="49"/>
  <c r="K2" i="49"/>
  <c r="AI12" i="49"/>
  <c r="K7" i="49"/>
  <c r="T4" i="49"/>
  <c r="O5" i="49"/>
  <c r="AH26" i="49"/>
  <c r="AL15" i="49"/>
  <c r="I23" i="49"/>
  <c r="N23" i="49"/>
  <c r="N30" i="49"/>
  <c r="P16" i="49"/>
  <c r="AE26" i="49"/>
  <c r="R27" i="49"/>
  <c r="V17" i="49"/>
  <c r="H16" i="49"/>
  <c r="H21" i="49"/>
  <c r="K20" i="49"/>
  <c r="C18" i="49"/>
  <c r="B29" i="49"/>
  <c r="AR13" i="49"/>
  <c r="AS16" i="49"/>
  <c r="AR25" i="49"/>
  <c r="G3" i="49"/>
  <c r="G26" i="49"/>
  <c r="E3" i="49"/>
  <c r="AS13" i="49"/>
  <c r="L27" i="49"/>
  <c r="AC27" i="49"/>
  <c r="AD20" i="49"/>
  <c r="AB19" i="49"/>
  <c r="O27" i="49"/>
  <c r="Q23" i="49"/>
  <c r="Z27" i="49"/>
  <c r="AF4" i="49"/>
  <c r="R26" i="49"/>
  <c r="Q2" i="49"/>
  <c r="N6" i="49"/>
  <c r="P25" i="49"/>
  <c r="I2" i="49"/>
  <c r="P24" i="49"/>
  <c r="V14" i="49"/>
  <c r="H22" i="49"/>
  <c r="AB4" i="49"/>
  <c r="O15" i="49"/>
  <c r="Y17" i="49"/>
  <c r="L13" i="49"/>
  <c r="S18" i="49"/>
  <c r="AF23" i="49"/>
  <c r="B25" i="49"/>
  <c r="AQ9" i="49"/>
  <c r="G17" i="49"/>
  <c r="AO14" i="49"/>
  <c r="C3" i="49"/>
  <c r="E6" i="49"/>
  <c r="AO21" i="49"/>
  <c r="AP11" i="49"/>
  <c r="C17" i="49"/>
  <c r="B34" i="49"/>
  <c r="Z5" i="49"/>
  <c r="N14" i="49"/>
  <c r="AB13" i="49"/>
  <c r="AJ3" i="49"/>
  <c r="H17" i="49"/>
  <c r="X11" i="49"/>
  <c r="V30" i="49"/>
  <c r="AA7" i="49"/>
  <c r="AF28" i="49"/>
  <c r="P26" i="49"/>
  <c r="I17" i="49"/>
  <c r="Q30" i="49"/>
  <c r="AH16" i="49"/>
  <c r="J5" i="49"/>
  <c r="H23" i="49"/>
  <c r="AK22" i="49"/>
  <c r="N7" i="49"/>
  <c r="V11" i="49"/>
  <c r="AS7" i="49"/>
  <c r="AR19" i="49"/>
  <c r="AO3" i="49"/>
  <c r="H8" i="49"/>
  <c r="C27" i="49"/>
  <c r="G16" i="49"/>
  <c r="AR6" i="49"/>
  <c r="B23" i="49"/>
  <c r="AS21" i="49"/>
  <c r="F28" i="49"/>
  <c r="G20" i="49"/>
  <c r="E43" i="46" l="1"/>
  <c r="F26" i="46"/>
  <c r="E67" i="43"/>
  <c r="E62" i="43"/>
  <c r="F62" i="43" s="1"/>
  <c r="F61" i="43"/>
  <c r="H36" i="44"/>
  <c r="H38" i="43"/>
  <c r="E62" i="39"/>
  <c r="F62" i="39" s="1"/>
  <c r="E67" i="39"/>
  <c r="F61" i="39"/>
  <c r="H51" i="39"/>
  <c r="H57" i="38"/>
  <c r="H53" i="38"/>
  <c r="I53" i="38" s="1"/>
  <c r="I51" i="38"/>
  <c r="F64" i="41"/>
  <c r="F108" i="38"/>
  <c r="E110" i="38"/>
  <c r="F108" i="39"/>
  <c r="E110" i="39"/>
  <c r="F110" i="39" s="1"/>
  <c r="I97" i="36"/>
  <c r="H109" i="36"/>
  <c r="I109" i="36" s="1"/>
  <c r="H69" i="39"/>
  <c r="H71" i="38"/>
  <c r="I71" i="38" s="1"/>
  <c r="I69" i="38"/>
  <c r="H75" i="38"/>
  <c r="E110" i="42"/>
  <c r="F110" i="42" s="1"/>
  <c r="H72" i="39"/>
  <c r="H74" i="38"/>
  <c r="I72" i="38"/>
  <c r="G63" i="39"/>
  <c r="G65" i="38"/>
  <c r="F26" i="45"/>
  <c r="E43" i="45"/>
  <c r="F108" i="43"/>
  <c r="E110" i="43"/>
  <c r="F110" i="43" s="1"/>
  <c r="F66" i="42"/>
  <c r="E68" i="42"/>
  <c r="F68" i="42" s="1"/>
  <c r="F108" i="41"/>
  <c r="E67" i="41"/>
  <c r="F61" i="41"/>
  <c r="H21" i="39"/>
  <c r="H22" i="38"/>
  <c r="I21" i="38"/>
  <c r="F64" i="44"/>
  <c r="H60" i="39"/>
  <c r="H66" i="38"/>
  <c r="I60" i="38"/>
  <c r="E43" i="37"/>
  <c r="F26" i="37"/>
  <c r="F98" i="39"/>
  <c r="H64" i="39"/>
  <c r="I64" i="38"/>
  <c r="F98" i="38"/>
  <c r="G71" i="38"/>
  <c r="G69" i="39"/>
  <c r="G75" i="38"/>
  <c r="G77" i="38" s="1"/>
  <c r="F108" i="37"/>
  <c r="E110" i="37"/>
  <c r="F110" i="37" s="1"/>
  <c r="I96" i="36"/>
  <c r="H98" i="36"/>
  <c r="I98" i="36" s="1"/>
  <c r="H108" i="36"/>
  <c r="H95" i="38"/>
  <c r="I95" i="38" s="1"/>
  <c r="I93" i="38"/>
  <c r="H93" i="39"/>
  <c r="G52" i="40"/>
  <c r="G58" i="39"/>
  <c r="I54" i="38"/>
  <c r="H56" i="38"/>
  <c r="H54" i="39"/>
  <c r="D110" i="38"/>
  <c r="I66" i="36"/>
  <c r="G93" i="39"/>
  <c r="G95" i="38"/>
  <c r="F26" i="47"/>
  <c r="F26" i="44"/>
  <c r="E43" i="44"/>
  <c r="E45" i="43"/>
  <c r="E67" i="40"/>
  <c r="E62" i="40"/>
  <c r="F62" i="40" s="1"/>
  <c r="F61" i="40"/>
  <c r="I97" i="37"/>
  <c r="H109" i="37"/>
  <c r="I75" i="36"/>
  <c r="H77" i="36"/>
  <c r="I77" i="36" s="1"/>
  <c r="H103" i="40"/>
  <c r="I103" i="39"/>
  <c r="E77" i="41"/>
  <c r="F77" i="41" s="1"/>
  <c r="F43" i="39"/>
  <c r="C138" i="39"/>
  <c r="E44" i="39"/>
  <c r="I31" i="39"/>
  <c r="H31" i="40"/>
  <c r="G72" i="39"/>
  <c r="G74" i="38"/>
  <c r="G28" i="39"/>
  <c r="G30" i="38"/>
  <c r="G32" i="38" s="1"/>
  <c r="I88" i="38"/>
  <c r="H88" i="39"/>
  <c r="G108" i="37"/>
  <c r="G98" i="37"/>
  <c r="I22" i="37"/>
  <c r="H106" i="38"/>
  <c r="H100" i="39"/>
  <c r="I100" i="38"/>
  <c r="H33" i="38"/>
  <c r="H35" i="37"/>
  <c r="I33" i="37"/>
  <c r="H108" i="37"/>
  <c r="H98" i="37"/>
  <c r="I96" i="37"/>
  <c r="I105" i="37"/>
  <c r="H107" i="37"/>
  <c r="H42" i="38"/>
  <c r="I42" i="37"/>
  <c r="E44" i="47"/>
  <c r="C138" i="47"/>
  <c r="F43" i="47"/>
  <c r="F66" i="47"/>
  <c r="E68" i="47"/>
  <c r="F68" i="47" s="1"/>
  <c r="F108" i="45"/>
  <c r="E110" i="45"/>
  <c r="F110" i="45" s="1"/>
  <c r="F66" i="46"/>
  <c r="E65" i="44"/>
  <c r="F65" i="44" s="1"/>
  <c r="F107" i="45"/>
  <c r="F26" i="42"/>
  <c r="E43" i="42"/>
  <c r="F39" i="46"/>
  <c r="F67" i="45"/>
  <c r="E68" i="45"/>
  <c r="F68" i="45" s="1"/>
  <c r="G36" i="43"/>
  <c r="I36" i="43" s="1"/>
  <c r="G38" i="42"/>
  <c r="I38" i="42" s="1"/>
  <c r="F39" i="45"/>
  <c r="I104" i="37"/>
  <c r="H61" i="36"/>
  <c r="E67" i="36"/>
  <c r="E62" i="36"/>
  <c r="F62" i="36" s="1"/>
  <c r="F61" i="36"/>
  <c r="H102" i="40"/>
  <c r="I102" i="39"/>
  <c r="H104" i="39"/>
  <c r="I66" i="37"/>
  <c r="F98" i="36"/>
  <c r="H73" i="41"/>
  <c r="E43" i="40"/>
  <c r="G33" i="38"/>
  <c r="G35" i="37"/>
  <c r="G39" i="37" s="1"/>
  <c r="G43" i="37" s="1"/>
  <c r="G44" i="37" s="1"/>
  <c r="G45" i="37" s="1"/>
  <c r="I105" i="36"/>
  <c r="H107" i="36"/>
  <c r="I107" i="36" s="1"/>
  <c r="E110" i="46"/>
  <c r="F110" i="46" s="1"/>
  <c r="E65" i="41"/>
  <c r="F65" i="41" s="1"/>
  <c r="G92" i="38"/>
  <c r="G90" i="39"/>
  <c r="H52" i="39"/>
  <c r="H58" i="38"/>
  <c r="I58" i="38" s="1"/>
  <c r="I52" i="38"/>
  <c r="H91" i="40"/>
  <c r="I91" i="39"/>
  <c r="G85" i="39"/>
  <c r="G97" i="38"/>
  <c r="H65" i="38"/>
  <c r="I63" i="38"/>
  <c r="H63" i="39"/>
  <c r="F98" i="37"/>
  <c r="H59" i="37"/>
  <c r="I59" i="37" s="1"/>
  <c r="I57" i="37"/>
  <c r="G22" i="39"/>
  <c r="G21" i="40"/>
  <c r="H40" i="38"/>
  <c r="I40" i="37"/>
  <c r="G23" i="39"/>
  <c r="G25" i="38"/>
  <c r="G26" i="38" s="1"/>
  <c r="I95" i="37"/>
  <c r="H76" i="37"/>
  <c r="I70" i="37"/>
  <c r="H71" i="37"/>
  <c r="I71" i="37" s="1"/>
  <c r="H70" i="38"/>
  <c r="E43" i="38"/>
  <c r="H97" i="38"/>
  <c r="G108" i="36"/>
  <c r="G110" i="36" s="1"/>
  <c r="I35" i="36"/>
  <c r="H39" i="36"/>
  <c r="I39" i="36" s="1"/>
  <c r="I30" i="36"/>
  <c r="H32" i="36"/>
  <c r="I32" i="36" s="1"/>
  <c r="G53" i="39"/>
  <c r="G51" i="40"/>
  <c r="G87" i="39"/>
  <c r="G89" i="38"/>
  <c r="H105" i="38"/>
  <c r="H101" i="38"/>
  <c r="I101" i="38" s="1"/>
  <c r="H99" i="39"/>
  <c r="I99" i="38"/>
  <c r="H94" i="39"/>
  <c r="I94" i="38"/>
  <c r="E77" i="36"/>
  <c r="F77" i="36" s="1"/>
  <c r="H55" i="39"/>
  <c r="I55" i="38"/>
  <c r="F98" i="47"/>
  <c r="E67" i="46"/>
  <c r="F67" i="46" s="1"/>
  <c r="F61" i="46"/>
  <c r="F98" i="41"/>
  <c r="E67" i="44"/>
  <c r="F59" i="41"/>
  <c r="I104" i="38"/>
  <c r="E43" i="36"/>
  <c r="F26" i="36"/>
  <c r="F26" i="41"/>
  <c r="E43" i="41"/>
  <c r="I57" i="36"/>
  <c r="H59" i="36"/>
  <c r="I59" i="36" s="1"/>
  <c r="D43" i="43"/>
  <c r="I90" i="38"/>
  <c r="H90" i="39"/>
  <c r="H92" i="38"/>
  <c r="I92" i="38" s="1"/>
  <c r="G100" i="38"/>
  <c r="G106" i="37"/>
  <c r="G109" i="37" s="1"/>
  <c r="H84" i="39"/>
  <c r="H86" i="38"/>
  <c r="I86" i="38" s="1"/>
  <c r="H96" i="38"/>
  <c r="I84" i="38"/>
  <c r="G96" i="38"/>
  <c r="G84" i="39"/>
  <c r="G86" i="38"/>
  <c r="G61" i="39"/>
  <c r="G67" i="38"/>
  <c r="H89" i="38"/>
  <c r="I89" i="38" s="1"/>
  <c r="I87" i="38"/>
  <c r="H87" i="39"/>
  <c r="G60" i="39"/>
  <c r="G62" i="38"/>
  <c r="G66" i="38"/>
  <c r="H41" i="38"/>
  <c r="I41" i="37"/>
  <c r="G104" i="39"/>
  <c r="G102" i="40"/>
  <c r="H85" i="40"/>
  <c r="I85" i="39"/>
  <c r="H97" i="39"/>
  <c r="I26" i="36"/>
  <c r="I106" i="37"/>
  <c r="G99" i="39"/>
  <c r="G105" i="38"/>
  <c r="G101" i="38"/>
  <c r="H28" i="38"/>
  <c r="H30" i="37"/>
  <c r="I28" i="37"/>
  <c r="G70" i="40"/>
  <c r="G76" i="39"/>
  <c r="I101" i="37"/>
  <c r="G54" i="39"/>
  <c r="G56" i="38"/>
  <c r="H23" i="38"/>
  <c r="H25" i="37"/>
  <c r="I23" i="37"/>
  <c r="D155" i="32"/>
  <c r="B155" i="32"/>
  <c r="G43" i="38" l="1"/>
  <c r="G44" i="38" s="1"/>
  <c r="G45" i="38" s="1"/>
  <c r="I25" i="37"/>
  <c r="H26" i="37"/>
  <c r="H32" i="37"/>
  <c r="I32" i="37" s="1"/>
  <c r="I30" i="37"/>
  <c r="G96" i="39"/>
  <c r="G86" i="39"/>
  <c r="G84" i="40"/>
  <c r="G87" i="40"/>
  <c r="G89" i="39"/>
  <c r="F43" i="38"/>
  <c r="C138" i="38"/>
  <c r="E44" i="38"/>
  <c r="G33" i="39"/>
  <c r="G35" i="38"/>
  <c r="G39" i="38" s="1"/>
  <c r="I61" i="36"/>
  <c r="H61" i="37"/>
  <c r="H67" i="36"/>
  <c r="H62" i="36"/>
  <c r="I62" i="36" s="1"/>
  <c r="H59" i="38"/>
  <c r="I59" i="38" s="1"/>
  <c r="I57" i="38"/>
  <c r="H38" i="44"/>
  <c r="H36" i="45"/>
  <c r="G62" i="39"/>
  <c r="G60" i="40"/>
  <c r="G66" i="39"/>
  <c r="G68" i="39" s="1"/>
  <c r="H84" i="40"/>
  <c r="I84" i="39"/>
  <c r="H96" i="39"/>
  <c r="H86" i="39"/>
  <c r="I86" i="39" s="1"/>
  <c r="G51" i="41"/>
  <c r="G53" i="40"/>
  <c r="H76" i="38"/>
  <c r="I76" i="38" s="1"/>
  <c r="I70" i="38"/>
  <c r="H70" i="39"/>
  <c r="H71" i="39" s="1"/>
  <c r="I71" i="39" s="1"/>
  <c r="H40" i="39"/>
  <c r="I40" i="38"/>
  <c r="H91" i="41"/>
  <c r="I91" i="40"/>
  <c r="G92" i="39"/>
  <c r="G90" i="40"/>
  <c r="C138" i="42"/>
  <c r="F43" i="42"/>
  <c r="E44" i="42"/>
  <c r="F44" i="47"/>
  <c r="E45" i="47"/>
  <c r="F45" i="47" s="1"/>
  <c r="G110" i="37"/>
  <c r="G28" i="40"/>
  <c r="G30" i="39"/>
  <c r="G32" i="39" s="1"/>
  <c r="G69" i="40"/>
  <c r="G71" i="39"/>
  <c r="G75" i="39"/>
  <c r="G77" i="39" s="1"/>
  <c r="I64" i="39"/>
  <c r="H64" i="40"/>
  <c r="I21" i="39"/>
  <c r="H21" i="40"/>
  <c r="H22" i="39"/>
  <c r="G65" i="39"/>
  <c r="G63" i="40"/>
  <c r="H69" i="40"/>
  <c r="I69" i="39"/>
  <c r="H75" i="39"/>
  <c r="H51" i="40"/>
  <c r="I51" i="39"/>
  <c r="H57" i="39"/>
  <c r="H53" i="39"/>
  <c r="I53" i="39" s="1"/>
  <c r="I97" i="39"/>
  <c r="H109" i="39"/>
  <c r="F67" i="44"/>
  <c r="E68" i="44"/>
  <c r="F68" i="44" s="1"/>
  <c r="H105" i="39"/>
  <c r="H101" i="39"/>
  <c r="H99" i="40"/>
  <c r="I99" i="39"/>
  <c r="I76" i="37"/>
  <c r="H77" i="37"/>
  <c r="I77" i="37" s="1"/>
  <c r="H52" i="40"/>
  <c r="I52" i="39"/>
  <c r="H58" i="39"/>
  <c r="I58" i="39" s="1"/>
  <c r="H31" i="41"/>
  <c r="I31" i="40"/>
  <c r="H60" i="40"/>
  <c r="H66" i="39"/>
  <c r="I60" i="39"/>
  <c r="F67" i="43"/>
  <c r="E68" i="43"/>
  <c r="F68" i="43" s="1"/>
  <c r="H28" i="39"/>
  <c r="I28" i="38"/>
  <c r="H30" i="38"/>
  <c r="H90" i="40"/>
  <c r="I90" i="39"/>
  <c r="H92" i="39"/>
  <c r="I92" i="39" s="1"/>
  <c r="I65" i="38"/>
  <c r="H100" i="40"/>
  <c r="H106" i="39"/>
  <c r="G70" i="41"/>
  <c r="G76" i="40"/>
  <c r="H43" i="36"/>
  <c r="H85" i="41"/>
  <c r="H41" i="39"/>
  <c r="I41" i="38"/>
  <c r="H89" i="39"/>
  <c r="I89" i="39" s="1"/>
  <c r="I87" i="39"/>
  <c r="H87" i="40"/>
  <c r="G67" i="39"/>
  <c r="G61" i="40"/>
  <c r="E44" i="41"/>
  <c r="F43" i="41"/>
  <c r="C138" i="41"/>
  <c r="H94" i="40"/>
  <c r="I94" i="39"/>
  <c r="I105" i="38"/>
  <c r="H107" i="38"/>
  <c r="G107" i="37"/>
  <c r="I107" i="37" s="1"/>
  <c r="G22" i="40"/>
  <c r="G21" i="41"/>
  <c r="I73" i="41"/>
  <c r="H73" i="42"/>
  <c r="I104" i="39"/>
  <c r="E68" i="46"/>
  <c r="F68" i="46" s="1"/>
  <c r="H39" i="37"/>
  <c r="I39" i="37" s="1"/>
  <c r="I35" i="37"/>
  <c r="H88" i="40"/>
  <c r="I88" i="39"/>
  <c r="E45" i="39"/>
  <c r="F45" i="39" s="1"/>
  <c r="F44" i="39"/>
  <c r="H56" i="39"/>
  <c r="H54" i="40"/>
  <c r="I54" i="39"/>
  <c r="G52" i="41"/>
  <c r="G58" i="40"/>
  <c r="I66" i="38"/>
  <c r="F43" i="45"/>
  <c r="C138" i="45"/>
  <c r="E44" i="45"/>
  <c r="I75" i="38"/>
  <c r="F110" i="38"/>
  <c r="G99" i="40"/>
  <c r="G105" i="39"/>
  <c r="H102" i="41"/>
  <c r="H104" i="40"/>
  <c r="I104" i="40" s="1"/>
  <c r="I102" i="40"/>
  <c r="H110" i="37"/>
  <c r="I110" i="37" s="1"/>
  <c r="I108" i="37"/>
  <c r="C138" i="37"/>
  <c r="H138" i="37" s="1"/>
  <c r="B138" i="38" s="1"/>
  <c r="F43" i="37"/>
  <c r="E44" i="37"/>
  <c r="I22" i="38"/>
  <c r="H72" i="40"/>
  <c r="I72" i="39"/>
  <c r="H74" i="39"/>
  <c r="H23" i="39"/>
  <c r="H25" i="38"/>
  <c r="I25" i="38" s="1"/>
  <c r="I23" i="38"/>
  <c r="G108" i="38"/>
  <c r="G98" i="38"/>
  <c r="C138" i="36"/>
  <c r="H138" i="36" s="1"/>
  <c r="B138" i="37" s="1"/>
  <c r="E44" i="36"/>
  <c r="F43" i="36"/>
  <c r="E44" i="40"/>
  <c r="C138" i="40"/>
  <c r="F43" i="40"/>
  <c r="G36" i="44"/>
  <c r="G38" i="43"/>
  <c r="I38" i="43" s="1"/>
  <c r="G54" i="40"/>
  <c r="G57" i="40" s="1"/>
  <c r="G59" i="40" s="1"/>
  <c r="G56" i="39"/>
  <c r="G102" i="41"/>
  <c r="G104" i="40"/>
  <c r="G68" i="38"/>
  <c r="H98" i="38"/>
  <c r="I96" i="38"/>
  <c r="H108" i="38"/>
  <c r="G100" i="39"/>
  <c r="G106" i="38"/>
  <c r="I106" i="38" s="1"/>
  <c r="D44" i="43"/>
  <c r="F43" i="43"/>
  <c r="H55" i="40"/>
  <c r="I55" i="39"/>
  <c r="G57" i="39"/>
  <c r="G59" i="39" s="1"/>
  <c r="I97" i="38"/>
  <c r="H109" i="38"/>
  <c r="G23" i="40"/>
  <c r="G25" i="39"/>
  <c r="G26" i="39" s="1"/>
  <c r="H63" i="40"/>
  <c r="I63" i="39"/>
  <c r="H65" i="39"/>
  <c r="I65" i="39" s="1"/>
  <c r="G85" i="40"/>
  <c r="G97" i="39"/>
  <c r="F67" i="36"/>
  <c r="E68" i="36"/>
  <c r="F68" i="36" s="1"/>
  <c r="H42" i="39"/>
  <c r="I42" i="38"/>
  <c r="I98" i="37"/>
  <c r="H35" i="38"/>
  <c r="H33" i="39"/>
  <c r="I33" i="38"/>
  <c r="G74" i="39"/>
  <c r="G72" i="40"/>
  <c r="H103" i="41"/>
  <c r="I103" i="40"/>
  <c r="I109" i="37"/>
  <c r="F67" i="40"/>
  <c r="E68" i="40"/>
  <c r="F68" i="40" s="1"/>
  <c r="E44" i="44"/>
  <c r="F43" i="44"/>
  <c r="C138" i="44"/>
  <c r="G93" i="40"/>
  <c r="G95" i="39"/>
  <c r="I56" i="38"/>
  <c r="H95" i="39"/>
  <c r="I95" i="39" s="1"/>
  <c r="H93" i="40"/>
  <c r="I93" i="39"/>
  <c r="I108" i="36"/>
  <c r="H110" i="36"/>
  <c r="I110" i="36" s="1"/>
  <c r="F67" i="41"/>
  <c r="E68" i="41"/>
  <c r="F68" i="41" s="1"/>
  <c r="I74" i="38"/>
  <c r="F67" i="39"/>
  <c r="E68" i="39"/>
  <c r="F68" i="39" s="1"/>
  <c r="C138" i="46"/>
  <c r="F43" i="46"/>
  <c r="E44" i="46"/>
  <c r="H120" i="32"/>
  <c r="G120" i="32"/>
  <c r="H119" i="32"/>
  <c r="G119" i="32"/>
  <c r="H117" i="32"/>
  <c r="G117" i="32"/>
  <c r="H116" i="32"/>
  <c r="G116" i="32"/>
  <c r="H111" i="32"/>
  <c r="G111" i="32"/>
  <c r="H110" i="32"/>
  <c r="G110" i="32"/>
  <c r="H108" i="32"/>
  <c r="G108" i="32"/>
  <c r="H107" i="32"/>
  <c r="G107" i="32"/>
  <c r="H105" i="32"/>
  <c r="G105" i="32"/>
  <c r="H104" i="32"/>
  <c r="G104" i="32"/>
  <c r="H102" i="32"/>
  <c r="G102" i="32"/>
  <c r="H101" i="32"/>
  <c r="G101" i="32"/>
  <c r="H99" i="32"/>
  <c r="G99" i="32"/>
  <c r="H98" i="32"/>
  <c r="G98" i="32"/>
  <c r="F92" i="32"/>
  <c r="F91" i="32"/>
  <c r="F90" i="32"/>
  <c r="F89" i="32"/>
  <c r="F88" i="32"/>
  <c r="F87" i="32"/>
  <c r="H75" i="32"/>
  <c r="G75" i="32"/>
  <c r="H74" i="32"/>
  <c r="G74" i="32"/>
  <c r="H72" i="32"/>
  <c r="G72" i="32"/>
  <c r="H71" i="32"/>
  <c r="G71" i="32"/>
  <c r="H66" i="32"/>
  <c r="G66" i="32"/>
  <c r="H65" i="32"/>
  <c r="G65" i="32"/>
  <c r="H63" i="32"/>
  <c r="G63" i="32"/>
  <c r="H62" i="32"/>
  <c r="G62" i="32"/>
  <c r="H57" i="32"/>
  <c r="G57" i="32"/>
  <c r="H56" i="32"/>
  <c r="G56" i="32"/>
  <c r="H54" i="32"/>
  <c r="G54" i="32"/>
  <c r="H53" i="32"/>
  <c r="G53" i="32"/>
  <c r="H44" i="32"/>
  <c r="G44" i="32"/>
  <c r="H43" i="32"/>
  <c r="G43" i="32"/>
  <c r="H42" i="32"/>
  <c r="G42" i="32"/>
  <c r="H38" i="32"/>
  <c r="G38" i="32"/>
  <c r="H35" i="32"/>
  <c r="G35" i="32"/>
  <c r="H33" i="32"/>
  <c r="G33" i="32"/>
  <c r="H31" i="32"/>
  <c r="G31" i="32"/>
  <c r="H30" i="32"/>
  <c r="G30" i="32"/>
  <c r="H25" i="32"/>
  <c r="G25" i="32"/>
  <c r="H23" i="32"/>
  <c r="G23" i="32"/>
  <c r="F44" i="45" l="1"/>
  <c r="E45" i="45"/>
  <c r="F45" i="45" s="1"/>
  <c r="H56" i="40"/>
  <c r="I56" i="40" s="1"/>
  <c r="I54" i="40"/>
  <c r="H54" i="41"/>
  <c r="G61" i="41"/>
  <c r="G67" i="40"/>
  <c r="G70" i="42"/>
  <c r="G76" i="41"/>
  <c r="I105" i="39"/>
  <c r="H107" i="39"/>
  <c r="I107" i="39" s="1"/>
  <c r="H51" i="41"/>
  <c r="H53" i="40"/>
  <c r="I53" i="40" s="1"/>
  <c r="H57" i="40"/>
  <c r="I51" i="40"/>
  <c r="E45" i="44"/>
  <c r="F45" i="44" s="1"/>
  <c r="F44" i="44"/>
  <c r="G23" i="41"/>
  <c r="G25" i="40"/>
  <c r="G26" i="40" s="1"/>
  <c r="I98" i="38"/>
  <c r="G107" i="38"/>
  <c r="G36" i="45"/>
  <c r="G38" i="44"/>
  <c r="G110" i="38"/>
  <c r="I74" i="39"/>
  <c r="H26" i="38"/>
  <c r="I102" i="41"/>
  <c r="H102" i="42"/>
  <c r="H104" i="41"/>
  <c r="I56" i="39"/>
  <c r="H88" i="41"/>
  <c r="I88" i="40"/>
  <c r="G109" i="38"/>
  <c r="I107" i="38"/>
  <c r="H85" i="42"/>
  <c r="I85" i="41"/>
  <c r="G63" i="41"/>
  <c r="G65" i="40"/>
  <c r="G28" i="41"/>
  <c r="G30" i="40"/>
  <c r="G32" i="40" s="1"/>
  <c r="E45" i="42"/>
  <c r="F45" i="42" s="1"/>
  <c r="F44" i="42"/>
  <c r="H40" i="40"/>
  <c r="I40" i="39"/>
  <c r="H108" i="39"/>
  <c r="H98" i="39"/>
  <c r="I96" i="39"/>
  <c r="G66" i="40"/>
  <c r="G62" i="40"/>
  <c r="G60" i="41"/>
  <c r="I38" i="44"/>
  <c r="H43" i="37"/>
  <c r="I26" i="37"/>
  <c r="H39" i="38"/>
  <c r="I39" i="38" s="1"/>
  <c r="I35" i="38"/>
  <c r="G102" i="42"/>
  <c r="G104" i="41"/>
  <c r="F44" i="40"/>
  <c r="E45" i="40"/>
  <c r="F45" i="40" s="1"/>
  <c r="H25" i="39"/>
  <c r="I25" i="39" s="1"/>
  <c r="H23" i="40"/>
  <c r="I23" i="39"/>
  <c r="G101" i="40"/>
  <c r="G99" i="41"/>
  <c r="G105" i="40"/>
  <c r="I94" i="40"/>
  <c r="H94" i="41"/>
  <c r="H97" i="40"/>
  <c r="H32" i="38"/>
  <c r="I32" i="38" s="1"/>
  <c r="I30" i="38"/>
  <c r="H66" i="40"/>
  <c r="I60" i="40"/>
  <c r="H60" i="41"/>
  <c r="H69" i="41"/>
  <c r="H75" i="40"/>
  <c r="I69" i="40"/>
  <c r="G90" i="41"/>
  <c r="G92" i="40"/>
  <c r="H38" i="45"/>
  <c r="I36" i="45"/>
  <c r="H36" i="46"/>
  <c r="H138" i="38"/>
  <c r="B138" i="39" s="1"/>
  <c r="H138" i="39" s="1"/>
  <c r="B138" i="40" s="1"/>
  <c r="G84" i="41"/>
  <c r="G96" i="40"/>
  <c r="G86" i="40"/>
  <c r="E45" i="46"/>
  <c r="F45" i="46" s="1"/>
  <c r="F44" i="46"/>
  <c r="H95" i="40"/>
  <c r="I93" i="40"/>
  <c r="H93" i="41"/>
  <c r="G95" i="40"/>
  <c r="G93" i="41"/>
  <c r="H103" i="42"/>
  <c r="I103" i="41"/>
  <c r="I63" i="40"/>
  <c r="H65" i="40"/>
  <c r="I65" i="40" s="1"/>
  <c r="H63" i="41"/>
  <c r="I109" i="38"/>
  <c r="H55" i="41"/>
  <c r="I55" i="40"/>
  <c r="G106" i="39"/>
  <c r="I106" i="39" s="1"/>
  <c r="G100" i="40"/>
  <c r="E45" i="36"/>
  <c r="F45" i="36" s="1"/>
  <c r="F44" i="36"/>
  <c r="F44" i="37"/>
  <c r="E45" i="37"/>
  <c r="F45" i="37" s="1"/>
  <c r="G101" i="39"/>
  <c r="H77" i="38"/>
  <c r="I77" i="38" s="1"/>
  <c r="G58" i="41"/>
  <c r="G52" i="42"/>
  <c r="G22" i="41"/>
  <c r="G21" i="42"/>
  <c r="H87" i="41"/>
  <c r="H89" i="40"/>
  <c r="I87" i="40"/>
  <c r="I41" i="39"/>
  <c r="H41" i="40"/>
  <c r="I43" i="36"/>
  <c r="H44" i="36"/>
  <c r="I100" i="39"/>
  <c r="H30" i="39"/>
  <c r="H28" i="40"/>
  <c r="I28" i="39"/>
  <c r="H31" i="42"/>
  <c r="I31" i="41"/>
  <c r="H52" i="41"/>
  <c r="H58" i="40"/>
  <c r="I58" i="40" s="1"/>
  <c r="I52" i="40"/>
  <c r="H105" i="40"/>
  <c r="H101" i="40"/>
  <c r="H99" i="41"/>
  <c r="I99" i="40"/>
  <c r="H59" i="39"/>
  <c r="I59" i="39" s="1"/>
  <c r="I57" i="39"/>
  <c r="I75" i="39"/>
  <c r="H77" i="39"/>
  <c r="I77" i="39" s="1"/>
  <c r="I64" i="40"/>
  <c r="H64" i="41"/>
  <c r="G69" i="41"/>
  <c r="G75" i="40"/>
  <c r="G77" i="40" s="1"/>
  <c r="G71" i="40"/>
  <c r="H76" i="39"/>
  <c r="I76" i="39" s="1"/>
  <c r="I70" i="39"/>
  <c r="H70" i="40"/>
  <c r="I67" i="36"/>
  <c r="H68" i="36"/>
  <c r="I68" i="36" s="1"/>
  <c r="G33" i="40"/>
  <c r="G35" i="39"/>
  <c r="G39" i="39" s="1"/>
  <c r="G43" i="39" s="1"/>
  <c r="G44" i="39" s="1"/>
  <c r="G45" i="39" s="1"/>
  <c r="G108" i="39"/>
  <c r="G98" i="39"/>
  <c r="G72" i="41"/>
  <c r="G74" i="40"/>
  <c r="D45" i="43"/>
  <c r="F45" i="43" s="1"/>
  <c r="F44" i="43"/>
  <c r="H21" i="41"/>
  <c r="I21" i="40"/>
  <c r="H22" i="40"/>
  <c r="H33" i="40"/>
  <c r="H35" i="39"/>
  <c r="I33" i="39"/>
  <c r="I42" i="39"/>
  <c r="H42" i="40"/>
  <c r="G85" i="41"/>
  <c r="G97" i="40"/>
  <c r="H110" i="38"/>
  <c r="I110" i="38" s="1"/>
  <c r="I108" i="38"/>
  <c r="G54" i="41"/>
  <c r="G57" i="41" s="1"/>
  <c r="G59" i="41" s="1"/>
  <c r="G56" i="40"/>
  <c r="H138" i="40"/>
  <c r="B138" i="41" s="1"/>
  <c r="H138" i="41" s="1"/>
  <c r="B138" i="42" s="1"/>
  <c r="H138" i="42" s="1"/>
  <c r="B138" i="43" s="1"/>
  <c r="H138" i="43" s="1"/>
  <c r="B138" i="44" s="1"/>
  <c r="H138" i="44" s="1"/>
  <c r="H72" i="41"/>
  <c r="I72" i="40"/>
  <c r="H74" i="40"/>
  <c r="I74" i="40" s="1"/>
  <c r="G107" i="39"/>
  <c r="I73" i="42"/>
  <c r="H73" i="43"/>
  <c r="F44" i="41"/>
  <c r="E45" i="41"/>
  <c r="F45" i="41" s="1"/>
  <c r="I85" i="40"/>
  <c r="H106" i="40"/>
  <c r="I100" i="40"/>
  <c r="H100" i="41"/>
  <c r="H90" i="41"/>
  <c r="H92" i="40"/>
  <c r="I92" i="40" s="1"/>
  <c r="H90" i="42"/>
  <c r="I90" i="40"/>
  <c r="I66" i="39"/>
  <c r="I101" i="39"/>
  <c r="I22" i="39"/>
  <c r="H26" i="39"/>
  <c r="I91" i="41"/>
  <c r="H91" i="42"/>
  <c r="G51" i="42"/>
  <c r="G53" i="41"/>
  <c r="H84" i="41"/>
  <c r="I84" i="40"/>
  <c r="H96" i="40"/>
  <c r="H86" i="40"/>
  <c r="I86" i="40" s="1"/>
  <c r="I36" i="44"/>
  <c r="H67" i="37"/>
  <c r="I61" i="37"/>
  <c r="H61" i="38"/>
  <c r="H62" i="37"/>
  <c r="I62" i="37" s="1"/>
  <c r="E45" i="38"/>
  <c r="F45" i="38" s="1"/>
  <c r="F44" i="38"/>
  <c r="G87" i="41"/>
  <c r="G89" i="40"/>
  <c r="E73" i="32"/>
  <c r="E123" i="32"/>
  <c r="D123" i="32"/>
  <c r="E122" i="32"/>
  <c r="F122" i="32" s="1"/>
  <c r="D122" i="32"/>
  <c r="E121" i="32"/>
  <c r="D121" i="32"/>
  <c r="I120" i="32"/>
  <c r="F120" i="32"/>
  <c r="H121" i="32"/>
  <c r="G121" i="32"/>
  <c r="F119" i="32"/>
  <c r="E118" i="32"/>
  <c r="D118" i="32"/>
  <c r="G123" i="32"/>
  <c r="F117" i="32"/>
  <c r="G122" i="32"/>
  <c r="F116" i="32"/>
  <c r="E114" i="32"/>
  <c r="D114" i="32"/>
  <c r="D126" i="32" s="1"/>
  <c r="E113" i="32"/>
  <c r="D113" i="32"/>
  <c r="D125" i="32" s="1"/>
  <c r="E112" i="32"/>
  <c r="D112" i="32"/>
  <c r="F111" i="32"/>
  <c r="F110" i="32"/>
  <c r="E109" i="32"/>
  <c r="D109" i="32"/>
  <c r="F108" i="32"/>
  <c r="H109" i="32"/>
  <c r="F107" i="32"/>
  <c r="E106" i="32"/>
  <c r="D106" i="32"/>
  <c r="G106" i="32"/>
  <c r="F105" i="32"/>
  <c r="I104" i="32"/>
  <c r="F104" i="32"/>
  <c r="E103" i="32"/>
  <c r="F103" i="32" s="1"/>
  <c r="D103" i="32"/>
  <c r="I102" i="32"/>
  <c r="F102" i="32"/>
  <c r="G103" i="32"/>
  <c r="F101" i="32"/>
  <c r="G100" i="32"/>
  <c r="F100" i="32"/>
  <c r="E100" i="32"/>
  <c r="D100" i="32"/>
  <c r="I99" i="32"/>
  <c r="F99" i="32"/>
  <c r="I98" i="32"/>
  <c r="F98" i="32"/>
  <c r="E91" i="32"/>
  <c r="E90" i="32"/>
  <c r="E89" i="32"/>
  <c r="D78" i="32"/>
  <c r="E77" i="32"/>
  <c r="D77" i="32"/>
  <c r="D76" i="32"/>
  <c r="I75" i="32"/>
  <c r="E75" i="32"/>
  <c r="E76" i="32" s="1"/>
  <c r="G76" i="32"/>
  <c r="F74" i="32"/>
  <c r="D73" i="32"/>
  <c r="G78" i="32"/>
  <c r="E72" i="32"/>
  <c r="F71" i="32"/>
  <c r="D69" i="32"/>
  <c r="D68" i="32"/>
  <c r="D67" i="32"/>
  <c r="E65" i="32"/>
  <c r="F65" i="32" s="1"/>
  <c r="D64" i="32"/>
  <c r="E62" i="32"/>
  <c r="E68" i="32" s="1"/>
  <c r="E60" i="32"/>
  <c r="D60" i="32"/>
  <c r="F60" i="32" s="1"/>
  <c r="E59" i="32"/>
  <c r="E61" i="32" s="1"/>
  <c r="D59" i="32"/>
  <c r="E58" i="32"/>
  <c r="D58" i="32"/>
  <c r="F57" i="32"/>
  <c r="G59" i="32"/>
  <c r="F56" i="32"/>
  <c r="E55" i="32"/>
  <c r="D55" i="32"/>
  <c r="G60" i="32"/>
  <c r="F54" i="32"/>
  <c r="I53" i="32"/>
  <c r="F53" i="32"/>
  <c r="I44" i="32"/>
  <c r="F44" i="32"/>
  <c r="I43" i="32"/>
  <c r="F43" i="32"/>
  <c r="E42" i="32"/>
  <c r="F42" i="32" s="1"/>
  <c r="D41" i="32"/>
  <c r="E40" i="32"/>
  <c r="F40" i="32" s="1"/>
  <c r="D40" i="32"/>
  <c r="I39" i="32"/>
  <c r="F39" i="32"/>
  <c r="I38" i="32"/>
  <c r="H40" i="32"/>
  <c r="G40" i="32"/>
  <c r="F38" i="32"/>
  <c r="E37" i="32"/>
  <c r="F37" i="32" s="1"/>
  <c r="D37" i="32"/>
  <c r="I36" i="32"/>
  <c r="F36" i="32"/>
  <c r="I35" i="32"/>
  <c r="H37" i="32"/>
  <c r="G37" i="32"/>
  <c r="G41" i="32" s="1"/>
  <c r="F35" i="32"/>
  <c r="I33" i="32"/>
  <c r="F33" i="32"/>
  <c r="G32" i="32"/>
  <c r="G34" i="32" s="1"/>
  <c r="E32" i="32"/>
  <c r="F32" i="32" s="1"/>
  <c r="D32" i="32"/>
  <c r="D34" i="32" s="1"/>
  <c r="I31" i="32"/>
  <c r="F31" i="32"/>
  <c r="F30" i="32"/>
  <c r="E27" i="32"/>
  <c r="F27" i="32" s="1"/>
  <c r="D27" i="32"/>
  <c r="I26" i="32"/>
  <c r="H26" i="32"/>
  <c r="G26" i="32"/>
  <c r="F26" i="32"/>
  <c r="H27" i="32"/>
  <c r="G27" i="32"/>
  <c r="F25" i="32"/>
  <c r="E24" i="32"/>
  <c r="D24" i="32"/>
  <c r="D28" i="32" s="1"/>
  <c r="D45" i="32" s="1"/>
  <c r="D46" i="32" s="1"/>
  <c r="D47" i="32" s="1"/>
  <c r="H24" i="32"/>
  <c r="I23" i="32"/>
  <c r="F23" i="32"/>
  <c r="D16" i="32"/>
  <c r="C16" i="32"/>
  <c r="B138" i="47" l="1"/>
  <c r="H138" i="47" s="1"/>
  <c r="B138" i="45"/>
  <c r="H138" i="45" s="1"/>
  <c r="B138" i="46" s="1"/>
  <c r="H138" i="46" s="1"/>
  <c r="H67" i="38"/>
  <c r="I61" i="38"/>
  <c r="H62" i="38"/>
  <c r="I62" i="38" s="1"/>
  <c r="H61" i="39"/>
  <c r="H33" i="41"/>
  <c r="H35" i="40"/>
  <c r="I33" i="40"/>
  <c r="G72" i="42"/>
  <c r="G74" i="41"/>
  <c r="H76" i="40"/>
  <c r="I76" i="40" s="1"/>
  <c r="I70" i="40"/>
  <c r="H70" i="41"/>
  <c r="H31" i="43"/>
  <c r="I31" i="42"/>
  <c r="G21" i="43"/>
  <c r="G22" i="42"/>
  <c r="H75" i="41"/>
  <c r="H71" i="41"/>
  <c r="H69" i="42"/>
  <c r="I69" i="41"/>
  <c r="I66" i="40"/>
  <c r="G28" i="42"/>
  <c r="G30" i="41"/>
  <c r="G32" i="41" s="1"/>
  <c r="H108" i="40"/>
  <c r="I96" i="40"/>
  <c r="H98" i="40"/>
  <c r="H90" i="43"/>
  <c r="H92" i="42"/>
  <c r="G33" i="41"/>
  <c r="G35" i="40"/>
  <c r="G39" i="40" s="1"/>
  <c r="G43" i="40" s="1"/>
  <c r="G44" i="40" s="1"/>
  <c r="G45" i="40" s="1"/>
  <c r="G75" i="41"/>
  <c r="G77" i="41" s="1"/>
  <c r="G69" i="42"/>
  <c r="G71" i="41"/>
  <c r="H99" i="42"/>
  <c r="H105" i="41"/>
  <c r="H101" i="41"/>
  <c r="I99" i="41"/>
  <c r="H45" i="36"/>
  <c r="I45" i="36" s="1"/>
  <c r="I44" i="36"/>
  <c r="H55" i="42"/>
  <c r="I55" i="41"/>
  <c r="G93" i="42"/>
  <c r="G95" i="41"/>
  <c r="I95" i="40"/>
  <c r="G108" i="40"/>
  <c r="G98" i="40"/>
  <c r="H66" i="41"/>
  <c r="I60" i="41"/>
  <c r="H60" i="42"/>
  <c r="G60" i="42"/>
  <c r="G66" i="41"/>
  <c r="G62" i="41"/>
  <c r="I98" i="39"/>
  <c r="H85" i="43"/>
  <c r="H43" i="38"/>
  <c r="I26" i="38"/>
  <c r="G36" i="46"/>
  <c r="G38" i="45"/>
  <c r="G23" i="42"/>
  <c r="G25" i="41"/>
  <c r="G26" i="41" s="1"/>
  <c r="I57" i="40"/>
  <c r="H59" i="40"/>
  <c r="I59" i="40" s="1"/>
  <c r="G61" i="42"/>
  <c r="G67" i="41"/>
  <c r="G87" i="42"/>
  <c r="G89" i="41"/>
  <c r="H100" i="42"/>
  <c r="H106" i="41"/>
  <c r="I72" i="41"/>
  <c r="H74" i="41"/>
  <c r="I74" i="41" s="1"/>
  <c r="H72" i="42"/>
  <c r="I42" i="40"/>
  <c r="H42" i="41"/>
  <c r="H103" i="43"/>
  <c r="I103" i="42"/>
  <c r="H36" i="47"/>
  <c r="H38" i="46"/>
  <c r="I36" i="46"/>
  <c r="G92" i="41"/>
  <c r="G90" i="42"/>
  <c r="H94" i="42"/>
  <c r="I94" i="41"/>
  <c r="H40" i="41"/>
  <c r="I40" i="40"/>
  <c r="I67" i="37"/>
  <c r="H68" i="37"/>
  <c r="I68" i="37" s="1"/>
  <c r="G51" i="43"/>
  <c r="G53" i="42"/>
  <c r="I26" i="39"/>
  <c r="H26" i="40"/>
  <c r="I22" i="40"/>
  <c r="H64" i="42"/>
  <c r="I64" i="41"/>
  <c r="I101" i="40"/>
  <c r="H58" i="41"/>
  <c r="I58" i="41" s="1"/>
  <c r="H52" i="42"/>
  <c r="I52" i="41"/>
  <c r="H28" i="41"/>
  <c r="H30" i="40"/>
  <c r="I28" i="40"/>
  <c r="I89" i="40"/>
  <c r="G52" i="43"/>
  <c r="G58" i="42"/>
  <c r="G106" i="40"/>
  <c r="I106" i="40" s="1"/>
  <c r="G100" i="41"/>
  <c r="G109" i="39"/>
  <c r="I109" i="39" s="1"/>
  <c r="G96" i="41"/>
  <c r="G86" i="41"/>
  <c r="G84" i="42"/>
  <c r="I38" i="45"/>
  <c r="H71" i="40"/>
  <c r="I71" i="40" s="1"/>
  <c r="G107" i="40"/>
  <c r="H25" i="40"/>
  <c r="I25" i="40" s="1"/>
  <c r="H23" i="41"/>
  <c r="I23" i="40"/>
  <c r="I108" i="39"/>
  <c r="H110" i="39"/>
  <c r="G63" i="42"/>
  <c r="G65" i="41"/>
  <c r="H97" i="41"/>
  <c r="I104" i="41"/>
  <c r="H54" i="42"/>
  <c r="H56" i="41"/>
  <c r="I54" i="41"/>
  <c r="H21" i="42"/>
  <c r="I21" i="41"/>
  <c r="H22" i="41"/>
  <c r="H84" i="42"/>
  <c r="I84" i="41"/>
  <c r="H86" i="41"/>
  <c r="I86" i="41" s="1"/>
  <c r="H96" i="41"/>
  <c r="H91" i="43"/>
  <c r="I91" i="42"/>
  <c r="H92" i="41"/>
  <c r="I92" i="41" s="1"/>
  <c r="I90" i="41"/>
  <c r="I73" i="43"/>
  <c r="H73" i="44"/>
  <c r="G54" i="42"/>
  <c r="G57" i="42" s="1"/>
  <c r="G59" i="42" s="1"/>
  <c r="G56" i="41"/>
  <c r="G97" i="41"/>
  <c r="G85" i="42"/>
  <c r="H39" i="39"/>
  <c r="I39" i="39" s="1"/>
  <c r="I35" i="39"/>
  <c r="H107" i="40"/>
  <c r="I107" i="40" s="1"/>
  <c r="I105" i="40"/>
  <c r="I30" i="39"/>
  <c r="H32" i="39"/>
  <c r="I32" i="39" s="1"/>
  <c r="I41" i="40"/>
  <c r="H41" i="41"/>
  <c r="H87" i="42"/>
  <c r="H89" i="41"/>
  <c r="I89" i="41" s="1"/>
  <c r="I87" i="41"/>
  <c r="I63" i="41"/>
  <c r="H65" i="41"/>
  <c r="I65" i="41" s="1"/>
  <c r="H63" i="42"/>
  <c r="H93" i="42"/>
  <c r="H95" i="41"/>
  <c r="I95" i="41" s="1"/>
  <c r="I93" i="41"/>
  <c r="H77" i="40"/>
  <c r="I77" i="40" s="1"/>
  <c r="I75" i="40"/>
  <c r="H109" i="40"/>
  <c r="I97" i="40"/>
  <c r="G99" i="42"/>
  <c r="G105" i="41"/>
  <c r="G101" i="41"/>
  <c r="G102" i="43"/>
  <c r="G104" i="42"/>
  <c r="H44" i="37"/>
  <c r="I43" i="37"/>
  <c r="G68" i="40"/>
  <c r="H88" i="42"/>
  <c r="H97" i="42" s="1"/>
  <c r="I88" i="41"/>
  <c r="H102" i="43"/>
  <c r="H104" i="42"/>
  <c r="I102" i="42"/>
  <c r="H51" i="42"/>
  <c r="H57" i="41"/>
  <c r="I51" i="41"/>
  <c r="H53" i="41"/>
  <c r="I53" i="41" s="1"/>
  <c r="G70" i="43"/>
  <c r="G76" i="42"/>
  <c r="I40" i="32"/>
  <c r="F121" i="32"/>
  <c r="I121" i="32"/>
  <c r="G118" i="32"/>
  <c r="F123" i="32"/>
  <c r="G124" i="32"/>
  <c r="D124" i="32"/>
  <c r="F118" i="32"/>
  <c r="G112" i="32"/>
  <c r="I111" i="32"/>
  <c r="F112" i="32"/>
  <c r="I110" i="32"/>
  <c r="G109" i="32"/>
  <c r="I109" i="32" s="1"/>
  <c r="I108" i="32"/>
  <c r="G113" i="32"/>
  <c r="F109" i="32"/>
  <c r="G114" i="32"/>
  <c r="G126" i="32" s="1"/>
  <c r="F106" i="32"/>
  <c r="I105" i="32"/>
  <c r="F114" i="32"/>
  <c r="F76" i="32"/>
  <c r="G77" i="32"/>
  <c r="G79" i="32" s="1"/>
  <c r="D79" i="32"/>
  <c r="I71" i="32"/>
  <c r="F77" i="32"/>
  <c r="G73" i="32"/>
  <c r="G67" i="32"/>
  <c r="G69" i="32"/>
  <c r="G64" i="32"/>
  <c r="D70" i="32"/>
  <c r="F58" i="32"/>
  <c r="I57" i="32"/>
  <c r="G55" i="32"/>
  <c r="I54" i="32"/>
  <c r="F24" i="32"/>
  <c r="I42" i="32"/>
  <c r="H123" i="32"/>
  <c r="I123" i="32" s="1"/>
  <c r="H118" i="32"/>
  <c r="I118" i="32" s="1"/>
  <c r="I117" i="32"/>
  <c r="I116" i="32"/>
  <c r="E125" i="32"/>
  <c r="H112" i="32"/>
  <c r="I112" i="32" s="1"/>
  <c r="H106" i="32"/>
  <c r="I106" i="32" s="1"/>
  <c r="H103" i="32"/>
  <c r="I103" i="32" s="1"/>
  <c r="G90" i="32"/>
  <c r="G91" i="32"/>
  <c r="G89" i="32"/>
  <c r="F75" i="32"/>
  <c r="H58" i="32"/>
  <c r="F55" i="32"/>
  <c r="F59" i="32"/>
  <c r="H32" i="32"/>
  <c r="H34" i="32" s="1"/>
  <c r="I34" i="32" s="1"/>
  <c r="I30" i="32"/>
  <c r="E34" i="32"/>
  <c r="F34" i="32" s="1"/>
  <c r="I25" i="32"/>
  <c r="E66" i="32"/>
  <c r="I27" i="32"/>
  <c r="H76" i="32"/>
  <c r="I76" i="32" s="1"/>
  <c r="F68" i="32"/>
  <c r="H78" i="32"/>
  <c r="I78" i="32" s="1"/>
  <c r="I72" i="32"/>
  <c r="G125" i="32"/>
  <c r="D127" i="32"/>
  <c r="H41" i="32"/>
  <c r="I41" i="32" s="1"/>
  <c r="I37" i="32"/>
  <c r="H28" i="32"/>
  <c r="G61" i="32"/>
  <c r="F125" i="32"/>
  <c r="G24" i="32"/>
  <c r="G28" i="32" s="1"/>
  <c r="G45" i="32" s="1"/>
  <c r="G46" i="32" s="1"/>
  <c r="G47" i="32" s="1"/>
  <c r="E41" i="32"/>
  <c r="F41" i="32" s="1"/>
  <c r="H59" i="32"/>
  <c r="H100" i="32"/>
  <c r="I100" i="32" s="1"/>
  <c r="F113" i="32"/>
  <c r="H114" i="32"/>
  <c r="H122" i="32"/>
  <c r="I32" i="32"/>
  <c r="H55" i="32"/>
  <c r="I55" i="32" s="1"/>
  <c r="D61" i="32"/>
  <c r="F61" i="32" s="1"/>
  <c r="I56" i="32"/>
  <c r="G58" i="32"/>
  <c r="I58" i="32" s="1"/>
  <c r="G68" i="32"/>
  <c r="G70" i="32" s="1"/>
  <c r="F72" i="32"/>
  <c r="H73" i="32"/>
  <c r="I73" i="32" s="1"/>
  <c r="E78" i="32"/>
  <c r="F78" i="32" s="1"/>
  <c r="I101" i="32"/>
  <c r="I107" i="32"/>
  <c r="I119" i="32"/>
  <c r="E124" i="32"/>
  <c r="E126" i="32"/>
  <c r="F126" i="32" s="1"/>
  <c r="H60" i="32"/>
  <c r="I60" i="32" s="1"/>
  <c r="F73" i="32"/>
  <c r="I74" i="32"/>
  <c r="H77" i="32"/>
  <c r="H113" i="32"/>
  <c r="D115" i="32"/>
  <c r="E28" i="32"/>
  <c r="F62" i="32"/>
  <c r="E63" i="32"/>
  <c r="E115" i="32"/>
  <c r="I97" i="42" l="1"/>
  <c r="H102" i="44"/>
  <c r="H104" i="43"/>
  <c r="I102" i="43"/>
  <c r="G65" i="42"/>
  <c r="G63" i="43"/>
  <c r="H30" i="41"/>
  <c r="H28" i="42"/>
  <c r="I28" i="41"/>
  <c r="I26" i="40"/>
  <c r="H44" i="38"/>
  <c r="I43" i="38"/>
  <c r="H110" i="40"/>
  <c r="I110" i="40" s="1"/>
  <c r="I108" i="40"/>
  <c r="I75" i="41"/>
  <c r="I67" i="38"/>
  <c r="H68" i="38"/>
  <c r="I68" i="38" s="1"/>
  <c r="G70" i="44"/>
  <c r="G76" i="43"/>
  <c r="H51" i="43"/>
  <c r="H57" i="42"/>
  <c r="H53" i="42"/>
  <c r="I53" i="42" s="1"/>
  <c r="I51" i="42"/>
  <c r="I44" i="37"/>
  <c r="H45" i="37"/>
  <c r="I45" i="37" s="1"/>
  <c r="H93" i="43"/>
  <c r="I93" i="42"/>
  <c r="H95" i="42"/>
  <c r="G85" i="43"/>
  <c r="G97" i="42"/>
  <c r="I73" i="44"/>
  <c r="H73" i="45"/>
  <c r="I21" i="42"/>
  <c r="H21" i="43"/>
  <c r="H22" i="42"/>
  <c r="G84" i="43"/>
  <c r="G96" i="42"/>
  <c r="G86" i="42"/>
  <c r="G100" i="42"/>
  <c r="G106" i="41"/>
  <c r="G107" i="41" s="1"/>
  <c r="G109" i="40"/>
  <c r="H94" i="43"/>
  <c r="I94" i="42"/>
  <c r="H42" i="42"/>
  <c r="I42" i="41"/>
  <c r="G110" i="40"/>
  <c r="H99" i="43"/>
  <c r="H101" i="42"/>
  <c r="H105" i="42"/>
  <c r="I99" i="42"/>
  <c r="H90" i="44"/>
  <c r="H92" i="43"/>
  <c r="I90" i="43"/>
  <c r="I70" i="41"/>
  <c r="H76" i="41"/>
  <c r="I76" i="41" s="1"/>
  <c r="H70" i="42"/>
  <c r="G74" i="42"/>
  <c r="G72" i="43"/>
  <c r="I61" i="39"/>
  <c r="H67" i="39"/>
  <c r="H61" i="40"/>
  <c r="H62" i="39"/>
  <c r="I62" i="39" s="1"/>
  <c r="H25" i="41"/>
  <c r="I25" i="41" s="1"/>
  <c r="H23" i="42"/>
  <c r="I23" i="41"/>
  <c r="G52" i="44"/>
  <c r="G58" i="43"/>
  <c r="H43" i="39"/>
  <c r="H106" i="42"/>
  <c r="H109" i="42" s="1"/>
  <c r="I100" i="42"/>
  <c r="H100" i="43"/>
  <c r="G23" i="43"/>
  <c r="G25" i="42"/>
  <c r="G26" i="42" s="1"/>
  <c r="G95" i="42"/>
  <c r="G93" i="43"/>
  <c r="H107" i="41"/>
  <c r="I105" i="41"/>
  <c r="H31" i="44"/>
  <c r="I31" i="43"/>
  <c r="H33" i="42"/>
  <c r="H35" i="41"/>
  <c r="I33" i="41"/>
  <c r="H88" i="43"/>
  <c r="I88" i="42"/>
  <c r="G99" i="43"/>
  <c r="G101" i="42"/>
  <c r="G105" i="42"/>
  <c r="H65" i="42"/>
  <c r="I65" i="42" s="1"/>
  <c r="H63" i="43"/>
  <c r="I63" i="42"/>
  <c r="G110" i="39"/>
  <c r="I110" i="39" s="1"/>
  <c r="G109" i="41"/>
  <c r="H91" i="44"/>
  <c r="I91" i="43"/>
  <c r="H84" i="43"/>
  <c r="H96" i="42"/>
  <c r="H86" i="42"/>
  <c r="I84" i="42"/>
  <c r="H109" i="41"/>
  <c r="I109" i="41" s="1"/>
  <c r="I97" i="41"/>
  <c r="H52" i="43"/>
  <c r="I52" i="42"/>
  <c r="H58" i="42"/>
  <c r="I58" i="42" s="1"/>
  <c r="I64" i="42"/>
  <c r="H64" i="43"/>
  <c r="G90" i="43"/>
  <c r="G92" i="42"/>
  <c r="I92" i="42" s="1"/>
  <c r="H38" i="47"/>
  <c r="I106" i="41"/>
  <c r="G87" i="43"/>
  <c r="G89" i="42"/>
  <c r="G36" i="47"/>
  <c r="G38" i="47" s="1"/>
  <c r="G38" i="46"/>
  <c r="I38" i="46" s="1"/>
  <c r="I85" i="42"/>
  <c r="G68" i="41"/>
  <c r="I55" i="42"/>
  <c r="H55" i="43"/>
  <c r="G35" i="41"/>
  <c r="G39" i="41" s="1"/>
  <c r="G43" i="41" s="1"/>
  <c r="G44" i="41" s="1"/>
  <c r="G45" i="41" s="1"/>
  <c r="G33" i="42"/>
  <c r="I98" i="40"/>
  <c r="G28" i="43"/>
  <c r="G30" i="42"/>
  <c r="G32" i="42" s="1"/>
  <c r="H69" i="43"/>
  <c r="I69" i="42"/>
  <c r="H75" i="42"/>
  <c r="G21" i="44"/>
  <c r="G22" i="43"/>
  <c r="I57" i="41"/>
  <c r="H59" i="41"/>
  <c r="I59" i="41" s="1"/>
  <c r="I109" i="40"/>
  <c r="H41" i="42"/>
  <c r="I41" i="41"/>
  <c r="G56" i="42"/>
  <c r="G54" i="43"/>
  <c r="H56" i="42"/>
  <c r="H54" i="43"/>
  <c r="I54" i="42"/>
  <c r="H103" i="44"/>
  <c r="I103" i="43"/>
  <c r="G61" i="43"/>
  <c r="G67" i="42"/>
  <c r="H60" i="43"/>
  <c r="H66" i="42"/>
  <c r="I60" i="42"/>
  <c r="I104" i="42"/>
  <c r="G102" i="44"/>
  <c r="G104" i="43"/>
  <c r="H89" i="42"/>
  <c r="I89" i="42" s="1"/>
  <c r="I87" i="42"/>
  <c r="H87" i="43"/>
  <c r="I96" i="41"/>
  <c r="H108" i="41"/>
  <c r="H98" i="41"/>
  <c r="I98" i="41" s="1"/>
  <c r="I22" i="41"/>
  <c r="H26" i="41"/>
  <c r="I56" i="41"/>
  <c r="G108" i="41"/>
  <c r="G110" i="41" s="1"/>
  <c r="G98" i="41"/>
  <c r="I30" i="40"/>
  <c r="H32" i="40"/>
  <c r="I32" i="40" s="1"/>
  <c r="G51" i="44"/>
  <c r="G57" i="43"/>
  <c r="G59" i="43" s="1"/>
  <c r="G53" i="43"/>
  <c r="H40" i="42"/>
  <c r="I40" i="41"/>
  <c r="H74" i="42"/>
  <c r="I74" i="42" s="1"/>
  <c r="H72" i="43"/>
  <c r="I72" i="42"/>
  <c r="I100" i="41"/>
  <c r="H85" i="44"/>
  <c r="I85" i="43"/>
  <c r="G62" i="42"/>
  <c r="G60" i="43"/>
  <c r="G66" i="42"/>
  <c r="I66" i="41"/>
  <c r="I101" i="41"/>
  <c r="G71" i="42"/>
  <c r="G69" i="43"/>
  <c r="G75" i="42"/>
  <c r="G77" i="42" s="1"/>
  <c r="I90" i="42"/>
  <c r="I71" i="41"/>
  <c r="H39" i="40"/>
  <c r="I39" i="40" s="1"/>
  <c r="I35" i="40"/>
  <c r="F124" i="32"/>
  <c r="G127" i="32"/>
  <c r="G115" i="32"/>
  <c r="F115" i="32"/>
  <c r="I24" i="32"/>
  <c r="F66" i="32"/>
  <c r="I66" i="32"/>
  <c r="E67" i="32"/>
  <c r="F67" i="32" s="1"/>
  <c r="H64" i="32"/>
  <c r="I64" i="32" s="1"/>
  <c r="E69" i="32"/>
  <c r="F63" i="32"/>
  <c r="I113" i="32"/>
  <c r="H125" i="32"/>
  <c r="H115" i="32"/>
  <c r="E64" i="32"/>
  <c r="F64" i="32" s="1"/>
  <c r="I114" i="32"/>
  <c r="H126" i="32"/>
  <c r="I126" i="32" s="1"/>
  <c r="E127" i="32"/>
  <c r="F127" i="32" s="1"/>
  <c r="I122" i="32"/>
  <c r="H124" i="32"/>
  <c r="I124" i="32" s="1"/>
  <c r="I77" i="32"/>
  <c r="H79" i="32"/>
  <c r="I79" i="32" s="1"/>
  <c r="H68" i="32"/>
  <c r="I62" i="32"/>
  <c r="E79" i="32"/>
  <c r="F79" i="32" s="1"/>
  <c r="I65" i="32"/>
  <c r="I59" i="32"/>
  <c r="H61" i="32"/>
  <c r="I61" i="32" s="1"/>
  <c r="H45" i="32"/>
  <c r="I28" i="32"/>
  <c r="E45" i="32"/>
  <c r="F28" i="32"/>
  <c r="H40" i="43" l="1"/>
  <c r="I40" i="42"/>
  <c r="I43" i="39"/>
  <c r="H44" i="39"/>
  <c r="H23" i="43"/>
  <c r="H25" i="42"/>
  <c r="I25" i="42" s="1"/>
  <c r="I23" i="42"/>
  <c r="H76" i="42"/>
  <c r="I76" i="42" s="1"/>
  <c r="I70" i="42"/>
  <c r="H70" i="43"/>
  <c r="I22" i="42"/>
  <c r="H26" i="42"/>
  <c r="H51" i="44"/>
  <c r="H53" i="43"/>
  <c r="I53" i="43" s="1"/>
  <c r="H57" i="43"/>
  <c r="I51" i="43"/>
  <c r="H43" i="40"/>
  <c r="H102" i="45"/>
  <c r="I102" i="44"/>
  <c r="H104" i="44"/>
  <c r="G68" i="42"/>
  <c r="H85" i="45"/>
  <c r="H72" i="44"/>
  <c r="I72" i="43"/>
  <c r="H74" i="43"/>
  <c r="I26" i="41"/>
  <c r="I66" i="42"/>
  <c r="G61" i="44"/>
  <c r="G67" i="43"/>
  <c r="H54" i="44"/>
  <c r="H56" i="43"/>
  <c r="I54" i="43"/>
  <c r="H71" i="42"/>
  <c r="I71" i="42" s="1"/>
  <c r="G30" i="43"/>
  <c r="G32" i="43" s="1"/>
  <c r="G28" i="44"/>
  <c r="H55" i="44"/>
  <c r="I55" i="43"/>
  <c r="G90" i="44"/>
  <c r="G92" i="43"/>
  <c r="H31" i="45"/>
  <c r="I31" i="44"/>
  <c r="G93" i="44"/>
  <c r="G95" i="43"/>
  <c r="H100" i="44"/>
  <c r="I100" i="43"/>
  <c r="H106" i="43"/>
  <c r="I92" i="43"/>
  <c r="I101" i="42"/>
  <c r="I42" i="42"/>
  <c r="H42" i="43"/>
  <c r="G108" i="42"/>
  <c r="G98" i="42"/>
  <c r="H21" i="44"/>
  <c r="H22" i="43"/>
  <c r="I21" i="43"/>
  <c r="G109" i="42"/>
  <c r="I109" i="42" s="1"/>
  <c r="H95" i="43"/>
  <c r="I95" i="43" s="1"/>
  <c r="I93" i="43"/>
  <c r="H93" i="44"/>
  <c r="I108" i="41"/>
  <c r="H110" i="41"/>
  <c r="I110" i="41" s="1"/>
  <c r="I75" i="42"/>
  <c r="G89" i="43"/>
  <c r="G87" i="44"/>
  <c r="H88" i="44"/>
  <c r="H97" i="44" s="1"/>
  <c r="I88" i="43"/>
  <c r="I107" i="41"/>
  <c r="G23" i="44"/>
  <c r="G25" i="43"/>
  <c r="I67" i="39"/>
  <c r="H68" i="39"/>
  <c r="I68" i="39" s="1"/>
  <c r="I94" i="43"/>
  <c r="H94" i="44"/>
  <c r="G63" i="44"/>
  <c r="G65" i="43"/>
  <c r="G60" i="44"/>
  <c r="G66" i="43"/>
  <c r="G62" i="43"/>
  <c r="H97" i="43"/>
  <c r="H87" i="44"/>
  <c r="H89" i="43"/>
  <c r="I87" i="43"/>
  <c r="G104" i="44"/>
  <c r="G102" i="45"/>
  <c r="H66" i="43"/>
  <c r="I60" i="43"/>
  <c r="H60" i="44"/>
  <c r="I56" i="42"/>
  <c r="H41" i="43"/>
  <c r="I41" i="42"/>
  <c r="G26" i="43"/>
  <c r="I36" i="47"/>
  <c r="I64" i="43"/>
  <c r="H64" i="44"/>
  <c r="H58" i="43"/>
  <c r="I58" i="43" s="1"/>
  <c r="H52" i="44"/>
  <c r="I52" i="43"/>
  <c r="I86" i="42"/>
  <c r="H91" i="45"/>
  <c r="I91" i="44"/>
  <c r="I63" i="43"/>
  <c r="H65" i="43"/>
  <c r="I65" i="43" s="1"/>
  <c r="H63" i="44"/>
  <c r="G99" i="44"/>
  <c r="G105" i="43"/>
  <c r="H39" i="41"/>
  <c r="I39" i="41" s="1"/>
  <c r="I35" i="41"/>
  <c r="G58" i="44"/>
  <c r="G52" i="45"/>
  <c r="G72" i="44"/>
  <c r="G74" i="43"/>
  <c r="H90" i="45"/>
  <c r="H92" i="44"/>
  <c r="I90" i="44"/>
  <c r="H105" i="43"/>
  <c r="H101" i="43"/>
  <c r="I99" i="43"/>
  <c r="H99" i="44"/>
  <c r="G84" i="44"/>
  <c r="G86" i="43"/>
  <c r="G96" i="43"/>
  <c r="G85" i="44"/>
  <c r="G97" i="43"/>
  <c r="G70" i="45"/>
  <c r="G76" i="44"/>
  <c r="H77" i="41"/>
  <c r="I77" i="41" s="1"/>
  <c r="I44" i="38"/>
  <c r="H45" i="38"/>
  <c r="I45" i="38" s="1"/>
  <c r="H28" i="43"/>
  <c r="H30" i="42"/>
  <c r="I28" i="42"/>
  <c r="G69" i="44"/>
  <c r="G75" i="43"/>
  <c r="G77" i="43" s="1"/>
  <c r="G71" i="43"/>
  <c r="H84" i="44"/>
  <c r="I84" i="43"/>
  <c r="H96" i="43"/>
  <c r="H86" i="43"/>
  <c r="I86" i="43" s="1"/>
  <c r="I105" i="42"/>
  <c r="H107" i="42"/>
  <c r="G51" i="45"/>
  <c r="G57" i="44"/>
  <c r="G59" i="44" s="1"/>
  <c r="G53" i="44"/>
  <c r="H103" i="45"/>
  <c r="I103" i="44"/>
  <c r="G56" i="43"/>
  <c r="G54" i="44"/>
  <c r="G21" i="45"/>
  <c r="G22" i="44"/>
  <c r="H75" i="43"/>
  <c r="H71" i="43"/>
  <c r="H69" i="44"/>
  <c r="I69" i="43"/>
  <c r="G33" i="43"/>
  <c r="G35" i="42"/>
  <c r="G39" i="42" s="1"/>
  <c r="G43" i="42" s="1"/>
  <c r="G44" i="42" s="1"/>
  <c r="G45" i="42" s="1"/>
  <c r="I38" i="47"/>
  <c r="H108" i="42"/>
  <c r="H98" i="42"/>
  <c r="I98" i="42" s="1"/>
  <c r="I96" i="42"/>
  <c r="H33" i="43"/>
  <c r="I33" i="42"/>
  <c r="H35" i="42"/>
  <c r="I106" i="42"/>
  <c r="I61" i="40"/>
  <c r="H67" i="40"/>
  <c r="H61" i="41"/>
  <c r="H62" i="40"/>
  <c r="I62" i="40" s="1"/>
  <c r="G106" i="42"/>
  <c r="G107" i="42" s="1"/>
  <c r="G100" i="43"/>
  <c r="H73" i="46"/>
  <c r="I73" i="45"/>
  <c r="I95" i="42"/>
  <c r="H59" i="42"/>
  <c r="I59" i="42" s="1"/>
  <c r="I57" i="42"/>
  <c r="I30" i="41"/>
  <c r="H32" i="41"/>
  <c r="I32" i="41" s="1"/>
  <c r="I104" i="43"/>
  <c r="I115" i="32"/>
  <c r="H67" i="32"/>
  <c r="I67" i="32" s="1"/>
  <c r="C155" i="32"/>
  <c r="H155" i="32" s="1"/>
  <c r="E46" i="32"/>
  <c r="F45" i="32"/>
  <c r="I125" i="32"/>
  <c r="H127" i="32"/>
  <c r="I127" i="32" s="1"/>
  <c r="F69" i="32"/>
  <c r="E70" i="32"/>
  <c r="F70" i="32" s="1"/>
  <c r="I63" i="32"/>
  <c r="H69" i="32"/>
  <c r="I69" i="32" s="1"/>
  <c r="I45" i="32"/>
  <c r="H46" i="32"/>
  <c r="I68" i="32"/>
  <c r="I73" i="46" l="1"/>
  <c r="H73" i="47"/>
  <c r="I73" i="47" s="1"/>
  <c r="I75" i="43"/>
  <c r="G97" i="44"/>
  <c r="G85" i="45"/>
  <c r="H60" i="45"/>
  <c r="H66" i="44"/>
  <c r="I60" i="44"/>
  <c r="I87" i="44"/>
  <c r="H87" i="45"/>
  <c r="H89" i="44"/>
  <c r="G23" i="45"/>
  <c r="G25" i="44"/>
  <c r="H74" i="44"/>
  <c r="I72" i="44"/>
  <c r="H72" i="45"/>
  <c r="G26" i="44"/>
  <c r="H30" i="43"/>
  <c r="I28" i="43"/>
  <c r="H28" i="44"/>
  <c r="G52" i="46"/>
  <c r="G58" i="45"/>
  <c r="I40" i="43"/>
  <c r="H40" i="44"/>
  <c r="H67" i="41"/>
  <c r="I61" i="41"/>
  <c r="H61" i="42"/>
  <c r="H62" i="41"/>
  <c r="I62" i="41" s="1"/>
  <c r="G33" i="44"/>
  <c r="G35" i="43"/>
  <c r="G39" i="43" s="1"/>
  <c r="G43" i="43"/>
  <c r="G44" i="43" s="1"/>
  <c r="G45" i="43" s="1"/>
  <c r="G66" i="44"/>
  <c r="G60" i="45"/>
  <c r="G62" i="44"/>
  <c r="H51" i="45"/>
  <c r="H57" i="44"/>
  <c r="H53" i="44"/>
  <c r="I53" i="44" s="1"/>
  <c r="I51" i="44"/>
  <c r="H25" i="43"/>
  <c r="I25" i="43" s="1"/>
  <c r="I23" i="43"/>
  <c r="H23" i="44"/>
  <c r="G100" i="44"/>
  <c r="G106" i="43"/>
  <c r="G109" i="43" s="1"/>
  <c r="I92" i="44"/>
  <c r="G101" i="43"/>
  <c r="H100" i="45"/>
  <c r="H106" i="44"/>
  <c r="I100" i="44"/>
  <c r="I55" i="44"/>
  <c r="H55" i="45"/>
  <c r="G61" i="45"/>
  <c r="G67" i="44"/>
  <c r="I104" i="44"/>
  <c r="I26" i="42"/>
  <c r="H45" i="39"/>
  <c r="I45" i="39" s="1"/>
  <c r="I44" i="39"/>
  <c r="H33" i="44"/>
  <c r="H35" i="43"/>
  <c r="I33" i="43"/>
  <c r="H69" i="45"/>
  <c r="I69" i="44"/>
  <c r="H75" i="44"/>
  <c r="G22" i="45"/>
  <c r="G21" i="46"/>
  <c r="H103" i="46"/>
  <c r="I103" i="45"/>
  <c r="I107" i="42"/>
  <c r="G75" i="44"/>
  <c r="G77" i="44" s="1"/>
  <c r="G71" i="44"/>
  <c r="G69" i="45"/>
  <c r="G70" i="46"/>
  <c r="G76" i="45"/>
  <c r="I101" i="43"/>
  <c r="I90" i="45"/>
  <c r="H90" i="46"/>
  <c r="H92" i="45"/>
  <c r="G107" i="43"/>
  <c r="H41" i="44"/>
  <c r="I41" i="43"/>
  <c r="G63" i="45"/>
  <c r="G65" i="44"/>
  <c r="H77" i="42"/>
  <c r="I77" i="42" s="1"/>
  <c r="H95" i="44"/>
  <c r="H93" i="45"/>
  <c r="I93" i="44"/>
  <c r="G110" i="42"/>
  <c r="G28" i="45"/>
  <c r="G30" i="44"/>
  <c r="G32" i="44" s="1"/>
  <c r="I56" i="43"/>
  <c r="I74" i="43"/>
  <c r="I57" i="43"/>
  <c r="H59" i="43"/>
  <c r="I59" i="43" s="1"/>
  <c r="H39" i="42"/>
  <c r="I39" i="42" s="1"/>
  <c r="I35" i="42"/>
  <c r="I30" i="42"/>
  <c r="H32" i="42"/>
  <c r="I32" i="42" s="1"/>
  <c r="H105" i="44"/>
  <c r="H101" i="44"/>
  <c r="I101" i="44" s="1"/>
  <c r="H99" i="45"/>
  <c r="I99" i="44"/>
  <c r="G74" i="44"/>
  <c r="G72" i="45"/>
  <c r="H65" i="44"/>
  <c r="H63" i="45"/>
  <c r="I63" i="44"/>
  <c r="I91" i="45"/>
  <c r="H91" i="46"/>
  <c r="G102" i="46"/>
  <c r="G104" i="45"/>
  <c r="G89" i="44"/>
  <c r="G87" i="45"/>
  <c r="H21" i="45"/>
  <c r="H22" i="44"/>
  <c r="I21" i="44"/>
  <c r="H44" i="40"/>
  <c r="I43" i="40"/>
  <c r="I67" i="40"/>
  <c r="H68" i="40"/>
  <c r="I68" i="40" s="1"/>
  <c r="H110" i="42"/>
  <c r="I108" i="42"/>
  <c r="G51" i="46"/>
  <c r="G57" i="45"/>
  <c r="G59" i="45" s="1"/>
  <c r="G53" i="45"/>
  <c r="I96" i="43"/>
  <c r="H108" i="43"/>
  <c r="H98" i="43"/>
  <c r="I98" i="43" s="1"/>
  <c r="G108" i="43"/>
  <c r="G98" i="43"/>
  <c r="I64" i="44"/>
  <c r="H64" i="45"/>
  <c r="H109" i="43"/>
  <c r="I97" i="43"/>
  <c r="H31" i="46"/>
  <c r="I31" i="45"/>
  <c r="H43" i="41"/>
  <c r="I85" i="44"/>
  <c r="I71" i="43"/>
  <c r="G56" i="44"/>
  <c r="G54" i="45"/>
  <c r="H84" i="45"/>
  <c r="H96" i="44"/>
  <c r="H86" i="44"/>
  <c r="I84" i="44"/>
  <c r="G84" i="45"/>
  <c r="G86" i="44"/>
  <c r="G96" i="44"/>
  <c r="H107" i="43"/>
  <c r="I105" i="43"/>
  <c r="G105" i="44"/>
  <c r="G99" i="45"/>
  <c r="G101" i="44"/>
  <c r="H52" i="45"/>
  <c r="I52" i="44"/>
  <c r="H58" i="44"/>
  <c r="I58" i="44" s="1"/>
  <c r="I66" i="43"/>
  <c r="I89" i="43"/>
  <c r="G68" i="43"/>
  <c r="H94" i="45"/>
  <c r="I94" i="44"/>
  <c r="I88" i="44"/>
  <c r="H88" i="45"/>
  <c r="I22" i="43"/>
  <c r="H42" i="44"/>
  <c r="I42" i="43"/>
  <c r="G93" i="45"/>
  <c r="G95" i="44"/>
  <c r="G92" i="44"/>
  <c r="G90" i="45"/>
  <c r="I54" i="44"/>
  <c r="H54" i="45"/>
  <c r="H56" i="44"/>
  <c r="H85" i="46"/>
  <c r="H97" i="45"/>
  <c r="I85" i="45"/>
  <c r="I102" i="45"/>
  <c r="H104" i="45"/>
  <c r="H102" i="46"/>
  <c r="H70" i="44"/>
  <c r="H76" i="43"/>
  <c r="I76" i="43" s="1"/>
  <c r="I70" i="43"/>
  <c r="H70" i="32"/>
  <c r="I70" i="32" s="1"/>
  <c r="E47" i="32"/>
  <c r="F47" i="32" s="1"/>
  <c r="F46" i="32"/>
  <c r="H47" i="32"/>
  <c r="I47" i="32" s="1"/>
  <c r="I46" i="32"/>
  <c r="I42" i="44" l="1"/>
  <c r="H42" i="45"/>
  <c r="I86" i="44"/>
  <c r="H64" i="46"/>
  <c r="I64" i="45"/>
  <c r="G69" i="46"/>
  <c r="G75" i="45"/>
  <c r="G77" i="45" s="1"/>
  <c r="G71" i="45"/>
  <c r="H77" i="44"/>
  <c r="I77" i="44" s="1"/>
  <c r="I75" i="44"/>
  <c r="I40" i="44"/>
  <c r="H40" i="45"/>
  <c r="I108" i="43"/>
  <c r="H110" i="43"/>
  <c r="I110" i="43" s="1"/>
  <c r="I89" i="44"/>
  <c r="H76" i="44"/>
  <c r="I76" i="44" s="1"/>
  <c r="I70" i="44"/>
  <c r="H70" i="45"/>
  <c r="G72" i="46"/>
  <c r="G74" i="45"/>
  <c r="I41" i="44"/>
  <c r="H41" i="45"/>
  <c r="I57" i="44"/>
  <c r="H59" i="44"/>
  <c r="I59" i="44" s="1"/>
  <c r="I72" i="45"/>
  <c r="H72" i="46"/>
  <c r="H74" i="45"/>
  <c r="G93" i="46"/>
  <c r="G95" i="45"/>
  <c r="G84" i="46"/>
  <c r="G96" i="45"/>
  <c r="G86" i="45"/>
  <c r="I31" i="46"/>
  <c r="H31" i="47"/>
  <c r="I31" i="47" s="1"/>
  <c r="H107" i="44"/>
  <c r="I105" i="44"/>
  <c r="I103" i="46"/>
  <c r="H103" i="47"/>
  <c r="I103" i="47" s="1"/>
  <c r="I35" i="43"/>
  <c r="H39" i="43"/>
  <c r="I39" i="43" s="1"/>
  <c r="I106" i="44"/>
  <c r="I104" i="45"/>
  <c r="H85" i="47"/>
  <c r="G92" i="45"/>
  <c r="G90" i="46"/>
  <c r="I106" i="43"/>
  <c r="H26" i="43"/>
  <c r="H94" i="46"/>
  <c r="I94" i="45"/>
  <c r="I107" i="43"/>
  <c r="H84" i="46"/>
  <c r="I84" i="45"/>
  <c r="H86" i="45"/>
  <c r="I86" i="45" s="1"/>
  <c r="H96" i="45"/>
  <c r="H21" i="46"/>
  <c r="H22" i="45"/>
  <c r="I21" i="45"/>
  <c r="G102" i="47"/>
  <c r="G104" i="47" s="1"/>
  <c r="G104" i="46"/>
  <c r="I63" i="45"/>
  <c r="H65" i="45"/>
  <c r="H63" i="46"/>
  <c r="H95" i="45"/>
  <c r="H93" i="46"/>
  <c r="I93" i="45"/>
  <c r="G65" i="45"/>
  <c r="G63" i="46"/>
  <c r="I92" i="45"/>
  <c r="G21" i="47"/>
  <c r="G22" i="47" s="1"/>
  <c r="G22" i="46"/>
  <c r="H71" i="44"/>
  <c r="I71" i="44" s="1"/>
  <c r="H35" i="44"/>
  <c r="H33" i="45"/>
  <c r="I33" i="44"/>
  <c r="H55" i="46"/>
  <c r="I55" i="45"/>
  <c r="I100" i="45"/>
  <c r="H106" i="45"/>
  <c r="H100" i="46"/>
  <c r="G100" i="45"/>
  <c r="G106" i="44"/>
  <c r="G107" i="44" s="1"/>
  <c r="H32" i="43"/>
  <c r="I32" i="43" s="1"/>
  <c r="I30" i="43"/>
  <c r="I74" i="44"/>
  <c r="H89" i="45"/>
  <c r="I87" i="45"/>
  <c r="H87" i="46"/>
  <c r="I97" i="44"/>
  <c r="H56" i="45"/>
  <c r="I56" i="45" s="1"/>
  <c r="H54" i="46"/>
  <c r="I54" i="45"/>
  <c r="G68" i="44"/>
  <c r="H30" i="44"/>
  <c r="I28" i="44"/>
  <c r="H28" i="45"/>
  <c r="G23" i="46"/>
  <c r="G25" i="45"/>
  <c r="G85" i="46"/>
  <c r="I85" i="46" s="1"/>
  <c r="G97" i="45"/>
  <c r="I97" i="45" s="1"/>
  <c r="I102" i="46"/>
  <c r="H102" i="47"/>
  <c r="H104" i="46"/>
  <c r="I104" i="46" s="1"/>
  <c r="H58" i="45"/>
  <c r="I58" i="45" s="1"/>
  <c r="H52" i="46"/>
  <c r="I52" i="45"/>
  <c r="H108" i="44"/>
  <c r="I96" i="44"/>
  <c r="H98" i="44"/>
  <c r="G51" i="47"/>
  <c r="G57" i="46"/>
  <c r="G59" i="46" s="1"/>
  <c r="G53" i="46"/>
  <c r="I22" i="44"/>
  <c r="H26" i="44"/>
  <c r="H43" i="42"/>
  <c r="G61" i="46"/>
  <c r="G67" i="45"/>
  <c r="I51" i="45"/>
  <c r="H53" i="45"/>
  <c r="I53" i="45" s="1"/>
  <c r="H51" i="46"/>
  <c r="H57" i="45"/>
  <c r="H67" i="42"/>
  <c r="I61" i="42"/>
  <c r="H61" i="43"/>
  <c r="H62" i="42"/>
  <c r="I62" i="42" s="1"/>
  <c r="I66" i="44"/>
  <c r="I56" i="44"/>
  <c r="I88" i="45"/>
  <c r="H88" i="46"/>
  <c r="G99" i="46"/>
  <c r="G105" i="45"/>
  <c r="G101" i="45"/>
  <c r="G98" i="44"/>
  <c r="G108" i="44"/>
  <c r="G54" i="46"/>
  <c r="G56" i="45"/>
  <c r="I43" i="41"/>
  <c r="H44" i="41"/>
  <c r="I109" i="43"/>
  <c r="G110" i="43"/>
  <c r="I110" i="42"/>
  <c r="H45" i="40"/>
  <c r="I45" i="40" s="1"/>
  <c r="I44" i="40"/>
  <c r="G87" i="46"/>
  <c r="G89" i="45"/>
  <c r="I91" i="46"/>
  <c r="H91" i="47"/>
  <c r="I91" i="47" s="1"/>
  <c r="I65" i="44"/>
  <c r="H105" i="45"/>
  <c r="H101" i="45"/>
  <c r="I101" i="45" s="1"/>
  <c r="I99" i="45"/>
  <c r="H99" i="46"/>
  <c r="G28" i="46"/>
  <c r="G30" i="45"/>
  <c r="G32" i="45" s="1"/>
  <c r="I95" i="44"/>
  <c r="H90" i="47"/>
  <c r="H92" i="46"/>
  <c r="G76" i="46"/>
  <c r="G70" i="47"/>
  <c r="G76" i="47" s="1"/>
  <c r="G26" i="45"/>
  <c r="H75" i="45"/>
  <c r="I69" i="45"/>
  <c r="H69" i="46"/>
  <c r="H23" i="45"/>
  <c r="H25" i="44"/>
  <c r="I25" i="44" s="1"/>
  <c r="I23" i="44"/>
  <c r="G60" i="46"/>
  <c r="G62" i="45"/>
  <c r="G66" i="45"/>
  <c r="G68" i="45" s="1"/>
  <c r="G35" i="44"/>
  <c r="G39" i="44" s="1"/>
  <c r="G33" i="45"/>
  <c r="I67" i="41"/>
  <c r="H68" i="41"/>
  <c r="I68" i="41" s="1"/>
  <c r="G52" i="47"/>
  <c r="G58" i="47" s="1"/>
  <c r="G58" i="46"/>
  <c r="G43" i="44"/>
  <c r="G44" i="44" s="1"/>
  <c r="G45" i="44" s="1"/>
  <c r="H66" i="45"/>
  <c r="I60" i="45"/>
  <c r="H60" i="46"/>
  <c r="H77" i="43"/>
  <c r="I77" i="43" s="1"/>
  <c r="H109" i="44"/>
  <c r="D155" i="31"/>
  <c r="B155" i="31"/>
  <c r="H120" i="31"/>
  <c r="G120" i="31"/>
  <c r="H119" i="31"/>
  <c r="G119" i="31"/>
  <c r="H117" i="31"/>
  <c r="G117" i="31"/>
  <c r="H116" i="31"/>
  <c r="G116" i="31"/>
  <c r="H111" i="31"/>
  <c r="G111" i="31"/>
  <c r="H110" i="31"/>
  <c r="G110" i="31"/>
  <c r="H108" i="31"/>
  <c r="G108" i="31"/>
  <c r="H107" i="31"/>
  <c r="G107" i="31"/>
  <c r="H105" i="31"/>
  <c r="G105" i="31"/>
  <c r="H104" i="31"/>
  <c r="G104" i="31"/>
  <c r="H102" i="31"/>
  <c r="G102" i="31"/>
  <c r="H101" i="31"/>
  <c r="G101" i="31"/>
  <c r="H99" i="31"/>
  <c r="G99" i="31"/>
  <c r="H98" i="31"/>
  <c r="G98" i="31"/>
  <c r="F92" i="31"/>
  <c r="F91" i="31"/>
  <c r="F90" i="31"/>
  <c r="F89" i="31"/>
  <c r="F88" i="31"/>
  <c r="F87" i="31"/>
  <c r="H75" i="31"/>
  <c r="G75" i="31"/>
  <c r="H74" i="31"/>
  <c r="G74" i="31"/>
  <c r="H72" i="31"/>
  <c r="G72" i="31"/>
  <c r="H71" i="31"/>
  <c r="G71" i="31"/>
  <c r="H66" i="31"/>
  <c r="G66" i="31"/>
  <c r="H65" i="31"/>
  <c r="G65" i="31"/>
  <c r="H63" i="31"/>
  <c r="G63" i="31"/>
  <c r="H62" i="31"/>
  <c r="G62" i="31"/>
  <c r="H57" i="31"/>
  <c r="G57" i="31"/>
  <c r="H56" i="31"/>
  <c r="G56" i="31"/>
  <c r="H54" i="31"/>
  <c r="G54" i="31"/>
  <c r="H53" i="31"/>
  <c r="G53" i="31"/>
  <c r="H44" i="31"/>
  <c r="G44" i="31"/>
  <c r="H43" i="31"/>
  <c r="G43" i="31"/>
  <c r="H42" i="31"/>
  <c r="G42" i="31"/>
  <c r="H38" i="31"/>
  <c r="G38" i="31"/>
  <c r="H35" i="31"/>
  <c r="G35" i="31"/>
  <c r="H33" i="31"/>
  <c r="G33" i="31"/>
  <c r="H31" i="31"/>
  <c r="G31" i="31"/>
  <c r="H30" i="31"/>
  <c r="G30" i="31"/>
  <c r="H25" i="31"/>
  <c r="G25" i="31"/>
  <c r="H23" i="31"/>
  <c r="G23" i="31"/>
  <c r="E127" i="31"/>
  <c r="E24" i="31"/>
  <c r="E27" i="31"/>
  <c r="E28" i="31"/>
  <c r="E32" i="31"/>
  <c r="E34" i="31"/>
  <c r="E37" i="31"/>
  <c r="E40" i="31"/>
  <c r="E41" i="31"/>
  <c r="E42" i="31"/>
  <c r="E45" i="31"/>
  <c r="C155" i="31"/>
  <c r="H155" i="31"/>
  <c r="H113" i="31"/>
  <c r="H122" i="31"/>
  <c r="H125" i="31"/>
  <c r="H114" i="31"/>
  <c r="H123" i="31"/>
  <c r="H126" i="31"/>
  <c r="H127" i="31"/>
  <c r="G113" i="31"/>
  <c r="G122" i="31"/>
  <c r="G125" i="31"/>
  <c r="G114" i="31"/>
  <c r="G123" i="31"/>
  <c r="G126" i="31"/>
  <c r="G127" i="31"/>
  <c r="I127" i="31"/>
  <c r="E113" i="31"/>
  <c r="E122" i="31"/>
  <c r="E125" i="31"/>
  <c r="E114" i="31"/>
  <c r="E123" i="31"/>
  <c r="E126" i="31"/>
  <c r="D113" i="31"/>
  <c r="D122" i="31"/>
  <c r="D125" i="31"/>
  <c r="D114" i="31"/>
  <c r="D123" i="31"/>
  <c r="D126" i="31"/>
  <c r="D127" i="31"/>
  <c r="F127" i="31"/>
  <c r="I126" i="31"/>
  <c r="F126" i="31"/>
  <c r="I125" i="31"/>
  <c r="F125" i="31"/>
  <c r="H124" i="31"/>
  <c r="G124" i="31"/>
  <c r="I124" i="31"/>
  <c r="E124" i="31"/>
  <c r="D124" i="31"/>
  <c r="F124" i="31"/>
  <c r="I123" i="31"/>
  <c r="F123" i="31"/>
  <c r="I122" i="31"/>
  <c r="F122" i="31"/>
  <c r="H121" i="31"/>
  <c r="G121" i="31"/>
  <c r="I121" i="31"/>
  <c r="E121" i="31"/>
  <c r="D121" i="31"/>
  <c r="F121" i="31"/>
  <c r="I120" i="31"/>
  <c r="F120" i="31"/>
  <c r="I119" i="31"/>
  <c r="F119" i="31"/>
  <c r="H118" i="31"/>
  <c r="G118" i="31"/>
  <c r="I118" i="31"/>
  <c r="E118" i="31"/>
  <c r="D118" i="31"/>
  <c r="F118" i="31"/>
  <c r="I117" i="31"/>
  <c r="F117" i="31"/>
  <c r="I116" i="31"/>
  <c r="F116" i="31"/>
  <c r="H115" i="31"/>
  <c r="G115" i="31"/>
  <c r="I115" i="31"/>
  <c r="E115" i="31"/>
  <c r="D115" i="31"/>
  <c r="F115" i="31"/>
  <c r="I114" i="31"/>
  <c r="F114" i="31"/>
  <c r="I113" i="31"/>
  <c r="F113" i="31"/>
  <c r="H112" i="31"/>
  <c r="G112" i="31"/>
  <c r="I112" i="31"/>
  <c r="E112" i="31"/>
  <c r="D112" i="31"/>
  <c r="F112" i="31"/>
  <c r="I111" i="31"/>
  <c r="F111" i="31"/>
  <c r="I110" i="31"/>
  <c r="F110" i="31"/>
  <c r="H109" i="31"/>
  <c r="G109" i="31"/>
  <c r="I109" i="31"/>
  <c r="E109" i="31"/>
  <c r="D109" i="31"/>
  <c r="F109" i="31"/>
  <c r="I108" i="31"/>
  <c r="F108" i="31"/>
  <c r="I107" i="31"/>
  <c r="F107" i="31"/>
  <c r="H106" i="31"/>
  <c r="G106" i="31"/>
  <c r="I106" i="31"/>
  <c r="E106" i="31"/>
  <c r="D106" i="31"/>
  <c r="F106" i="31"/>
  <c r="I105" i="31"/>
  <c r="F105" i="31"/>
  <c r="I104" i="31"/>
  <c r="F104" i="31"/>
  <c r="H103" i="31"/>
  <c r="G103" i="31"/>
  <c r="I103" i="31"/>
  <c r="E103" i="31"/>
  <c r="D103" i="31"/>
  <c r="F103" i="31"/>
  <c r="I102" i="31"/>
  <c r="F102" i="31"/>
  <c r="I101" i="31"/>
  <c r="F101" i="31"/>
  <c r="H100" i="31"/>
  <c r="G100" i="31"/>
  <c r="I100" i="31"/>
  <c r="E100" i="31"/>
  <c r="D100" i="31"/>
  <c r="F100" i="31"/>
  <c r="I99" i="31"/>
  <c r="F99" i="31"/>
  <c r="I98" i="31"/>
  <c r="F98" i="31"/>
  <c r="G91" i="31"/>
  <c r="E91" i="31"/>
  <c r="G90" i="31"/>
  <c r="E90" i="31"/>
  <c r="G89" i="31"/>
  <c r="E89" i="31"/>
  <c r="H77" i="31"/>
  <c r="E72" i="31"/>
  <c r="E75" i="31"/>
  <c r="H78" i="31"/>
  <c r="H79" i="31"/>
  <c r="G77" i="31"/>
  <c r="G78" i="31"/>
  <c r="G79" i="31"/>
  <c r="I79" i="31"/>
  <c r="E77" i="31"/>
  <c r="E78" i="31"/>
  <c r="E79" i="31"/>
  <c r="D77" i="31"/>
  <c r="D78" i="31"/>
  <c r="D79" i="31"/>
  <c r="F79" i="31"/>
  <c r="I78" i="31"/>
  <c r="F78" i="31"/>
  <c r="I77" i="31"/>
  <c r="F77" i="31"/>
  <c r="H76" i="31"/>
  <c r="G76" i="31"/>
  <c r="I76" i="31"/>
  <c r="E76" i="31"/>
  <c r="D76" i="31"/>
  <c r="F76" i="31"/>
  <c r="I75" i="31"/>
  <c r="F75" i="31"/>
  <c r="I74" i="31"/>
  <c r="F74" i="31"/>
  <c r="H73" i="31"/>
  <c r="G73" i="31"/>
  <c r="I73" i="31"/>
  <c r="E73" i="31"/>
  <c r="D73" i="31"/>
  <c r="F73" i="31"/>
  <c r="I72" i="31"/>
  <c r="F72" i="31"/>
  <c r="I71" i="31"/>
  <c r="F71" i="31"/>
  <c r="E62" i="31"/>
  <c r="E65" i="31"/>
  <c r="H68" i="31"/>
  <c r="E63" i="31"/>
  <c r="E66" i="31"/>
  <c r="H69" i="31"/>
  <c r="H70" i="31"/>
  <c r="G68" i="31"/>
  <c r="G69" i="31"/>
  <c r="G70" i="31"/>
  <c r="I70" i="31"/>
  <c r="E68" i="31"/>
  <c r="E69" i="31"/>
  <c r="E70" i="31"/>
  <c r="D68" i="31"/>
  <c r="D69" i="31"/>
  <c r="D70" i="31"/>
  <c r="F70" i="31"/>
  <c r="I69" i="31"/>
  <c r="F69" i="31"/>
  <c r="I68" i="31"/>
  <c r="F68" i="31"/>
  <c r="H67" i="31"/>
  <c r="G67" i="31"/>
  <c r="I67" i="31"/>
  <c r="E67" i="31"/>
  <c r="D67" i="31"/>
  <c r="F67" i="31"/>
  <c r="I66" i="31"/>
  <c r="F66" i="31"/>
  <c r="I65" i="31"/>
  <c r="F65" i="31"/>
  <c r="H64" i="31"/>
  <c r="G64" i="31"/>
  <c r="I64" i="31"/>
  <c r="E64" i="31"/>
  <c r="D64" i="31"/>
  <c r="F64" i="31"/>
  <c r="I63" i="31"/>
  <c r="F63" i="31"/>
  <c r="I62" i="31"/>
  <c r="F62" i="31"/>
  <c r="H59" i="31"/>
  <c r="H60" i="31"/>
  <c r="H61" i="31"/>
  <c r="G59" i="31"/>
  <c r="G60" i="31"/>
  <c r="G61" i="31"/>
  <c r="I61" i="31"/>
  <c r="E59" i="31"/>
  <c r="E60" i="31"/>
  <c r="E61" i="31"/>
  <c r="D59" i="31"/>
  <c r="D60" i="31"/>
  <c r="D61" i="31"/>
  <c r="F61" i="31"/>
  <c r="I60" i="31"/>
  <c r="F60" i="31"/>
  <c r="I59" i="31"/>
  <c r="F59" i="31"/>
  <c r="H58" i="31"/>
  <c r="G58" i="31"/>
  <c r="I58" i="31"/>
  <c r="E58" i="31"/>
  <c r="D58" i="31"/>
  <c r="F58" i="31"/>
  <c r="I57" i="31"/>
  <c r="F57" i="31"/>
  <c r="I56" i="31"/>
  <c r="F56" i="31"/>
  <c r="H55" i="31"/>
  <c r="G55" i="31"/>
  <c r="I55" i="31"/>
  <c r="E55" i="31"/>
  <c r="D55" i="31"/>
  <c r="F55" i="31"/>
  <c r="I54" i="31"/>
  <c r="F54" i="31"/>
  <c r="I53" i="31"/>
  <c r="F53" i="31"/>
  <c r="H24" i="31"/>
  <c r="H26" i="31"/>
  <c r="H27" i="31"/>
  <c r="H28" i="31"/>
  <c r="H32" i="31"/>
  <c r="H34" i="31"/>
  <c r="H37" i="31"/>
  <c r="H40" i="31"/>
  <c r="H41" i="31"/>
  <c r="H45" i="31"/>
  <c r="H46" i="31"/>
  <c r="H47" i="31"/>
  <c r="G24" i="31"/>
  <c r="G26" i="31"/>
  <c r="G27" i="31"/>
  <c r="G28" i="31"/>
  <c r="G32" i="31"/>
  <c r="G34" i="31"/>
  <c r="G37" i="31"/>
  <c r="G40" i="31"/>
  <c r="G41" i="31"/>
  <c r="G45" i="31"/>
  <c r="G46" i="31"/>
  <c r="G47" i="31"/>
  <c r="I47" i="31"/>
  <c r="E46" i="31"/>
  <c r="E47" i="31"/>
  <c r="D24" i="31"/>
  <c r="D27" i="31"/>
  <c r="D28" i="31"/>
  <c r="D32" i="31"/>
  <c r="D34" i="31"/>
  <c r="D37" i="31"/>
  <c r="D40" i="31"/>
  <c r="D41" i="31"/>
  <c r="D45" i="31"/>
  <c r="D46" i="31"/>
  <c r="D47" i="31"/>
  <c r="F47" i="31"/>
  <c r="I46" i="31"/>
  <c r="F46" i="31"/>
  <c r="I45" i="31"/>
  <c r="F45" i="31"/>
  <c r="I44" i="31"/>
  <c r="F44" i="31"/>
  <c r="I43" i="31"/>
  <c r="F43" i="31"/>
  <c r="I42" i="31"/>
  <c r="F42" i="31"/>
  <c r="I41" i="31"/>
  <c r="F41" i="31"/>
  <c r="I40" i="31"/>
  <c r="F40" i="31"/>
  <c r="I39" i="31"/>
  <c r="F39" i="31"/>
  <c r="I38" i="31"/>
  <c r="F38" i="31"/>
  <c r="I37" i="31"/>
  <c r="F37" i="31"/>
  <c r="I36" i="31"/>
  <c r="F36" i="31"/>
  <c r="I35" i="31"/>
  <c r="F35" i="31"/>
  <c r="I34" i="31"/>
  <c r="F34" i="31"/>
  <c r="I33" i="31"/>
  <c r="F33" i="31"/>
  <c r="I32" i="31"/>
  <c r="F32" i="31"/>
  <c r="I31" i="31"/>
  <c r="F31" i="31"/>
  <c r="I30" i="31"/>
  <c r="F30" i="31"/>
  <c r="I28" i="31"/>
  <c r="F28" i="31"/>
  <c r="I27" i="31"/>
  <c r="F27" i="31"/>
  <c r="I26" i="31"/>
  <c r="F26" i="31"/>
  <c r="I25" i="31"/>
  <c r="F25" i="31"/>
  <c r="I24" i="31"/>
  <c r="F24" i="31"/>
  <c r="I23" i="31"/>
  <c r="F23" i="31"/>
  <c r="D16" i="31"/>
  <c r="C16" i="31"/>
  <c r="B155" i="30"/>
  <c r="G23" i="30"/>
  <c r="H120" i="30"/>
  <c r="G120" i="30"/>
  <c r="H119" i="30"/>
  <c r="G119" i="30"/>
  <c r="H117" i="30"/>
  <c r="G117" i="30"/>
  <c r="H116" i="30"/>
  <c r="G116" i="30"/>
  <c r="H111" i="30"/>
  <c r="G111" i="30"/>
  <c r="H110" i="30"/>
  <c r="G110" i="30"/>
  <c r="H108" i="30"/>
  <c r="G108" i="30"/>
  <c r="H107" i="30"/>
  <c r="G107" i="30"/>
  <c r="H105" i="30"/>
  <c r="G105" i="30"/>
  <c r="H104" i="30"/>
  <c r="G104" i="30"/>
  <c r="H102" i="30"/>
  <c r="G102" i="30"/>
  <c r="H101" i="30"/>
  <c r="G101" i="30"/>
  <c r="H99" i="30"/>
  <c r="G99" i="30"/>
  <c r="H98" i="30"/>
  <c r="G98" i="30"/>
  <c r="F92" i="30"/>
  <c r="F91" i="30"/>
  <c r="F90" i="30"/>
  <c r="F89" i="30"/>
  <c r="F88" i="30"/>
  <c r="F87" i="30"/>
  <c r="H75" i="30"/>
  <c r="G75" i="30"/>
  <c r="H74" i="30"/>
  <c r="G74" i="30"/>
  <c r="H72" i="30"/>
  <c r="G72" i="30"/>
  <c r="H71" i="30"/>
  <c r="G71" i="30"/>
  <c r="H66" i="30"/>
  <c r="G66" i="30"/>
  <c r="H65" i="30"/>
  <c r="G65" i="30"/>
  <c r="H63" i="30"/>
  <c r="G63" i="30"/>
  <c r="H62" i="30"/>
  <c r="G62" i="30"/>
  <c r="H57" i="30"/>
  <c r="G57" i="30"/>
  <c r="H56" i="30"/>
  <c r="G56" i="30"/>
  <c r="H54" i="30"/>
  <c r="G54" i="30"/>
  <c r="H53" i="30"/>
  <c r="G53" i="30"/>
  <c r="H44" i="30"/>
  <c r="G44" i="30"/>
  <c r="H43" i="30"/>
  <c r="G43" i="30"/>
  <c r="H42" i="30"/>
  <c r="G42" i="30"/>
  <c r="H38" i="30"/>
  <c r="G38" i="30"/>
  <c r="H35" i="30"/>
  <c r="G35" i="30"/>
  <c r="H33" i="30"/>
  <c r="G33" i="30"/>
  <c r="H31" i="30"/>
  <c r="G31" i="30"/>
  <c r="H30" i="30"/>
  <c r="G30" i="30"/>
  <c r="H25" i="30"/>
  <c r="G25" i="30"/>
  <c r="H23" i="30"/>
  <c r="E58" i="30"/>
  <c r="D155" i="30"/>
  <c r="E123" i="30"/>
  <c r="D123" i="30"/>
  <c r="E122" i="30"/>
  <c r="D122" i="30"/>
  <c r="E121" i="30"/>
  <c r="D121" i="30"/>
  <c r="F120" i="30"/>
  <c r="G121" i="30"/>
  <c r="F119" i="30"/>
  <c r="E118" i="30"/>
  <c r="D118" i="30"/>
  <c r="H123" i="30"/>
  <c r="G123" i="30"/>
  <c r="F117" i="30"/>
  <c r="H122" i="30"/>
  <c r="G122" i="30"/>
  <c r="F116" i="30"/>
  <c r="E114" i="30"/>
  <c r="E126" i="30"/>
  <c r="D114" i="30"/>
  <c r="E113" i="30"/>
  <c r="E125" i="30"/>
  <c r="D113" i="30"/>
  <c r="D125" i="30"/>
  <c r="E112" i="30"/>
  <c r="D112" i="30"/>
  <c r="F111" i="30"/>
  <c r="F110" i="30"/>
  <c r="E109" i="30"/>
  <c r="D109" i="30"/>
  <c r="F108" i="30"/>
  <c r="F107" i="30"/>
  <c r="E106" i="30"/>
  <c r="D106" i="30"/>
  <c r="F105" i="30"/>
  <c r="F104" i="30"/>
  <c r="E103" i="30"/>
  <c r="F103" i="30"/>
  <c r="D103" i="30"/>
  <c r="I102" i="30"/>
  <c r="F102" i="30"/>
  <c r="H103" i="30"/>
  <c r="I103" i="30"/>
  <c r="G103" i="30"/>
  <c r="F101" i="30"/>
  <c r="E100" i="30"/>
  <c r="D100" i="30"/>
  <c r="F99" i="30"/>
  <c r="G113" i="30"/>
  <c r="F98" i="30"/>
  <c r="E91" i="30"/>
  <c r="E90" i="30"/>
  <c r="E89" i="30"/>
  <c r="D78" i="30"/>
  <c r="E77" i="30"/>
  <c r="D77" i="30"/>
  <c r="D76" i="30"/>
  <c r="E75" i="30"/>
  <c r="E76" i="30"/>
  <c r="F74" i="30"/>
  <c r="D73" i="30"/>
  <c r="E72" i="30"/>
  <c r="E63" i="30"/>
  <c r="F71" i="30"/>
  <c r="D69" i="30"/>
  <c r="D68" i="30"/>
  <c r="D67" i="30"/>
  <c r="E65" i="30"/>
  <c r="F65" i="30"/>
  <c r="D64" i="30"/>
  <c r="G68" i="30"/>
  <c r="E62" i="30"/>
  <c r="E60" i="30"/>
  <c r="D60" i="30"/>
  <c r="E59" i="30"/>
  <c r="D59" i="30"/>
  <c r="F58" i="30"/>
  <c r="D58" i="30"/>
  <c r="F57" i="30"/>
  <c r="F56" i="30"/>
  <c r="E55" i="30"/>
  <c r="D55" i="30"/>
  <c r="H60" i="30"/>
  <c r="G60" i="30"/>
  <c r="F54" i="30"/>
  <c r="H59" i="30"/>
  <c r="G59" i="30"/>
  <c r="F53" i="30"/>
  <c r="I44" i="30"/>
  <c r="F44" i="30"/>
  <c r="I43" i="30"/>
  <c r="F43" i="30"/>
  <c r="E42" i="30"/>
  <c r="E40" i="30"/>
  <c r="D40" i="30"/>
  <c r="F40" i="30"/>
  <c r="I39" i="30"/>
  <c r="F39" i="30"/>
  <c r="H40" i="30"/>
  <c r="G40" i="30"/>
  <c r="F38" i="30"/>
  <c r="E37" i="30"/>
  <c r="E41" i="30"/>
  <c r="F41" i="30"/>
  <c r="D37" i="30"/>
  <c r="D41" i="30"/>
  <c r="I36" i="30"/>
  <c r="F36" i="30"/>
  <c r="H37" i="30"/>
  <c r="G37" i="30"/>
  <c r="F35" i="30"/>
  <c r="I33" i="30"/>
  <c r="F33" i="30"/>
  <c r="E32" i="30"/>
  <c r="E34" i="30"/>
  <c r="F34" i="30"/>
  <c r="D32" i="30"/>
  <c r="D34" i="30"/>
  <c r="I31" i="30"/>
  <c r="F31" i="30"/>
  <c r="G32" i="30"/>
  <c r="G34" i="30"/>
  <c r="F30" i="30"/>
  <c r="E27" i="30"/>
  <c r="D27" i="30"/>
  <c r="F27" i="30"/>
  <c r="H26" i="30"/>
  <c r="I26" i="30"/>
  <c r="G26" i="30"/>
  <c r="F26" i="30"/>
  <c r="H27" i="30"/>
  <c r="G27" i="30"/>
  <c r="F25" i="30"/>
  <c r="E24" i="30"/>
  <c r="E28" i="30"/>
  <c r="D24" i="30"/>
  <c r="D28" i="30"/>
  <c r="D45" i="30"/>
  <c r="D46" i="30"/>
  <c r="D47" i="30"/>
  <c r="G24" i="30"/>
  <c r="F23" i="30"/>
  <c r="D16" i="30"/>
  <c r="C16" i="30"/>
  <c r="D126" i="30"/>
  <c r="F121" i="30"/>
  <c r="F118" i="30"/>
  <c r="F123" i="30"/>
  <c r="D124" i="30"/>
  <c r="G124" i="30"/>
  <c r="I123" i="30"/>
  <c r="F112" i="30"/>
  <c r="G112" i="30"/>
  <c r="I112" i="30"/>
  <c r="D127" i="30"/>
  <c r="G109" i="30"/>
  <c r="F109" i="30"/>
  <c r="G114" i="30"/>
  <c r="G126" i="30"/>
  <c r="F106" i="30"/>
  <c r="F126" i="30"/>
  <c r="G106" i="30"/>
  <c r="G76" i="30"/>
  <c r="G78" i="30"/>
  <c r="G77" i="30"/>
  <c r="F76" i="30"/>
  <c r="G79" i="30"/>
  <c r="G67" i="30"/>
  <c r="G69" i="30"/>
  <c r="D70" i="30"/>
  <c r="G58" i="30"/>
  <c r="F55" i="30"/>
  <c r="F60" i="30"/>
  <c r="D61" i="30"/>
  <c r="F61" i="30"/>
  <c r="I42" i="30"/>
  <c r="I23" i="30"/>
  <c r="H121" i="30"/>
  <c r="I120" i="30"/>
  <c r="E124" i="30"/>
  <c r="F124" i="30"/>
  <c r="H112" i="30"/>
  <c r="I111" i="30"/>
  <c r="H109" i="30"/>
  <c r="I108" i="30"/>
  <c r="H106" i="30"/>
  <c r="I105" i="30"/>
  <c r="F100" i="30"/>
  <c r="G91" i="30"/>
  <c r="G90" i="30"/>
  <c r="G89" i="30"/>
  <c r="E68" i="30"/>
  <c r="E66" i="30"/>
  <c r="I66" i="30"/>
  <c r="F62" i="30"/>
  <c r="F77" i="30"/>
  <c r="H58" i="30"/>
  <c r="I57" i="30"/>
  <c r="E61" i="30"/>
  <c r="H32" i="30"/>
  <c r="H34" i="30"/>
  <c r="I34" i="30"/>
  <c r="F75" i="30"/>
  <c r="E69" i="30"/>
  <c r="F69" i="30"/>
  <c r="I75" i="30"/>
  <c r="G28" i="30"/>
  <c r="I27" i="30"/>
  <c r="I32" i="30"/>
  <c r="G41" i="30"/>
  <c r="I40" i="30"/>
  <c r="G61" i="30"/>
  <c r="I60" i="30"/>
  <c r="E45" i="30"/>
  <c r="F28" i="30"/>
  <c r="H41" i="30"/>
  <c r="I37" i="30"/>
  <c r="I59" i="30"/>
  <c r="H61" i="30"/>
  <c r="F24" i="30"/>
  <c r="H24" i="30"/>
  <c r="I25" i="30"/>
  <c r="I30" i="30"/>
  <c r="I35" i="30"/>
  <c r="I38" i="30"/>
  <c r="F42" i="30"/>
  <c r="H55" i="30"/>
  <c r="F59" i="30"/>
  <c r="G70" i="30"/>
  <c r="I62" i="30"/>
  <c r="F63" i="30"/>
  <c r="H64" i="30"/>
  <c r="E67" i="30"/>
  <c r="F67" i="30"/>
  <c r="H68" i="30"/>
  <c r="F68" i="30"/>
  <c r="I71" i="30"/>
  <c r="G73" i="30"/>
  <c r="H76" i="30"/>
  <c r="H77" i="30"/>
  <c r="D79" i="30"/>
  <c r="I98" i="30"/>
  <c r="H113" i="30"/>
  <c r="I106" i="30"/>
  <c r="I109" i="30"/>
  <c r="I122" i="30"/>
  <c r="H124" i="30"/>
  <c r="I124" i="30"/>
  <c r="I121" i="30"/>
  <c r="F32" i="30"/>
  <c r="F37" i="30"/>
  <c r="I53" i="30"/>
  <c r="I54" i="30"/>
  <c r="G55" i="30"/>
  <c r="I56" i="30"/>
  <c r="E64" i="30"/>
  <c r="F64" i="30"/>
  <c r="G64" i="30"/>
  <c r="E78" i="30"/>
  <c r="F78" i="30"/>
  <c r="F72" i="30"/>
  <c r="E73" i="30"/>
  <c r="F73" i="30"/>
  <c r="I74" i="30"/>
  <c r="G125" i="30"/>
  <c r="I99" i="30"/>
  <c r="H114" i="30"/>
  <c r="H100" i="30"/>
  <c r="E127" i="30"/>
  <c r="F125" i="30"/>
  <c r="F113" i="30"/>
  <c r="F114" i="30"/>
  <c r="D115" i="30"/>
  <c r="H118" i="30"/>
  <c r="F122" i="30"/>
  <c r="G100" i="30"/>
  <c r="I101" i="30"/>
  <c r="I104" i="30"/>
  <c r="I107" i="30"/>
  <c r="I110" i="30"/>
  <c r="E115" i="30"/>
  <c r="F115" i="30"/>
  <c r="I116" i="30"/>
  <c r="I117" i="30"/>
  <c r="G118" i="30"/>
  <c r="I119" i="30"/>
  <c r="B155" i="29"/>
  <c r="I41" i="30"/>
  <c r="I58" i="30"/>
  <c r="G127" i="30"/>
  <c r="F127" i="30"/>
  <c r="G115" i="30"/>
  <c r="I76" i="30"/>
  <c r="F66" i="30"/>
  <c r="E70" i="30"/>
  <c r="F70" i="30"/>
  <c r="I68" i="30"/>
  <c r="I118" i="30"/>
  <c r="I100" i="30"/>
  <c r="I114" i="30"/>
  <c r="H126" i="30"/>
  <c r="I126" i="30"/>
  <c r="I77" i="30"/>
  <c r="I63" i="30"/>
  <c r="H69" i="30"/>
  <c r="I69" i="30"/>
  <c r="I55" i="30"/>
  <c r="I24" i="30"/>
  <c r="H28" i="30"/>
  <c r="I61" i="30"/>
  <c r="H78" i="30"/>
  <c r="I78" i="30"/>
  <c r="I72" i="30"/>
  <c r="I113" i="30"/>
  <c r="H125" i="30"/>
  <c r="H115" i="30"/>
  <c r="I115" i="30"/>
  <c r="E79" i="30"/>
  <c r="F79" i="30"/>
  <c r="H73" i="30"/>
  <c r="I73" i="30"/>
  <c r="I65" i="30"/>
  <c r="H67" i="30"/>
  <c r="I67" i="30"/>
  <c r="I64" i="30"/>
  <c r="C155" i="30"/>
  <c r="H155" i="30"/>
  <c r="E46" i="30"/>
  <c r="F45" i="30"/>
  <c r="G45" i="30"/>
  <c r="G46" i="30"/>
  <c r="G47" i="30"/>
  <c r="H120" i="29"/>
  <c r="G120" i="29"/>
  <c r="H119" i="29"/>
  <c r="G119" i="29"/>
  <c r="H117" i="29"/>
  <c r="G117" i="29"/>
  <c r="H116" i="29"/>
  <c r="G116" i="29"/>
  <c r="H111" i="29"/>
  <c r="G111" i="29"/>
  <c r="H110" i="29"/>
  <c r="G110" i="29"/>
  <c r="H108" i="29"/>
  <c r="G108" i="29"/>
  <c r="H107" i="29"/>
  <c r="G107" i="29"/>
  <c r="H105" i="29"/>
  <c r="G105" i="29"/>
  <c r="H104" i="29"/>
  <c r="G104" i="29"/>
  <c r="H102" i="29"/>
  <c r="G102" i="29"/>
  <c r="H101" i="29"/>
  <c r="G101" i="29"/>
  <c r="H99" i="29"/>
  <c r="G99" i="29"/>
  <c r="H98" i="29"/>
  <c r="G98" i="29"/>
  <c r="F92" i="29"/>
  <c r="F91" i="29"/>
  <c r="F90" i="29"/>
  <c r="F89" i="29"/>
  <c r="F88" i="29"/>
  <c r="F87" i="29"/>
  <c r="H75" i="29"/>
  <c r="G75" i="29"/>
  <c r="H74" i="29"/>
  <c r="G74" i="29"/>
  <c r="H72" i="29"/>
  <c r="G72" i="29"/>
  <c r="H71" i="29"/>
  <c r="G71" i="29"/>
  <c r="H66" i="29"/>
  <c r="G66" i="29"/>
  <c r="H65" i="29"/>
  <c r="G65" i="29"/>
  <c r="H63" i="29"/>
  <c r="G63" i="29"/>
  <c r="H62" i="29"/>
  <c r="G62" i="29"/>
  <c r="H57" i="29"/>
  <c r="G57" i="29"/>
  <c r="H56" i="29"/>
  <c r="G56" i="29"/>
  <c r="H54" i="29"/>
  <c r="G54" i="29"/>
  <c r="H53" i="29"/>
  <c r="G53" i="29"/>
  <c r="H44" i="29"/>
  <c r="G44" i="29"/>
  <c r="H43" i="29"/>
  <c r="G43" i="29"/>
  <c r="H42" i="29"/>
  <c r="G42" i="29"/>
  <c r="H38" i="29"/>
  <c r="G38" i="29"/>
  <c r="H35" i="29"/>
  <c r="G35" i="29"/>
  <c r="H33" i="29"/>
  <c r="G33" i="29"/>
  <c r="H31" i="29"/>
  <c r="G31" i="29"/>
  <c r="H30" i="29"/>
  <c r="G30" i="29"/>
  <c r="H25" i="29"/>
  <c r="G25" i="29"/>
  <c r="H23" i="29"/>
  <c r="G23" i="29"/>
  <c r="E47" i="30"/>
  <c r="F47" i="30"/>
  <c r="F46" i="30"/>
  <c r="I125" i="30"/>
  <c r="H127" i="30"/>
  <c r="I127" i="30"/>
  <c r="H79" i="30"/>
  <c r="I79" i="30"/>
  <c r="H70" i="30"/>
  <c r="I70" i="30"/>
  <c r="H45" i="30"/>
  <c r="I28" i="30"/>
  <c r="D155" i="29"/>
  <c r="F123" i="29"/>
  <c r="E123" i="29"/>
  <c r="D123" i="29"/>
  <c r="E122" i="29"/>
  <c r="D122" i="29"/>
  <c r="D124" i="29"/>
  <c r="E121" i="29"/>
  <c r="D121" i="29"/>
  <c r="F121" i="29"/>
  <c r="I120" i="29"/>
  <c r="F120" i="29"/>
  <c r="H121" i="29"/>
  <c r="G121" i="29"/>
  <c r="F119" i="29"/>
  <c r="E118" i="29"/>
  <c r="F118" i="29"/>
  <c r="D118" i="29"/>
  <c r="I117" i="29"/>
  <c r="G123" i="29"/>
  <c r="F117" i="29"/>
  <c r="F116" i="29"/>
  <c r="E114" i="29"/>
  <c r="E126" i="29"/>
  <c r="D114" i="29"/>
  <c r="E113" i="29"/>
  <c r="E125" i="29"/>
  <c r="D113" i="29"/>
  <c r="D125" i="29"/>
  <c r="E112" i="29"/>
  <c r="D112" i="29"/>
  <c r="F111" i="29"/>
  <c r="I110" i="29"/>
  <c r="F110" i="29"/>
  <c r="E109" i="29"/>
  <c r="D109" i="29"/>
  <c r="F108" i="29"/>
  <c r="H109" i="29"/>
  <c r="F107" i="29"/>
  <c r="E106" i="29"/>
  <c r="D106" i="29"/>
  <c r="F105" i="29"/>
  <c r="F104" i="29"/>
  <c r="G103" i="29"/>
  <c r="F103" i="29"/>
  <c r="E103" i="29"/>
  <c r="D103" i="29"/>
  <c r="I102" i="29"/>
  <c r="F102" i="29"/>
  <c r="H103" i="29"/>
  <c r="I103" i="29"/>
  <c r="F101" i="29"/>
  <c r="H100" i="29"/>
  <c r="E100" i="29"/>
  <c r="D100" i="29"/>
  <c r="F100" i="29"/>
  <c r="I99" i="29"/>
  <c r="G114" i="29"/>
  <c r="F99" i="29"/>
  <c r="I98" i="29"/>
  <c r="G100" i="29"/>
  <c r="F98" i="29"/>
  <c r="E91" i="29"/>
  <c r="E90" i="29"/>
  <c r="E89" i="29"/>
  <c r="D78" i="29"/>
  <c r="E77" i="29"/>
  <c r="D77" i="29"/>
  <c r="D76" i="29"/>
  <c r="E75" i="29"/>
  <c r="E76" i="29"/>
  <c r="F74" i="29"/>
  <c r="D73" i="29"/>
  <c r="E72" i="29"/>
  <c r="F71" i="29"/>
  <c r="D69" i="29"/>
  <c r="D68" i="29"/>
  <c r="D67" i="29"/>
  <c r="E65" i="29"/>
  <c r="F65" i="29"/>
  <c r="D64" i="29"/>
  <c r="G64" i="29"/>
  <c r="E62" i="29"/>
  <c r="E68" i="29"/>
  <c r="E60" i="29"/>
  <c r="D60" i="29"/>
  <c r="E59" i="29"/>
  <c r="E61" i="29"/>
  <c r="D59" i="29"/>
  <c r="E58" i="29"/>
  <c r="D58" i="29"/>
  <c r="G58" i="29"/>
  <c r="F57" i="29"/>
  <c r="H58" i="29"/>
  <c r="F56" i="29"/>
  <c r="E55" i="29"/>
  <c r="D55" i="29"/>
  <c r="F54" i="29"/>
  <c r="I53" i="29"/>
  <c r="G59" i="29"/>
  <c r="F53" i="29"/>
  <c r="I44" i="29"/>
  <c r="F44" i="29"/>
  <c r="I43" i="29"/>
  <c r="F43" i="29"/>
  <c r="E42" i="29"/>
  <c r="I42" i="29"/>
  <c r="G40" i="29"/>
  <c r="E40" i="29"/>
  <c r="F40" i="29"/>
  <c r="D40" i="29"/>
  <c r="I39" i="29"/>
  <c r="F39" i="29"/>
  <c r="H40" i="29"/>
  <c r="I38" i="29"/>
  <c r="F38" i="29"/>
  <c r="G37" i="29"/>
  <c r="E37" i="29"/>
  <c r="F37" i="29"/>
  <c r="D37" i="29"/>
  <c r="D41" i="29"/>
  <c r="I36" i="29"/>
  <c r="F36" i="29"/>
  <c r="H37" i="29"/>
  <c r="I35" i="29"/>
  <c r="F35" i="29"/>
  <c r="I33" i="29"/>
  <c r="F33" i="29"/>
  <c r="E32" i="29"/>
  <c r="D32" i="29"/>
  <c r="D34" i="29"/>
  <c r="I31" i="29"/>
  <c r="F31" i="29"/>
  <c r="F30" i="29"/>
  <c r="E27" i="29"/>
  <c r="D27" i="29"/>
  <c r="H26" i="29"/>
  <c r="G26" i="29"/>
  <c r="I26" i="29"/>
  <c r="F26" i="29"/>
  <c r="H27" i="29"/>
  <c r="G27" i="29"/>
  <c r="F25" i="29"/>
  <c r="H24" i="29"/>
  <c r="E24" i="29"/>
  <c r="D24" i="29"/>
  <c r="D28" i="29"/>
  <c r="D45" i="29"/>
  <c r="D46" i="29"/>
  <c r="D47" i="29"/>
  <c r="I23" i="29"/>
  <c r="F23" i="29"/>
  <c r="D16" i="29"/>
  <c r="C16" i="29"/>
  <c r="I45" i="30"/>
  <c r="H46" i="30"/>
  <c r="G126" i="29"/>
  <c r="I100" i="29"/>
  <c r="G122" i="29"/>
  <c r="I121" i="29"/>
  <c r="I116" i="29"/>
  <c r="F122" i="29"/>
  <c r="G109" i="29"/>
  <c r="I108" i="29"/>
  <c r="F109" i="29"/>
  <c r="I109" i="29"/>
  <c r="G106" i="29"/>
  <c r="I105" i="29"/>
  <c r="G112" i="29"/>
  <c r="I111" i="29"/>
  <c r="I104" i="29"/>
  <c r="G78" i="29"/>
  <c r="G76" i="29"/>
  <c r="G77" i="29"/>
  <c r="G79" i="29"/>
  <c r="D79" i="29"/>
  <c r="I71" i="29"/>
  <c r="G73" i="29"/>
  <c r="F77" i="29"/>
  <c r="G69" i="29"/>
  <c r="G67" i="29"/>
  <c r="D70" i="29"/>
  <c r="F60" i="29"/>
  <c r="I57" i="29"/>
  <c r="I58" i="29"/>
  <c r="G60" i="29"/>
  <c r="G61" i="29"/>
  <c r="F58" i="29"/>
  <c r="I54" i="29"/>
  <c r="F27" i="29"/>
  <c r="H112" i="29"/>
  <c r="H106" i="29"/>
  <c r="I106" i="29"/>
  <c r="F42" i="29"/>
  <c r="F112" i="29"/>
  <c r="F113" i="29"/>
  <c r="F106" i="29"/>
  <c r="F114" i="29"/>
  <c r="G91" i="29"/>
  <c r="G90" i="29"/>
  <c r="G89" i="29"/>
  <c r="E66" i="29"/>
  <c r="I66" i="29"/>
  <c r="I75" i="29"/>
  <c r="F55" i="29"/>
  <c r="H55" i="29"/>
  <c r="F59" i="29"/>
  <c r="E41" i="29"/>
  <c r="F41" i="29"/>
  <c r="H32" i="29"/>
  <c r="H34" i="29"/>
  <c r="H28" i="29"/>
  <c r="F66" i="29"/>
  <c r="F76" i="29"/>
  <c r="F75" i="29"/>
  <c r="I27" i="29"/>
  <c r="H76" i="29"/>
  <c r="I76" i="29"/>
  <c r="I25" i="29"/>
  <c r="G32" i="29"/>
  <c r="I30" i="29"/>
  <c r="G24" i="29"/>
  <c r="E34" i="29"/>
  <c r="F34" i="29"/>
  <c r="F32" i="29"/>
  <c r="G124" i="29"/>
  <c r="H41" i="29"/>
  <c r="I37" i="29"/>
  <c r="I40" i="29"/>
  <c r="G41" i="29"/>
  <c r="F24" i="29"/>
  <c r="E28" i="29"/>
  <c r="F68" i="29"/>
  <c r="H78" i="29"/>
  <c r="I78" i="29"/>
  <c r="I72" i="29"/>
  <c r="E127" i="29"/>
  <c r="F125" i="29"/>
  <c r="H114" i="29"/>
  <c r="H118" i="29"/>
  <c r="H122" i="29"/>
  <c r="D126" i="29"/>
  <c r="F126" i="29"/>
  <c r="H59" i="29"/>
  <c r="D61" i="29"/>
  <c r="F61" i="29"/>
  <c r="I56" i="29"/>
  <c r="E67" i="29"/>
  <c r="F67" i="29"/>
  <c r="G68" i="29"/>
  <c r="G70" i="29"/>
  <c r="F72" i="29"/>
  <c r="H73" i="29"/>
  <c r="I73" i="29"/>
  <c r="E78" i="29"/>
  <c r="F78" i="29"/>
  <c r="I101" i="29"/>
  <c r="I107" i="29"/>
  <c r="G113" i="29"/>
  <c r="I119" i="29"/>
  <c r="E124" i="29"/>
  <c r="F124" i="29"/>
  <c r="H60" i="29"/>
  <c r="I60" i="29"/>
  <c r="E73" i="29"/>
  <c r="F73" i="29"/>
  <c r="I74" i="29"/>
  <c r="H77" i="29"/>
  <c r="H113" i="29"/>
  <c r="D115" i="29"/>
  <c r="H123" i="29"/>
  <c r="I123" i="29"/>
  <c r="G55" i="29"/>
  <c r="I55" i="29"/>
  <c r="F62" i="29"/>
  <c r="E63" i="29"/>
  <c r="E115" i="29"/>
  <c r="G118" i="29"/>
  <c r="I46" i="30"/>
  <c r="H47" i="30"/>
  <c r="I47" i="30"/>
  <c r="I112" i="29"/>
  <c r="I118" i="29"/>
  <c r="D127" i="29"/>
  <c r="F127" i="29"/>
  <c r="E79" i="29"/>
  <c r="F79" i="29"/>
  <c r="H45" i="29"/>
  <c r="H46" i="29"/>
  <c r="I113" i="29"/>
  <c r="H125" i="29"/>
  <c r="H115" i="29"/>
  <c r="I59" i="29"/>
  <c r="H61" i="29"/>
  <c r="I61" i="29"/>
  <c r="I77" i="29"/>
  <c r="H79" i="29"/>
  <c r="I79" i="29"/>
  <c r="I41" i="29"/>
  <c r="F115" i="29"/>
  <c r="I122" i="29"/>
  <c r="H124" i="29"/>
  <c r="I124" i="29"/>
  <c r="G125" i="29"/>
  <c r="G127" i="29"/>
  <c r="G115" i="29"/>
  <c r="I24" i="29"/>
  <c r="G28" i="29"/>
  <c r="I114" i="29"/>
  <c r="H126" i="29"/>
  <c r="I126" i="29"/>
  <c r="E69" i="29"/>
  <c r="F63" i="29"/>
  <c r="I65" i="29"/>
  <c r="H67" i="29"/>
  <c r="I67" i="29"/>
  <c r="E64" i="29"/>
  <c r="F64" i="29"/>
  <c r="E45" i="29"/>
  <c r="F28" i="29"/>
  <c r="H68" i="29"/>
  <c r="I62" i="29"/>
  <c r="H64" i="29"/>
  <c r="I64" i="29"/>
  <c r="I32" i="29"/>
  <c r="G34" i="29"/>
  <c r="I34" i="29"/>
  <c r="I115" i="29"/>
  <c r="C155" i="29"/>
  <c r="H155" i="29"/>
  <c r="E46" i="29"/>
  <c r="F45" i="29"/>
  <c r="F69" i="29"/>
  <c r="E70" i="29"/>
  <c r="F70" i="29"/>
  <c r="H47" i="29"/>
  <c r="G45" i="29"/>
  <c r="I28" i="29"/>
  <c r="I125" i="29"/>
  <c r="H127" i="29"/>
  <c r="I127" i="29"/>
  <c r="I68" i="29"/>
  <c r="I63" i="29"/>
  <c r="H69" i="29"/>
  <c r="I69" i="29"/>
  <c r="G46" i="29"/>
  <c r="I45" i="29"/>
  <c r="E47" i="29"/>
  <c r="F47" i="29"/>
  <c r="F46" i="29"/>
  <c r="H70" i="29"/>
  <c r="I70" i="29"/>
  <c r="G47" i="29"/>
  <c r="I47" i="29"/>
  <c r="I46" i="29"/>
  <c r="D155" i="28"/>
  <c r="B155" i="28"/>
  <c r="F92" i="28"/>
  <c r="F91" i="28"/>
  <c r="F90" i="28"/>
  <c r="F89" i="28"/>
  <c r="F88" i="28"/>
  <c r="F87" i="28"/>
  <c r="H75" i="28"/>
  <c r="H120" i="28"/>
  <c r="H119" i="28"/>
  <c r="H117" i="28"/>
  <c r="H116" i="28"/>
  <c r="H111" i="28"/>
  <c r="H110" i="28"/>
  <c r="H108" i="28"/>
  <c r="H107" i="28"/>
  <c r="H105" i="28"/>
  <c r="H104" i="28"/>
  <c r="H102" i="28"/>
  <c r="H101" i="28"/>
  <c r="H99" i="28"/>
  <c r="H98" i="28"/>
  <c r="H74" i="28"/>
  <c r="H72" i="28"/>
  <c r="H71" i="28"/>
  <c r="H66" i="28"/>
  <c r="H65" i="28"/>
  <c r="H63" i="28"/>
  <c r="H62" i="28"/>
  <c r="H57" i="28"/>
  <c r="H56" i="28"/>
  <c r="H54" i="28"/>
  <c r="H53" i="28"/>
  <c r="H44" i="28"/>
  <c r="H43" i="28"/>
  <c r="H42" i="28"/>
  <c r="H38" i="28"/>
  <c r="H35" i="28"/>
  <c r="H33" i="28"/>
  <c r="H31" i="28"/>
  <c r="H30" i="28"/>
  <c r="H25" i="28"/>
  <c r="H23" i="28"/>
  <c r="G23" i="28"/>
  <c r="G120" i="28"/>
  <c r="G119" i="28"/>
  <c r="G117" i="28"/>
  <c r="G116" i="28"/>
  <c r="G111" i="28"/>
  <c r="G110" i="28"/>
  <c r="G108" i="28"/>
  <c r="G107" i="28"/>
  <c r="G105" i="28"/>
  <c r="G104" i="28"/>
  <c r="G102" i="28"/>
  <c r="G101" i="28"/>
  <c r="G99" i="28"/>
  <c r="G98" i="28"/>
  <c r="G75" i="28"/>
  <c r="G74" i="28"/>
  <c r="G72" i="28"/>
  <c r="G71" i="28"/>
  <c r="G66" i="28"/>
  <c r="G65" i="28"/>
  <c r="G63" i="28"/>
  <c r="G62" i="28"/>
  <c r="G57" i="28"/>
  <c r="G56" i="28"/>
  <c r="G54" i="28"/>
  <c r="G53" i="28"/>
  <c r="G44" i="28"/>
  <c r="G43" i="28"/>
  <c r="G42" i="28"/>
  <c r="G38" i="28"/>
  <c r="G35" i="28"/>
  <c r="G33" i="28"/>
  <c r="G31" i="28"/>
  <c r="G30" i="28"/>
  <c r="G25" i="28"/>
  <c r="G23" i="26"/>
  <c r="H101" i="26"/>
  <c r="E72" i="28"/>
  <c r="E123" i="28"/>
  <c r="F123" i="28"/>
  <c r="D123" i="28"/>
  <c r="E122" i="28"/>
  <c r="F122" i="28"/>
  <c r="D122" i="28"/>
  <c r="D124" i="28"/>
  <c r="E121" i="28"/>
  <c r="F121" i="28"/>
  <c r="D121" i="28"/>
  <c r="I120" i="28"/>
  <c r="F120" i="28"/>
  <c r="G121" i="28"/>
  <c r="F119" i="28"/>
  <c r="E118" i="28"/>
  <c r="D118" i="28"/>
  <c r="G123" i="28"/>
  <c r="F117" i="28"/>
  <c r="G122" i="28"/>
  <c r="F116" i="28"/>
  <c r="E114" i="28"/>
  <c r="E126" i="28"/>
  <c r="D114" i="28"/>
  <c r="D126" i="28"/>
  <c r="E113" i="28"/>
  <c r="D113" i="28"/>
  <c r="D125" i="28"/>
  <c r="D127" i="28"/>
  <c r="E112" i="28"/>
  <c r="D112" i="28"/>
  <c r="F111" i="28"/>
  <c r="I110" i="28"/>
  <c r="F110" i="28"/>
  <c r="E109" i="28"/>
  <c r="D109" i="28"/>
  <c r="I108" i="28"/>
  <c r="F108" i="28"/>
  <c r="I107" i="28"/>
  <c r="G109" i="28"/>
  <c r="F107" i="28"/>
  <c r="E106" i="28"/>
  <c r="D106" i="28"/>
  <c r="F105" i="28"/>
  <c r="I104" i="28"/>
  <c r="F104" i="28"/>
  <c r="E103" i="28"/>
  <c r="D103" i="28"/>
  <c r="F103" i="28"/>
  <c r="I102" i="28"/>
  <c r="F102" i="28"/>
  <c r="I101" i="28"/>
  <c r="G103" i="28"/>
  <c r="F101" i="28"/>
  <c r="E100" i="28"/>
  <c r="D100" i="28"/>
  <c r="F100" i="28"/>
  <c r="I99" i="28"/>
  <c r="G114" i="28"/>
  <c r="G126" i="28"/>
  <c r="F99" i="28"/>
  <c r="I98" i="28"/>
  <c r="G113" i="28"/>
  <c r="F98" i="28"/>
  <c r="E91" i="28"/>
  <c r="G90" i="28"/>
  <c r="E90" i="28"/>
  <c r="E89" i="28"/>
  <c r="G89" i="28"/>
  <c r="D78" i="28"/>
  <c r="E77" i="28"/>
  <c r="D77" i="28"/>
  <c r="D76" i="28"/>
  <c r="E75" i="28"/>
  <c r="E76" i="28"/>
  <c r="F74" i="28"/>
  <c r="D73" i="28"/>
  <c r="G78" i="28"/>
  <c r="E63" i="28"/>
  <c r="G77" i="28"/>
  <c r="F71" i="28"/>
  <c r="D69" i="28"/>
  <c r="D68" i="28"/>
  <c r="D67" i="28"/>
  <c r="E65" i="28"/>
  <c r="D64" i="28"/>
  <c r="G69" i="28"/>
  <c r="G68" i="28"/>
  <c r="E62" i="28"/>
  <c r="E60" i="28"/>
  <c r="D60" i="28"/>
  <c r="E59" i="28"/>
  <c r="D59" i="28"/>
  <c r="E58" i="28"/>
  <c r="D58" i="28"/>
  <c r="F57" i="28"/>
  <c r="G58" i="28"/>
  <c r="F56" i="28"/>
  <c r="E55" i="28"/>
  <c r="D55" i="28"/>
  <c r="H60" i="28"/>
  <c r="G60" i="28"/>
  <c r="F54" i="28"/>
  <c r="H59" i="28"/>
  <c r="G59" i="28"/>
  <c r="F53" i="28"/>
  <c r="I44" i="28"/>
  <c r="F44" i="28"/>
  <c r="F43" i="28"/>
  <c r="E42" i="28"/>
  <c r="I42" i="28"/>
  <c r="E40" i="28"/>
  <c r="D40" i="28"/>
  <c r="I39" i="28"/>
  <c r="F39" i="28"/>
  <c r="I38" i="28"/>
  <c r="G40" i="28"/>
  <c r="F38" i="28"/>
  <c r="E37" i="28"/>
  <c r="E41" i="28"/>
  <c r="D37" i="28"/>
  <c r="D41" i="28"/>
  <c r="I36" i="28"/>
  <c r="F36" i="28"/>
  <c r="H37" i="28"/>
  <c r="G37" i="28"/>
  <c r="F35" i="28"/>
  <c r="I33" i="28"/>
  <c r="F33" i="28"/>
  <c r="E32" i="28"/>
  <c r="E34" i="28"/>
  <c r="D32" i="28"/>
  <c r="D34" i="28"/>
  <c r="I31" i="28"/>
  <c r="F31" i="28"/>
  <c r="I30" i="28"/>
  <c r="G32" i="28"/>
  <c r="G34" i="28"/>
  <c r="F30" i="28"/>
  <c r="E27" i="28"/>
  <c r="D27" i="28"/>
  <c r="H26" i="28"/>
  <c r="I26" i="28"/>
  <c r="G26" i="28"/>
  <c r="F26" i="28"/>
  <c r="H27" i="28"/>
  <c r="G27" i="28"/>
  <c r="F25" i="28"/>
  <c r="E24" i="28"/>
  <c r="E28" i="28"/>
  <c r="D24" i="28"/>
  <c r="D28" i="28"/>
  <c r="D45" i="28"/>
  <c r="D46" i="28"/>
  <c r="D47" i="28"/>
  <c r="H24" i="28"/>
  <c r="G24" i="28"/>
  <c r="F23" i="28"/>
  <c r="D16" i="28"/>
  <c r="C16" i="28"/>
  <c r="F40" i="28"/>
  <c r="G41" i="28"/>
  <c r="G28" i="28"/>
  <c r="I27" i="28"/>
  <c r="G112" i="28"/>
  <c r="I111" i="28"/>
  <c r="F126" i="28"/>
  <c r="G106" i="28"/>
  <c r="I105" i="28"/>
  <c r="G76" i="28"/>
  <c r="F76" i="28"/>
  <c r="G79" i="28"/>
  <c r="G67" i="28"/>
  <c r="D70" i="28"/>
  <c r="F58" i="28"/>
  <c r="D61" i="28"/>
  <c r="G61" i="28"/>
  <c r="I60" i="28"/>
  <c r="F55" i="28"/>
  <c r="F60" i="28"/>
  <c r="H121" i="28"/>
  <c r="I121" i="28"/>
  <c r="E125" i="28"/>
  <c r="H118" i="28"/>
  <c r="F118" i="28"/>
  <c r="F112" i="28"/>
  <c r="F109" i="28"/>
  <c r="F106" i="28"/>
  <c r="H113" i="28"/>
  <c r="G91" i="28"/>
  <c r="E66" i="28"/>
  <c r="I66" i="28"/>
  <c r="E69" i="28"/>
  <c r="F69" i="28"/>
  <c r="F62" i="28"/>
  <c r="F77" i="28"/>
  <c r="E61" i="28"/>
  <c r="H58" i="28"/>
  <c r="I58" i="28"/>
  <c r="I57" i="28"/>
  <c r="I43" i="28"/>
  <c r="F27" i="28"/>
  <c r="F66" i="28"/>
  <c r="F75" i="28"/>
  <c r="I75" i="28"/>
  <c r="H28" i="28"/>
  <c r="I24" i="28"/>
  <c r="E45" i="28"/>
  <c r="F28" i="28"/>
  <c r="F34" i="28"/>
  <c r="I37" i="28"/>
  <c r="F41" i="28"/>
  <c r="I59" i="28"/>
  <c r="H61" i="28"/>
  <c r="F24" i="28"/>
  <c r="F32" i="28"/>
  <c r="H32" i="28"/>
  <c r="F37" i="28"/>
  <c r="H40" i="28"/>
  <c r="I40" i="28"/>
  <c r="I23" i="28"/>
  <c r="I25" i="28"/>
  <c r="I35" i="28"/>
  <c r="F42" i="28"/>
  <c r="H55" i="28"/>
  <c r="F59" i="28"/>
  <c r="E68" i="28"/>
  <c r="G70" i="28"/>
  <c r="I62" i="28"/>
  <c r="F63" i="28"/>
  <c r="H64" i="28"/>
  <c r="I71" i="28"/>
  <c r="G73" i="28"/>
  <c r="H76" i="28"/>
  <c r="H77" i="28"/>
  <c r="D79" i="28"/>
  <c r="F113" i="28"/>
  <c r="F114" i="28"/>
  <c r="D115" i="28"/>
  <c r="G124" i="28"/>
  <c r="H123" i="28"/>
  <c r="I123" i="28"/>
  <c r="I117" i="28"/>
  <c r="I53" i="28"/>
  <c r="I54" i="28"/>
  <c r="G55" i="28"/>
  <c r="I56" i="28"/>
  <c r="E64" i="28"/>
  <c r="F64" i="28"/>
  <c r="G64" i="28"/>
  <c r="E67" i="28"/>
  <c r="F67" i="28"/>
  <c r="H68" i="28"/>
  <c r="F65" i="28"/>
  <c r="E78" i="28"/>
  <c r="F78" i="28"/>
  <c r="F72" i="28"/>
  <c r="E73" i="28"/>
  <c r="F73" i="28"/>
  <c r="I74" i="28"/>
  <c r="G125" i="28"/>
  <c r="G127" i="28"/>
  <c r="G115" i="28"/>
  <c r="H100" i="28"/>
  <c r="H103" i="28"/>
  <c r="I103" i="28"/>
  <c r="H106" i="28"/>
  <c r="I106" i="28"/>
  <c r="H109" i="28"/>
  <c r="I109" i="28"/>
  <c r="H112" i="28"/>
  <c r="F125" i="28"/>
  <c r="E127" i="28"/>
  <c r="F127" i="28"/>
  <c r="I113" i="28"/>
  <c r="H114" i="28"/>
  <c r="H122" i="28"/>
  <c r="I116" i="28"/>
  <c r="G100" i="28"/>
  <c r="E115" i="28"/>
  <c r="G118" i="28"/>
  <c r="I119" i="28"/>
  <c r="E124" i="28"/>
  <c r="F124" i="28"/>
  <c r="D155" i="27"/>
  <c r="I118" i="28"/>
  <c r="I76" i="28"/>
  <c r="G45" i="28"/>
  <c r="G46" i="28"/>
  <c r="G47" i="28"/>
  <c r="I112" i="28"/>
  <c r="I64" i="28"/>
  <c r="F61" i="28"/>
  <c r="I61" i="28"/>
  <c r="H124" i="28"/>
  <c r="I124" i="28"/>
  <c r="I122" i="28"/>
  <c r="H78" i="28"/>
  <c r="I78" i="28"/>
  <c r="I72" i="28"/>
  <c r="H41" i="28"/>
  <c r="I41" i="28"/>
  <c r="C155" i="28"/>
  <c r="H155" i="28"/>
  <c r="E46" i="28"/>
  <c r="F45" i="28"/>
  <c r="I68" i="28"/>
  <c r="F115" i="28"/>
  <c r="H126" i="28"/>
  <c r="I126" i="28"/>
  <c r="I114" i="28"/>
  <c r="H125" i="28"/>
  <c r="I65" i="28"/>
  <c r="H67" i="28"/>
  <c r="I67" i="28"/>
  <c r="E79" i="28"/>
  <c r="F79" i="28"/>
  <c r="H73" i="28"/>
  <c r="I73" i="28"/>
  <c r="I63" i="28"/>
  <c r="H69" i="28"/>
  <c r="I69" i="28"/>
  <c r="E70" i="28"/>
  <c r="F70" i="28"/>
  <c r="F68" i="28"/>
  <c r="I55" i="28"/>
  <c r="H115" i="28"/>
  <c r="I115" i="28"/>
  <c r="I100" i="28"/>
  <c r="I77" i="28"/>
  <c r="H34" i="28"/>
  <c r="I34" i="28"/>
  <c r="I32" i="28"/>
  <c r="I28" i="28"/>
  <c r="H120" i="27"/>
  <c r="H119" i="27"/>
  <c r="H117" i="27"/>
  <c r="H116" i="27"/>
  <c r="H111" i="27"/>
  <c r="H110" i="27"/>
  <c r="H108" i="27"/>
  <c r="H107" i="27"/>
  <c r="H105" i="27"/>
  <c r="H104" i="27"/>
  <c r="H102" i="27"/>
  <c r="H101" i="27"/>
  <c r="H99" i="27"/>
  <c r="H98" i="27"/>
  <c r="G120" i="27"/>
  <c r="G119" i="27"/>
  <c r="G117" i="27"/>
  <c r="G116" i="27"/>
  <c r="G111" i="27"/>
  <c r="G110" i="27"/>
  <c r="G108" i="27"/>
  <c r="G107" i="27"/>
  <c r="G105" i="27"/>
  <c r="G104" i="27"/>
  <c r="G102" i="27"/>
  <c r="G101" i="27"/>
  <c r="G99" i="27"/>
  <c r="G98" i="27"/>
  <c r="F92" i="27"/>
  <c r="F91" i="27"/>
  <c r="F90" i="27"/>
  <c r="F89" i="27"/>
  <c r="F88" i="27"/>
  <c r="F87" i="27"/>
  <c r="H75" i="27"/>
  <c r="H74" i="27"/>
  <c r="H72" i="27"/>
  <c r="H71" i="27"/>
  <c r="H66" i="27"/>
  <c r="H65" i="27"/>
  <c r="H63" i="27"/>
  <c r="H62" i="27"/>
  <c r="H57" i="27"/>
  <c r="H56" i="27"/>
  <c r="H54" i="27"/>
  <c r="H53" i="27"/>
  <c r="G75" i="27"/>
  <c r="G74" i="27"/>
  <c r="G72" i="27"/>
  <c r="G71" i="27"/>
  <c r="G66" i="27"/>
  <c r="G65" i="27"/>
  <c r="G64" i="27"/>
  <c r="G63" i="27"/>
  <c r="G62" i="27"/>
  <c r="G57" i="27"/>
  <c r="G56" i="27"/>
  <c r="G54" i="27"/>
  <c r="G53" i="27"/>
  <c r="H44" i="27"/>
  <c r="H43" i="27"/>
  <c r="H38" i="27"/>
  <c r="H35" i="27"/>
  <c r="H33" i="27"/>
  <c r="G44" i="27"/>
  <c r="G43" i="27"/>
  <c r="G42" i="27"/>
  <c r="G38" i="27"/>
  <c r="G35" i="27"/>
  <c r="G33" i="27"/>
  <c r="G31" i="27"/>
  <c r="H31" i="27"/>
  <c r="H30" i="27"/>
  <c r="G30" i="27"/>
  <c r="H25" i="27"/>
  <c r="G25" i="27"/>
  <c r="H23" i="27"/>
  <c r="G23" i="27"/>
  <c r="H79" i="28"/>
  <c r="I79" i="28"/>
  <c r="E47" i="28"/>
  <c r="F47" i="28"/>
  <c r="F46" i="28"/>
  <c r="H45" i="28"/>
  <c r="H127" i="28"/>
  <c r="I127" i="28"/>
  <c r="I125" i="28"/>
  <c r="H70" i="28"/>
  <c r="I70" i="28"/>
  <c r="E123" i="27"/>
  <c r="D123" i="27"/>
  <c r="H122" i="27"/>
  <c r="E122" i="27"/>
  <c r="D122" i="27"/>
  <c r="E121" i="27"/>
  <c r="D121" i="27"/>
  <c r="G121" i="27"/>
  <c r="F120" i="27"/>
  <c r="F119" i="27"/>
  <c r="H118" i="27"/>
  <c r="E118" i="27"/>
  <c r="D118" i="27"/>
  <c r="I117" i="27"/>
  <c r="F117" i="27"/>
  <c r="I116" i="27"/>
  <c r="G122" i="27"/>
  <c r="F116" i="27"/>
  <c r="E114" i="27"/>
  <c r="D114" i="27"/>
  <c r="E113" i="27"/>
  <c r="E125" i="27"/>
  <c r="D113" i="27"/>
  <c r="D125" i="27"/>
  <c r="E112" i="27"/>
  <c r="D112" i="27"/>
  <c r="F111" i="27"/>
  <c r="F110" i="27"/>
  <c r="E109" i="27"/>
  <c r="D109" i="27"/>
  <c r="F108" i="27"/>
  <c r="F107" i="27"/>
  <c r="E106" i="27"/>
  <c r="D106" i="27"/>
  <c r="F105" i="27"/>
  <c r="F104" i="27"/>
  <c r="E103" i="27"/>
  <c r="D103" i="27"/>
  <c r="G103" i="27"/>
  <c r="F102" i="27"/>
  <c r="F101" i="27"/>
  <c r="H100" i="27"/>
  <c r="E100" i="27"/>
  <c r="D100" i="27"/>
  <c r="F99" i="27"/>
  <c r="I98" i="27"/>
  <c r="F98" i="27"/>
  <c r="E91" i="27"/>
  <c r="E90" i="27"/>
  <c r="E89" i="27"/>
  <c r="D78" i="27"/>
  <c r="E77" i="27"/>
  <c r="D77" i="27"/>
  <c r="D76" i="27"/>
  <c r="E75" i="27"/>
  <c r="E76" i="27"/>
  <c r="F74" i="27"/>
  <c r="D73" i="27"/>
  <c r="E72" i="27"/>
  <c r="F71" i="27"/>
  <c r="D69" i="27"/>
  <c r="D68" i="27"/>
  <c r="D67" i="27"/>
  <c r="E65" i="27"/>
  <c r="F65" i="27"/>
  <c r="D64" i="27"/>
  <c r="E62" i="27"/>
  <c r="E60" i="27"/>
  <c r="D60" i="27"/>
  <c r="E59" i="27"/>
  <c r="D59" i="27"/>
  <c r="E58" i="27"/>
  <c r="D58" i="27"/>
  <c r="F57" i="27"/>
  <c r="H58" i="27"/>
  <c r="F56" i="27"/>
  <c r="E55" i="27"/>
  <c r="D55" i="27"/>
  <c r="G60" i="27"/>
  <c r="F54" i="27"/>
  <c r="F53" i="27"/>
  <c r="I44" i="27"/>
  <c r="F44" i="27"/>
  <c r="I43" i="27"/>
  <c r="F43" i="27"/>
  <c r="E42" i="27"/>
  <c r="E41" i="27"/>
  <c r="H40" i="27"/>
  <c r="G40" i="27"/>
  <c r="E40" i="27"/>
  <c r="D40" i="27"/>
  <c r="I39" i="27"/>
  <c r="F39" i="27"/>
  <c r="F38" i="27"/>
  <c r="H37" i="27"/>
  <c r="E37" i="27"/>
  <c r="D37" i="27"/>
  <c r="D41" i="27"/>
  <c r="I36" i="27"/>
  <c r="F36" i="27"/>
  <c r="G37" i="27"/>
  <c r="F35" i="27"/>
  <c r="D34" i="27"/>
  <c r="I33" i="27"/>
  <c r="F33" i="27"/>
  <c r="E32" i="27"/>
  <c r="E34" i="27"/>
  <c r="D32" i="27"/>
  <c r="I31" i="27"/>
  <c r="F31" i="27"/>
  <c r="G32" i="27"/>
  <c r="F30" i="27"/>
  <c r="D28" i="27"/>
  <c r="E27" i="27"/>
  <c r="D27" i="27"/>
  <c r="H26" i="27"/>
  <c r="G26" i="27"/>
  <c r="F26" i="27"/>
  <c r="G27" i="27"/>
  <c r="F25" i="27"/>
  <c r="E24" i="27"/>
  <c r="D24" i="27"/>
  <c r="G24" i="27"/>
  <c r="F23" i="27"/>
  <c r="D16" i="27"/>
  <c r="C16" i="27"/>
  <c r="I45" i="28"/>
  <c r="H46" i="28"/>
  <c r="F41" i="27"/>
  <c r="F42" i="27"/>
  <c r="H42" i="27"/>
  <c r="I42" i="27"/>
  <c r="F40" i="27"/>
  <c r="D126" i="27"/>
  <c r="D127" i="27"/>
  <c r="I120" i="27"/>
  <c r="G123" i="27"/>
  <c r="G124" i="27"/>
  <c r="F121" i="27"/>
  <c r="D124" i="27"/>
  <c r="F123" i="27"/>
  <c r="G112" i="27"/>
  <c r="I111" i="27"/>
  <c r="I110" i="27"/>
  <c r="G109" i="27"/>
  <c r="I108" i="27"/>
  <c r="F109" i="27"/>
  <c r="I104" i="27"/>
  <c r="F125" i="27"/>
  <c r="G106" i="27"/>
  <c r="I105" i="27"/>
  <c r="I102" i="27"/>
  <c r="G114" i="27"/>
  <c r="F103" i="27"/>
  <c r="G100" i="27"/>
  <c r="I99" i="27"/>
  <c r="F114" i="27"/>
  <c r="F100" i="27"/>
  <c r="I100" i="27"/>
  <c r="G76" i="27"/>
  <c r="G78" i="27"/>
  <c r="G77" i="27"/>
  <c r="I71" i="27"/>
  <c r="G73" i="27"/>
  <c r="F77" i="27"/>
  <c r="G67" i="27"/>
  <c r="D70" i="27"/>
  <c r="G58" i="27"/>
  <c r="I58" i="27"/>
  <c r="I57" i="27"/>
  <c r="F58" i="27"/>
  <c r="F60" i="27"/>
  <c r="D61" i="27"/>
  <c r="F59" i="27"/>
  <c r="I53" i="27"/>
  <c r="F55" i="27"/>
  <c r="G41" i="27"/>
  <c r="I38" i="27"/>
  <c r="G34" i="27"/>
  <c r="D45" i="27"/>
  <c r="D46" i="27"/>
  <c r="D47" i="27"/>
  <c r="G28" i="27"/>
  <c r="G45" i="27"/>
  <c r="G46" i="27"/>
  <c r="G47" i="27"/>
  <c r="F27" i="27"/>
  <c r="I23" i="27"/>
  <c r="H112" i="27"/>
  <c r="H106" i="27"/>
  <c r="I106" i="27"/>
  <c r="H114" i="27"/>
  <c r="F113" i="27"/>
  <c r="G90" i="27"/>
  <c r="G91" i="27"/>
  <c r="G89" i="27"/>
  <c r="E68" i="27"/>
  <c r="F68" i="27"/>
  <c r="E66" i="27"/>
  <c r="I75" i="27"/>
  <c r="H55" i="27"/>
  <c r="F66" i="27"/>
  <c r="F75" i="27"/>
  <c r="H24" i="27"/>
  <c r="F24" i="27"/>
  <c r="H27" i="27"/>
  <c r="I27" i="27"/>
  <c r="I25" i="27"/>
  <c r="H41" i="27"/>
  <c r="I37" i="27"/>
  <c r="I122" i="27"/>
  <c r="H32" i="27"/>
  <c r="I30" i="27"/>
  <c r="I40" i="27"/>
  <c r="F34" i="27"/>
  <c r="I35" i="27"/>
  <c r="F37" i="27"/>
  <c r="G59" i="27"/>
  <c r="G61" i="27"/>
  <c r="G55" i="27"/>
  <c r="I54" i="27"/>
  <c r="I56" i="27"/>
  <c r="I65" i="27"/>
  <c r="E63" i="27"/>
  <c r="E73" i="27"/>
  <c r="F73" i="27"/>
  <c r="E78" i="27"/>
  <c r="F78" i="27"/>
  <c r="F72" i="27"/>
  <c r="F112" i="27"/>
  <c r="F118" i="27"/>
  <c r="I119" i="27"/>
  <c r="H121" i="27"/>
  <c r="I121" i="27"/>
  <c r="E61" i="27"/>
  <c r="I101" i="27"/>
  <c r="H103" i="27"/>
  <c r="I103" i="27"/>
  <c r="I24" i="27"/>
  <c r="H59" i="27"/>
  <c r="H68" i="27"/>
  <c r="I62" i="27"/>
  <c r="G68" i="27"/>
  <c r="I74" i="27"/>
  <c r="D79" i="27"/>
  <c r="E28" i="27"/>
  <c r="I26" i="27"/>
  <c r="F32" i="27"/>
  <c r="G69" i="27"/>
  <c r="F76" i="27"/>
  <c r="F106" i="27"/>
  <c r="H109" i="27"/>
  <c r="I107" i="27"/>
  <c r="F122" i="27"/>
  <c r="E124" i="27"/>
  <c r="E126" i="27"/>
  <c r="H60" i="27"/>
  <c r="I60" i="27"/>
  <c r="H77" i="27"/>
  <c r="H113" i="27"/>
  <c r="D115" i="27"/>
  <c r="H123" i="27"/>
  <c r="G113" i="27"/>
  <c r="F62" i="27"/>
  <c r="E115" i="27"/>
  <c r="F115" i="27"/>
  <c r="G118" i="27"/>
  <c r="I118" i="27"/>
  <c r="D155" i="26"/>
  <c r="E42" i="26"/>
  <c r="E24" i="26"/>
  <c r="E27" i="26"/>
  <c r="E28" i="26"/>
  <c r="E45" i="26"/>
  <c r="E32" i="26"/>
  <c r="E34" i="26"/>
  <c r="E37" i="26"/>
  <c r="E41" i="26"/>
  <c r="E40" i="26"/>
  <c r="C155" i="26"/>
  <c r="E113" i="26"/>
  <c r="E125" i="26"/>
  <c r="E122" i="26"/>
  <c r="E114" i="26"/>
  <c r="E123" i="26"/>
  <c r="D113" i="26"/>
  <c r="D122" i="26"/>
  <c r="D114" i="26"/>
  <c r="D123" i="26"/>
  <c r="E124" i="26"/>
  <c r="D124" i="26"/>
  <c r="F124" i="26"/>
  <c r="F122" i="26"/>
  <c r="E121" i="26"/>
  <c r="F121" i="26"/>
  <c r="D121" i="26"/>
  <c r="F120" i="26"/>
  <c r="F119" i="26"/>
  <c r="E118" i="26"/>
  <c r="D118" i="26"/>
  <c r="F117" i="26"/>
  <c r="F116" i="26"/>
  <c r="E112" i="26"/>
  <c r="D112" i="26"/>
  <c r="F111" i="26"/>
  <c r="F110" i="26"/>
  <c r="E109" i="26"/>
  <c r="D109" i="26"/>
  <c r="F109" i="26"/>
  <c r="F108" i="26"/>
  <c r="F107" i="26"/>
  <c r="E106" i="26"/>
  <c r="D106" i="26"/>
  <c r="F105" i="26"/>
  <c r="F104" i="26"/>
  <c r="E103" i="26"/>
  <c r="D103" i="26"/>
  <c r="F103" i="26"/>
  <c r="F102" i="26"/>
  <c r="F101" i="26"/>
  <c r="E100" i="26"/>
  <c r="F100" i="26"/>
  <c r="D100" i="26"/>
  <c r="F99" i="26"/>
  <c r="F98" i="26"/>
  <c r="E91" i="26"/>
  <c r="E90" i="26"/>
  <c r="E89" i="26"/>
  <c r="E72" i="26"/>
  <c r="E75" i="26"/>
  <c r="E77" i="26"/>
  <c r="D77" i="26"/>
  <c r="D78" i="26"/>
  <c r="E76" i="26"/>
  <c r="D76" i="26"/>
  <c r="F75" i="26"/>
  <c r="F74" i="26"/>
  <c r="E73" i="26"/>
  <c r="D73" i="26"/>
  <c r="F73" i="26"/>
  <c r="F72" i="26"/>
  <c r="F71" i="26"/>
  <c r="E62" i="26"/>
  <c r="E65" i="26"/>
  <c r="E63" i="26"/>
  <c r="E66" i="26"/>
  <c r="E69" i="26"/>
  <c r="F69" i="26"/>
  <c r="D68" i="26"/>
  <c r="D69" i="26"/>
  <c r="D70" i="26"/>
  <c r="D67" i="26"/>
  <c r="F65" i="26"/>
  <c r="D64" i="26"/>
  <c r="F63" i="26"/>
  <c r="E59" i="26"/>
  <c r="E60" i="26"/>
  <c r="E61" i="26"/>
  <c r="D59" i="26"/>
  <c r="D60" i="26"/>
  <c r="F60" i="26"/>
  <c r="E58" i="26"/>
  <c r="D58" i="26"/>
  <c r="F57" i="26"/>
  <c r="F56" i="26"/>
  <c r="E55" i="26"/>
  <c r="D55" i="26"/>
  <c r="F55" i="26"/>
  <c r="F54" i="26"/>
  <c r="F53" i="26"/>
  <c r="H26" i="26"/>
  <c r="G26" i="26"/>
  <c r="D24" i="26"/>
  <c r="D27" i="26"/>
  <c r="D32" i="26"/>
  <c r="D34" i="26"/>
  <c r="D37" i="26"/>
  <c r="D40" i="26"/>
  <c r="F40" i="26"/>
  <c r="F44" i="26"/>
  <c r="F43" i="26"/>
  <c r="F42" i="26"/>
  <c r="I39" i="26"/>
  <c r="F39" i="26"/>
  <c r="F38" i="26"/>
  <c r="F37" i="26"/>
  <c r="I36" i="26"/>
  <c r="F36" i="26"/>
  <c r="F35" i="26"/>
  <c r="F34" i="26"/>
  <c r="F33" i="26"/>
  <c r="F32" i="26"/>
  <c r="F31" i="26"/>
  <c r="F30" i="26"/>
  <c r="F27" i="26"/>
  <c r="I26" i="26"/>
  <c r="F26" i="26"/>
  <c r="F25" i="26"/>
  <c r="F24" i="26"/>
  <c r="F23" i="26"/>
  <c r="D16" i="26"/>
  <c r="C16" i="26"/>
  <c r="D155" i="25"/>
  <c r="E62" i="25"/>
  <c r="E24" i="25"/>
  <c r="E27" i="25"/>
  <c r="E28" i="25"/>
  <c r="E32" i="25"/>
  <c r="E34" i="25"/>
  <c r="E37" i="25"/>
  <c r="E41" i="25"/>
  <c r="E45" i="25"/>
  <c r="C155" i="25"/>
  <c r="E40" i="25"/>
  <c r="E42" i="25"/>
  <c r="E113" i="25"/>
  <c r="E122" i="25"/>
  <c r="F122" i="25"/>
  <c r="E125" i="25"/>
  <c r="E114" i="25"/>
  <c r="E115" i="25"/>
  <c r="F115" i="25"/>
  <c r="E123" i="25"/>
  <c r="E126" i="25"/>
  <c r="E127" i="25"/>
  <c r="D113" i="25"/>
  <c r="D122" i="25"/>
  <c r="D125" i="25"/>
  <c r="D114" i="25"/>
  <c r="D126" i="25"/>
  <c r="D127" i="25"/>
  <c r="D123" i="25"/>
  <c r="F125" i="25"/>
  <c r="E124" i="25"/>
  <c r="F124" i="25"/>
  <c r="D124" i="25"/>
  <c r="F123" i="25"/>
  <c r="E121" i="25"/>
  <c r="D121" i="25"/>
  <c r="F121" i="25"/>
  <c r="F120" i="25"/>
  <c r="F119" i="25"/>
  <c r="E118" i="25"/>
  <c r="F118" i="25"/>
  <c r="D118" i="25"/>
  <c r="F117" i="25"/>
  <c r="F116" i="25"/>
  <c r="D115" i="25"/>
  <c r="F113" i="25"/>
  <c r="E112" i="25"/>
  <c r="F112" i="25"/>
  <c r="D112" i="25"/>
  <c r="F111" i="25"/>
  <c r="F110" i="25"/>
  <c r="E109" i="25"/>
  <c r="D109" i="25"/>
  <c r="F109" i="25"/>
  <c r="F108" i="25"/>
  <c r="F107" i="25"/>
  <c r="E106" i="25"/>
  <c r="F106" i="25"/>
  <c r="D106" i="25"/>
  <c r="F105" i="25"/>
  <c r="F104" i="25"/>
  <c r="E103" i="25"/>
  <c r="D103" i="25"/>
  <c r="F103" i="25"/>
  <c r="F102" i="25"/>
  <c r="F101" i="25"/>
  <c r="E100" i="25"/>
  <c r="F100" i="25"/>
  <c r="D100" i="25"/>
  <c r="F99" i="25"/>
  <c r="F98" i="25"/>
  <c r="E91" i="25"/>
  <c r="E90" i="25"/>
  <c r="E89" i="25"/>
  <c r="E72" i="25"/>
  <c r="E75" i="25"/>
  <c r="E77" i="25"/>
  <c r="E78" i="25"/>
  <c r="F78" i="25"/>
  <c r="E79" i="25"/>
  <c r="D77" i="25"/>
  <c r="D78" i="25"/>
  <c r="D79" i="25"/>
  <c r="F79" i="25"/>
  <c r="F77" i="25"/>
  <c r="E76" i="25"/>
  <c r="F76" i="25"/>
  <c r="D76" i="25"/>
  <c r="F75" i="25"/>
  <c r="F74" i="25"/>
  <c r="E73" i="25"/>
  <c r="D73" i="25"/>
  <c r="F73" i="25"/>
  <c r="F72" i="25"/>
  <c r="F71" i="25"/>
  <c r="E65" i="25"/>
  <c r="E63" i="25"/>
  <c r="E66" i="25"/>
  <c r="E68" i="25"/>
  <c r="E70" i="25"/>
  <c r="E69" i="25"/>
  <c r="D68" i="25"/>
  <c r="D69" i="25"/>
  <c r="D70" i="25"/>
  <c r="E67" i="25"/>
  <c r="D67" i="25"/>
  <c r="F67" i="25"/>
  <c r="F66" i="25"/>
  <c r="F65" i="25"/>
  <c r="E64" i="25"/>
  <c r="D64" i="25"/>
  <c r="F64" i="25"/>
  <c r="F63" i="25"/>
  <c r="F62" i="25"/>
  <c r="E59" i="25"/>
  <c r="E60" i="25"/>
  <c r="E61" i="25"/>
  <c r="F61" i="25"/>
  <c r="D59" i="25"/>
  <c r="D60" i="25"/>
  <c r="D61" i="25"/>
  <c r="F59" i="25"/>
  <c r="E58" i="25"/>
  <c r="F58" i="25"/>
  <c r="D58" i="25"/>
  <c r="F57" i="25"/>
  <c r="F56" i="25"/>
  <c r="E55" i="25"/>
  <c r="D55" i="25"/>
  <c r="F55" i="25"/>
  <c r="F54" i="25"/>
  <c r="F53" i="25"/>
  <c r="H26" i="25"/>
  <c r="G26" i="25"/>
  <c r="D24" i="25"/>
  <c r="D28" i="25"/>
  <c r="F28" i="25"/>
  <c r="D27" i="25"/>
  <c r="D32" i="25"/>
  <c r="D34" i="25"/>
  <c r="F34" i="25"/>
  <c r="D37" i="25"/>
  <c r="D40" i="25"/>
  <c r="D41" i="25"/>
  <c r="F44" i="25"/>
  <c r="F43" i="25"/>
  <c r="F42" i="25"/>
  <c r="F41" i="25"/>
  <c r="F40" i="25"/>
  <c r="I39" i="25"/>
  <c r="F39" i="25"/>
  <c r="F38" i="25"/>
  <c r="F37" i="25"/>
  <c r="I36" i="25"/>
  <c r="F36" i="25"/>
  <c r="F35" i="25"/>
  <c r="F33" i="25"/>
  <c r="F31" i="25"/>
  <c r="F30" i="25"/>
  <c r="F27" i="25"/>
  <c r="I26" i="25"/>
  <c r="F26" i="25"/>
  <c r="F25" i="25"/>
  <c r="F24" i="25"/>
  <c r="F23" i="25"/>
  <c r="D16" i="25"/>
  <c r="C16" i="25"/>
  <c r="D155" i="24"/>
  <c r="A155" i="24"/>
  <c r="E123" i="24"/>
  <c r="D123" i="24"/>
  <c r="D124" i="24"/>
  <c r="E122" i="24"/>
  <c r="D122" i="24"/>
  <c r="E121" i="24"/>
  <c r="F121" i="24"/>
  <c r="D121" i="24"/>
  <c r="F120" i="24"/>
  <c r="F119" i="24"/>
  <c r="E118" i="24"/>
  <c r="F118" i="24"/>
  <c r="D118" i="24"/>
  <c r="F117" i="24"/>
  <c r="F116" i="24"/>
  <c r="E114" i="24"/>
  <c r="F114" i="24"/>
  <c r="D114" i="24"/>
  <c r="D126" i="24"/>
  <c r="E113" i="24"/>
  <c r="E125" i="24"/>
  <c r="D113" i="24"/>
  <c r="E112" i="24"/>
  <c r="D112" i="24"/>
  <c r="F111" i="24"/>
  <c r="F110" i="24"/>
  <c r="E109" i="24"/>
  <c r="D109" i="24"/>
  <c r="F109" i="24"/>
  <c r="F108" i="24"/>
  <c r="F107" i="24"/>
  <c r="E106" i="24"/>
  <c r="F106" i="24"/>
  <c r="D106" i="24"/>
  <c r="F105" i="24"/>
  <c r="F104" i="24"/>
  <c r="E103" i="24"/>
  <c r="F103" i="24"/>
  <c r="D103" i="24"/>
  <c r="F102" i="24"/>
  <c r="F101" i="24"/>
  <c r="F100" i="24"/>
  <c r="E100" i="24"/>
  <c r="D100" i="24"/>
  <c r="F99" i="24"/>
  <c r="F98" i="24"/>
  <c r="E91" i="24"/>
  <c r="E90" i="24"/>
  <c r="E89" i="24"/>
  <c r="D78" i="24"/>
  <c r="E77" i="24"/>
  <c r="D77" i="24"/>
  <c r="F77" i="24"/>
  <c r="D76" i="24"/>
  <c r="E75" i="24"/>
  <c r="F75" i="24"/>
  <c r="F74" i="24"/>
  <c r="D73" i="24"/>
  <c r="E72" i="24"/>
  <c r="E63" i="24"/>
  <c r="F71" i="24"/>
  <c r="D69" i="24"/>
  <c r="D68" i="24"/>
  <c r="D70" i="24"/>
  <c r="D67" i="24"/>
  <c r="E65" i="24"/>
  <c r="F65" i="24"/>
  <c r="D64" i="24"/>
  <c r="E62" i="24"/>
  <c r="E60" i="24"/>
  <c r="D60" i="24"/>
  <c r="E59" i="24"/>
  <c r="F59" i="24"/>
  <c r="D59" i="24"/>
  <c r="E58" i="24"/>
  <c r="D58" i="24"/>
  <c r="F57" i="24"/>
  <c r="F56" i="24"/>
  <c r="E55" i="24"/>
  <c r="F55" i="24"/>
  <c r="D55" i="24"/>
  <c r="F54" i="24"/>
  <c r="F53" i="24"/>
  <c r="F44" i="24"/>
  <c r="F43" i="24"/>
  <c r="E42" i="24"/>
  <c r="E40" i="24"/>
  <c r="F40" i="24"/>
  <c r="D40" i="24"/>
  <c r="I39" i="24"/>
  <c r="F39" i="24"/>
  <c r="F38" i="24"/>
  <c r="E37" i="24"/>
  <c r="E41" i="24"/>
  <c r="F41" i="24"/>
  <c r="D37" i="24"/>
  <c r="D41" i="24"/>
  <c r="I36" i="24"/>
  <c r="F36" i="24"/>
  <c r="F35" i="24"/>
  <c r="F33" i="24"/>
  <c r="E32" i="24"/>
  <c r="D32" i="24"/>
  <c r="D34" i="24"/>
  <c r="F31" i="24"/>
  <c r="F30" i="24"/>
  <c r="E27" i="24"/>
  <c r="D27" i="24"/>
  <c r="F27" i="24"/>
  <c r="H26" i="24"/>
  <c r="I26" i="24"/>
  <c r="G26" i="24"/>
  <c r="F26" i="24"/>
  <c r="F25" i="24"/>
  <c r="E24" i="24"/>
  <c r="F24" i="24"/>
  <c r="D24" i="24"/>
  <c r="D28" i="24"/>
  <c r="F23" i="24"/>
  <c r="D16" i="24"/>
  <c r="C16" i="24"/>
  <c r="F112" i="24"/>
  <c r="F42" i="24"/>
  <c r="F122" i="24"/>
  <c r="F113" i="24"/>
  <c r="F58" i="24"/>
  <c r="E61" i="24"/>
  <c r="F60" i="24"/>
  <c r="E34" i="24"/>
  <c r="F34" i="24"/>
  <c r="E69" i="24"/>
  <c r="F69" i="24"/>
  <c r="E66" i="24"/>
  <c r="E73" i="24"/>
  <c r="F73" i="24"/>
  <c r="E64" i="24"/>
  <c r="F64" i="24"/>
  <c r="E67" i="24"/>
  <c r="F67" i="24"/>
  <c r="F72" i="24"/>
  <c r="E76" i="24"/>
  <c r="F76" i="24"/>
  <c r="E78" i="24"/>
  <c r="F78" i="24"/>
  <c r="D115" i="24"/>
  <c r="D125" i="24"/>
  <c r="D127" i="24"/>
  <c r="F62" i="24"/>
  <c r="D155" i="23"/>
  <c r="F63" i="24"/>
  <c r="F66" i="24"/>
  <c r="E79" i="24"/>
  <c r="A155" i="23"/>
  <c r="E123" i="23"/>
  <c r="F123" i="23"/>
  <c r="D123" i="23"/>
  <c r="E122" i="23"/>
  <c r="D122" i="23"/>
  <c r="D124" i="23"/>
  <c r="F121" i="23"/>
  <c r="E121" i="23"/>
  <c r="D121" i="23"/>
  <c r="F120" i="23"/>
  <c r="F119" i="23"/>
  <c r="E118" i="23"/>
  <c r="D118" i="23"/>
  <c r="F117" i="23"/>
  <c r="F116" i="23"/>
  <c r="E114" i="23"/>
  <c r="F114" i="23"/>
  <c r="D114" i="23"/>
  <c r="D126" i="23"/>
  <c r="E113" i="23"/>
  <c r="E125" i="23"/>
  <c r="F125" i="23"/>
  <c r="D113" i="23"/>
  <c r="D125" i="23"/>
  <c r="E112" i="23"/>
  <c r="F112" i="23"/>
  <c r="D112" i="23"/>
  <c r="F111" i="23"/>
  <c r="F110" i="23"/>
  <c r="E109" i="23"/>
  <c r="D109" i="23"/>
  <c r="F109" i="23"/>
  <c r="F108" i="23"/>
  <c r="F107" i="23"/>
  <c r="E106" i="23"/>
  <c r="F106" i="23"/>
  <c r="D106" i="23"/>
  <c r="F105" i="23"/>
  <c r="F104" i="23"/>
  <c r="E103" i="23"/>
  <c r="D103" i="23"/>
  <c r="F103" i="23"/>
  <c r="F102" i="23"/>
  <c r="F101" i="23"/>
  <c r="E100" i="23"/>
  <c r="F100" i="23"/>
  <c r="D100" i="23"/>
  <c r="F99" i="23"/>
  <c r="F98" i="23"/>
  <c r="E91" i="23"/>
  <c r="E90" i="23"/>
  <c r="E89" i="23"/>
  <c r="D78" i="23"/>
  <c r="E77" i="23"/>
  <c r="D77" i="23"/>
  <c r="D79" i="23"/>
  <c r="D76" i="23"/>
  <c r="E75" i="23"/>
  <c r="F74" i="23"/>
  <c r="D73" i="23"/>
  <c r="E72" i="23"/>
  <c r="F72" i="23"/>
  <c r="F71" i="23"/>
  <c r="D69" i="23"/>
  <c r="D68" i="23"/>
  <c r="D70" i="23"/>
  <c r="D67" i="23"/>
  <c r="E65" i="23"/>
  <c r="D64" i="23"/>
  <c r="E62" i="23"/>
  <c r="E68" i="23"/>
  <c r="F68" i="23"/>
  <c r="E60" i="23"/>
  <c r="F60" i="23"/>
  <c r="D60" i="23"/>
  <c r="E59" i="23"/>
  <c r="F59" i="23"/>
  <c r="D59" i="23"/>
  <c r="D61" i="23"/>
  <c r="E58" i="23"/>
  <c r="F58" i="23"/>
  <c r="D58" i="23"/>
  <c r="F57" i="23"/>
  <c r="F56" i="23"/>
  <c r="E55" i="23"/>
  <c r="F55" i="23"/>
  <c r="D55" i="23"/>
  <c r="F54" i="23"/>
  <c r="F53" i="23"/>
  <c r="F44" i="23"/>
  <c r="F43" i="23"/>
  <c r="E42" i="23"/>
  <c r="E40" i="23"/>
  <c r="D40" i="23"/>
  <c r="D41" i="23"/>
  <c r="I39" i="23"/>
  <c r="F39" i="23"/>
  <c r="F38" i="23"/>
  <c r="E37" i="23"/>
  <c r="D37" i="23"/>
  <c r="I36" i="23"/>
  <c r="F36" i="23"/>
  <c r="F35" i="23"/>
  <c r="D34" i="23"/>
  <c r="F33" i="23"/>
  <c r="E32" i="23"/>
  <c r="F32" i="23"/>
  <c r="E34" i="23"/>
  <c r="F34" i="23"/>
  <c r="D32" i="23"/>
  <c r="F31" i="23"/>
  <c r="F30" i="23"/>
  <c r="E27" i="23"/>
  <c r="F27" i="23"/>
  <c r="D27" i="23"/>
  <c r="H26" i="23"/>
  <c r="I26" i="23"/>
  <c r="G26" i="23"/>
  <c r="F26" i="23"/>
  <c r="F25" i="23"/>
  <c r="E24" i="23"/>
  <c r="E28" i="23"/>
  <c r="D24" i="23"/>
  <c r="D28" i="23"/>
  <c r="F23" i="23"/>
  <c r="D16" i="23"/>
  <c r="C16" i="23"/>
  <c r="F118" i="23"/>
  <c r="F122" i="23"/>
  <c r="D127" i="23"/>
  <c r="E76" i="23"/>
  <c r="F76" i="23"/>
  <c r="D45" i="23"/>
  <c r="D46" i="23"/>
  <c r="D47" i="23"/>
  <c r="F37" i="23"/>
  <c r="E61" i="23"/>
  <c r="F61" i="23"/>
  <c r="F24" i="23"/>
  <c r="F40" i="23"/>
  <c r="E41" i="23"/>
  <c r="F77" i="23"/>
  <c r="E126" i="23"/>
  <c r="F126" i="23"/>
  <c r="D115" i="23"/>
  <c r="F62" i="23"/>
  <c r="E63" i="23"/>
  <c r="F41" i="23"/>
  <c r="A155" i="22"/>
  <c r="E123" i="22"/>
  <c r="D123" i="22"/>
  <c r="E122" i="22"/>
  <c r="F122" i="22"/>
  <c r="D122" i="22"/>
  <c r="E121" i="22"/>
  <c r="D121" i="22"/>
  <c r="F120" i="22"/>
  <c r="F119" i="22"/>
  <c r="E118" i="22"/>
  <c r="D118" i="22"/>
  <c r="F118" i="22"/>
  <c r="F117" i="22"/>
  <c r="F116" i="22"/>
  <c r="E114" i="22"/>
  <c r="D114" i="22"/>
  <c r="F114" i="22"/>
  <c r="E113" i="22"/>
  <c r="E125" i="22"/>
  <c r="D113" i="22"/>
  <c r="D125" i="22"/>
  <c r="E112" i="22"/>
  <c r="F112" i="22"/>
  <c r="D112" i="22"/>
  <c r="F111" i="22"/>
  <c r="F110" i="22"/>
  <c r="E109" i="22"/>
  <c r="D109" i="22"/>
  <c r="F108" i="22"/>
  <c r="F107" i="22"/>
  <c r="F106" i="22"/>
  <c r="E106" i="22"/>
  <c r="D106" i="22"/>
  <c r="F105" i="22"/>
  <c r="F104" i="22"/>
  <c r="E103" i="22"/>
  <c r="D103" i="22"/>
  <c r="F102" i="22"/>
  <c r="F101" i="22"/>
  <c r="E100" i="22"/>
  <c r="D100" i="22"/>
  <c r="F100" i="22"/>
  <c r="F99" i="22"/>
  <c r="F98" i="22"/>
  <c r="E91" i="22"/>
  <c r="E90" i="22"/>
  <c r="E89" i="22"/>
  <c r="D78" i="22"/>
  <c r="E77" i="22"/>
  <c r="D77" i="22"/>
  <c r="D76" i="22"/>
  <c r="E75" i="22"/>
  <c r="F74" i="22"/>
  <c r="D73" i="22"/>
  <c r="E72" i="22"/>
  <c r="F71" i="22"/>
  <c r="D69" i="22"/>
  <c r="D68" i="22"/>
  <c r="D67" i="22"/>
  <c r="E65" i="22"/>
  <c r="D64" i="22"/>
  <c r="F62" i="22"/>
  <c r="E62" i="22"/>
  <c r="E60" i="22"/>
  <c r="D60" i="22"/>
  <c r="E59" i="22"/>
  <c r="F59" i="22"/>
  <c r="D59" i="22"/>
  <c r="E58" i="22"/>
  <c r="D58" i="22"/>
  <c r="F57" i="22"/>
  <c r="F56" i="22"/>
  <c r="E55" i="22"/>
  <c r="D55" i="22"/>
  <c r="F55" i="22"/>
  <c r="F54" i="22"/>
  <c r="F53" i="22"/>
  <c r="F44" i="22"/>
  <c r="F43" i="22"/>
  <c r="E42" i="22"/>
  <c r="E40" i="22"/>
  <c r="F40" i="22"/>
  <c r="D40" i="22"/>
  <c r="I39" i="22"/>
  <c r="F39" i="22"/>
  <c r="F38" i="22"/>
  <c r="E37" i="22"/>
  <c r="E41" i="22"/>
  <c r="D37" i="22"/>
  <c r="D41" i="22"/>
  <c r="I36" i="22"/>
  <c r="F36" i="22"/>
  <c r="F35" i="22"/>
  <c r="F33" i="22"/>
  <c r="D32" i="22"/>
  <c r="D34" i="22"/>
  <c r="F34" i="22"/>
  <c r="F31" i="22"/>
  <c r="F30" i="22"/>
  <c r="E27" i="22"/>
  <c r="F27" i="22"/>
  <c r="D27" i="22"/>
  <c r="H26" i="22"/>
  <c r="I26" i="22"/>
  <c r="G26" i="22"/>
  <c r="F26" i="22"/>
  <c r="F25" i="22"/>
  <c r="E24" i="22"/>
  <c r="F24" i="22"/>
  <c r="D24" i="22"/>
  <c r="D28" i="22"/>
  <c r="F23" i="22"/>
  <c r="D16" i="22"/>
  <c r="C16" i="22"/>
  <c r="E68" i="22"/>
  <c r="E73" i="22"/>
  <c r="F73" i="22"/>
  <c r="F103" i="22"/>
  <c r="F58" i="22"/>
  <c r="F60" i="22"/>
  <c r="D79" i="22"/>
  <c r="F121" i="22"/>
  <c r="F123" i="22"/>
  <c r="D61" i="22"/>
  <c r="D70" i="22"/>
  <c r="D124" i="22"/>
  <c r="F42" i="22"/>
  <c r="F109" i="22"/>
  <c r="E126" i="22"/>
  <c r="F65" i="22"/>
  <c r="E66" i="22"/>
  <c r="F66" i="22"/>
  <c r="E63" i="22"/>
  <c r="E28" i="22"/>
  <c r="F28" i="22"/>
  <c r="E32" i="22"/>
  <c r="F68" i="22"/>
  <c r="F75" i="22"/>
  <c r="F77" i="22"/>
  <c r="D126" i="22"/>
  <c r="E61" i="22"/>
  <c r="F61" i="22"/>
  <c r="F72" i="22"/>
  <c r="E76" i="22"/>
  <c r="F76" i="22"/>
  <c r="E78" i="22"/>
  <c r="F78" i="22"/>
  <c r="E124" i="22"/>
  <c r="F124" i="22"/>
  <c r="E30" i="21"/>
  <c r="E32" i="21"/>
  <c r="E31" i="21"/>
  <c r="F31" i="21"/>
  <c r="F126" i="22"/>
  <c r="E67" i="22"/>
  <c r="F67" i="22"/>
  <c r="F63" i="22"/>
  <c r="E64" i="22"/>
  <c r="F64" i="22"/>
  <c r="E34" i="22"/>
  <c r="F32" i="22"/>
  <c r="D127" i="22"/>
  <c r="E79" i="22"/>
  <c r="F79" i="22"/>
  <c r="A155" i="21"/>
  <c r="E123" i="21"/>
  <c r="D123" i="21"/>
  <c r="D124" i="21"/>
  <c r="F124" i="21"/>
  <c r="E122" i="21"/>
  <c r="D122" i="21"/>
  <c r="E121" i="21"/>
  <c r="F121" i="21"/>
  <c r="D121" i="21"/>
  <c r="F120" i="21"/>
  <c r="F119" i="21"/>
  <c r="E118" i="21"/>
  <c r="F118" i="21"/>
  <c r="D118" i="21"/>
  <c r="F117" i="21"/>
  <c r="F116" i="21"/>
  <c r="E114" i="21"/>
  <c r="E126" i="21"/>
  <c r="F126" i="21"/>
  <c r="D114" i="21"/>
  <c r="E113" i="21"/>
  <c r="E125" i="21"/>
  <c r="D113" i="21"/>
  <c r="E112" i="21"/>
  <c r="D112" i="21"/>
  <c r="F111" i="21"/>
  <c r="F110" i="21"/>
  <c r="E109" i="21"/>
  <c r="F109" i="21"/>
  <c r="D109" i="21"/>
  <c r="F108" i="21"/>
  <c r="F107" i="21"/>
  <c r="E106" i="21"/>
  <c r="F106" i="21"/>
  <c r="D106" i="21"/>
  <c r="F105" i="21"/>
  <c r="F104" i="21"/>
  <c r="E103" i="21"/>
  <c r="F103" i="21"/>
  <c r="D103" i="21"/>
  <c r="F102" i="21"/>
  <c r="F101" i="21"/>
  <c r="E100" i="21"/>
  <c r="D100" i="21"/>
  <c r="F99" i="21"/>
  <c r="F98" i="21"/>
  <c r="E91" i="21"/>
  <c r="E90" i="21"/>
  <c r="E89" i="21"/>
  <c r="D78" i="21"/>
  <c r="E77" i="21"/>
  <c r="E79" i="21"/>
  <c r="F79" i="21"/>
  <c r="D77" i="21"/>
  <c r="D79" i="21"/>
  <c r="D76" i="21"/>
  <c r="E75" i="21"/>
  <c r="F75" i="21"/>
  <c r="F74" i="21"/>
  <c r="D73" i="21"/>
  <c r="E72" i="21"/>
  <c r="E73" i="21"/>
  <c r="F73" i="21"/>
  <c r="F71" i="21"/>
  <c r="D69" i="21"/>
  <c r="D68" i="21"/>
  <c r="D70" i="21"/>
  <c r="D67" i="21"/>
  <c r="E65" i="21"/>
  <c r="D64" i="21"/>
  <c r="E62" i="21"/>
  <c r="F62" i="21"/>
  <c r="E60" i="21"/>
  <c r="D60" i="21"/>
  <c r="E59" i="21"/>
  <c r="F59" i="21"/>
  <c r="D59" i="21"/>
  <c r="D61" i="21"/>
  <c r="F61" i="21"/>
  <c r="E58" i="21"/>
  <c r="D58" i="21"/>
  <c r="F57" i="21"/>
  <c r="F56" i="21"/>
  <c r="E55" i="21"/>
  <c r="D55" i="21"/>
  <c r="F54" i="21"/>
  <c r="F53" i="21"/>
  <c r="F44" i="21"/>
  <c r="F43" i="21"/>
  <c r="E42" i="21"/>
  <c r="E40" i="21"/>
  <c r="F40" i="21"/>
  <c r="D40" i="21"/>
  <c r="I39" i="21"/>
  <c r="F39" i="21"/>
  <c r="F38" i="21"/>
  <c r="E37" i="21"/>
  <c r="E41" i="21"/>
  <c r="D37" i="21"/>
  <c r="D41" i="21"/>
  <c r="I36" i="21"/>
  <c r="F36" i="21"/>
  <c r="F35" i="21"/>
  <c r="F33" i="21"/>
  <c r="D32" i="21"/>
  <c r="D34" i="21"/>
  <c r="D45" i="21"/>
  <c r="D46" i="21"/>
  <c r="D47" i="21"/>
  <c r="E27" i="21"/>
  <c r="F27" i="21"/>
  <c r="D27" i="21"/>
  <c r="H26" i="21"/>
  <c r="G26" i="21"/>
  <c r="I26" i="21"/>
  <c r="F26" i="21"/>
  <c r="F25" i="21"/>
  <c r="E24" i="21"/>
  <c r="D24" i="21"/>
  <c r="F24" i="21"/>
  <c r="D28" i="21"/>
  <c r="F23" i="21"/>
  <c r="D16" i="21"/>
  <c r="C16" i="21"/>
  <c r="F60" i="21"/>
  <c r="F58" i="21"/>
  <c r="D125" i="21"/>
  <c r="E124" i="21"/>
  <c r="E76" i="21"/>
  <c r="F76" i="21"/>
  <c r="F123" i="21"/>
  <c r="F65" i="21"/>
  <c r="F100" i="21"/>
  <c r="E68" i="21"/>
  <c r="F68" i="21"/>
  <c r="F77" i="21"/>
  <c r="F42" i="21"/>
  <c r="F112" i="21"/>
  <c r="F114" i="21"/>
  <c r="E61" i="21"/>
  <c r="F55" i="21"/>
  <c r="F72" i="21"/>
  <c r="E78" i="21"/>
  <c r="F78" i="21"/>
  <c r="D126" i="21"/>
  <c r="D127" i="21"/>
  <c r="D115" i="21"/>
  <c r="F122" i="21"/>
  <c r="E63" i="21"/>
  <c r="E115" i="21"/>
  <c r="F115" i="21"/>
  <c r="E64" i="21"/>
  <c r="F64" i="21"/>
  <c r="F63" i="21"/>
  <c r="A155" i="20"/>
  <c r="E123" i="20"/>
  <c r="D123" i="20"/>
  <c r="E122" i="20"/>
  <c r="D122" i="20"/>
  <c r="E121" i="20"/>
  <c r="D121" i="20"/>
  <c r="F120" i="20"/>
  <c r="F119" i="20"/>
  <c r="E118" i="20"/>
  <c r="D118" i="20"/>
  <c r="F117" i="20"/>
  <c r="F116" i="20"/>
  <c r="E114" i="20"/>
  <c r="E126" i="20"/>
  <c r="D114" i="20"/>
  <c r="E113" i="20"/>
  <c r="E125" i="20"/>
  <c r="D113" i="20"/>
  <c r="D125" i="20"/>
  <c r="D127" i="20"/>
  <c r="E112" i="20"/>
  <c r="F112" i="20"/>
  <c r="D112" i="20"/>
  <c r="F111" i="20"/>
  <c r="F110" i="20"/>
  <c r="E109" i="20"/>
  <c r="F109" i="20"/>
  <c r="D109" i="20"/>
  <c r="F108" i="20"/>
  <c r="F107" i="20"/>
  <c r="E106" i="20"/>
  <c r="F106" i="20"/>
  <c r="D106" i="20"/>
  <c r="F105" i="20"/>
  <c r="F104" i="20"/>
  <c r="E103" i="20"/>
  <c r="F103" i="20"/>
  <c r="D103" i="20"/>
  <c r="F102" i="20"/>
  <c r="F101" i="20"/>
  <c r="E100" i="20"/>
  <c r="D100" i="20"/>
  <c r="F99" i="20"/>
  <c r="F98" i="20"/>
  <c r="E91" i="20"/>
  <c r="E90" i="20"/>
  <c r="E89" i="20"/>
  <c r="D78" i="20"/>
  <c r="E77" i="20"/>
  <c r="D77" i="20"/>
  <c r="D79" i="20"/>
  <c r="D76" i="20"/>
  <c r="E75" i="20"/>
  <c r="F74" i="20"/>
  <c r="D73" i="20"/>
  <c r="F73" i="20"/>
  <c r="E72" i="20"/>
  <c r="F71" i="20"/>
  <c r="D69" i="20"/>
  <c r="D68" i="20"/>
  <c r="D67" i="20"/>
  <c r="E65" i="20"/>
  <c r="D64" i="20"/>
  <c r="E62" i="20"/>
  <c r="E68" i="20"/>
  <c r="F68" i="20"/>
  <c r="E60" i="20"/>
  <c r="D60" i="20"/>
  <c r="E59" i="20"/>
  <c r="E61" i="20"/>
  <c r="D59" i="20"/>
  <c r="E58" i="20"/>
  <c r="D58" i="20"/>
  <c r="F58" i="20"/>
  <c r="F57" i="20"/>
  <c r="F56" i="20"/>
  <c r="E55" i="20"/>
  <c r="D55" i="20"/>
  <c r="F55" i="20"/>
  <c r="F54" i="20"/>
  <c r="F53" i="20"/>
  <c r="F44" i="20"/>
  <c r="F43" i="20"/>
  <c r="E42" i="20"/>
  <c r="E40" i="20"/>
  <c r="D40" i="20"/>
  <c r="I39" i="20"/>
  <c r="F39" i="20"/>
  <c r="F38" i="20"/>
  <c r="E37" i="20"/>
  <c r="D37" i="20"/>
  <c r="D41" i="20"/>
  <c r="I36" i="20"/>
  <c r="F36" i="20"/>
  <c r="F35" i="20"/>
  <c r="F33" i="20"/>
  <c r="E32" i="20"/>
  <c r="E34" i="20"/>
  <c r="D32" i="20"/>
  <c r="F32" i="20"/>
  <c r="D34" i="20"/>
  <c r="F34" i="20"/>
  <c r="F31" i="20"/>
  <c r="F30" i="20"/>
  <c r="E27" i="20"/>
  <c r="D27" i="20"/>
  <c r="D28" i="20"/>
  <c r="D45" i="20"/>
  <c r="D46" i="20"/>
  <c r="D47" i="20"/>
  <c r="H26" i="20"/>
  <c r="G26" i="20"/>
  <c r="F26" i="20"/>
  <c r="F25" i="20"/>
  <c r="E24" i="20"/>
  <c r="D24" i="20"/>
  <c r="F23" i="20"/>
  <c r="D16" i="20"/>
  <c r="C16" i="20"/>
  <c r="F60" i="20"/>
  <c r="F122" i="20"/>
  <c r="F40" i="20"/>
  <c r="E41" i="20"/>
  <c r="F41" i="20"/>
  <c r="F37" i="20"/>
  <c r="F59" i="20"/>
  <c r="F123" i="20"/>
  <c r="F121" i="20"/>
  <c r="F65" i="20"/>
  <c r="I26" i="20"/>
  <c r="D70" i="20"/>
  <c r="F100" i="20"/>
  <c r="F42" i="20"/>
  <c r="D124" i="20"/>
  <c r="F118" i="20"/>
  <c r="F77" i="20"/>
  <c r="F27" i="20"/>
  <c r="F114" i="20"/>
  <c r="E66" i="20"/>
  <c r="E28" i="20"/>
  <c r="F75" i="20"/>
  <c r="F24" i="20"/>
  <c r="E63" i="20"/>
  <c r="E64" i="20"/>
  <c r="F64" i="20"/>
  <c r="D61" i="20"/>
  <c r="D126" i="20"/>
  <c r="F72" i="20"/>
  <c r="E76" i="20"/>
  <c r="F76" i="20"/>
  <c r="E78" i="20"/>
  <c r="F78" i="20"/>
  <c r="E124" i="20"/>
  <c r="E73" i="20"/>
  <c r="D115" i="20"/>
  <c r="E115" i="20"/>
  <c r="E42" i="19"/>
  <c r="F42" i="19"/>
  <c r="E24" i="19"/>
  <c r="E28" i="19"/>
  <c r="E27" i="19"/>
  <c r="E32" i="19"/>
  <c r="E37" i="19"/>
  <c r="E40" i="19"/>
  <c r="A155" i="19"/>
  <c r="E113" i="19"/>
  <c r="E122" i="19"/>
  <c r="E114" i="19"/>
  <c r="E123" i="19"/>
  <c r="D113" i="19"/>
  <c r="D122" i="19"/>
  <c r="D114" i="19"/>
  <c r="D126" i="19"/>
  <c r="D123" i="19"/>
  <c r="F122" i="19"/>
  <c r="E121" i="19"/>
  <c r="F121" i="19"/>
  <c r="D121" i="19"/>
  <c r="F120" i="19"/>
  <c r="F119" i="19"/>
  <c r="E118" i="19"/>
  <c r="D118" i="19"/>
  <c r="F117" i="19"/>
  <c r="F116" i="19"/>
  <c r="E112" i="19"/>
  <c r="D112" i="19"/>
  <c r="F111" i="19"/>
  <c r="F110" i="19"/>
  <c r="E109" i="19"/>
  <c r="D109" i="19"/>
  <c r="F108" i="19"/>
  <c r="F107" i="19"/>
  <c r="E106" i="19"/>
  <c r="D106" i="19"/>
  <c r="F105" i="19"/>
  <c r="F104" i="19"/>
  <c r="E103" i="19"/>
  <c r="D103" i="19"/>
  <c r="F102" i="19"/>
  <c r="F101" i="19"/>
  <c r="E100" i="19"/>
  <c r="D100" i="19"/>
  <c r="F99" i="19"/>
  <c r="F98" i="19"/>
  <c r="E91" i="19"/>
  <c r="E90" i="19"/>
  <c r="E89" i="19"/>
  <c r="E72" i="19"/>
  <c r="F72" i="19"/>
  <c r="E75" i="19"/>
  <c r="E66" i="19"/>
  <c r="E77" i="19"/>
  <c r="D77" i="19"/>
  <c r="D78" i="19"/>
  <c r="E76" i="19"/>
  <c r="F76" i="19"/>
  <c r="D76" i="19"/>
  <c r="F75" i="19"/>
  <c r="F74" i="19"/>
  <c r="D73" i="19"/>
  <c r="F71" i="19"/>
  <c r="E62" i="19"/>
  <c r="F62" i="19"/>
  <c r="E65" i="19"/>
  <c r="F65" i="19"/>
  <c r="D68" i="19"/>
  <c r="D69" i="19"/>
  <c r="D70" i="19"/>
  <c r="D67" i="19"/>
  <c r="D64" i="19"/>
  <c r="E59" i="19"/>
  <c r="E61" i="19"/>
  <c r="E60" i="19"/>
  <c r="D59" i="19"/>
  <c r="D60" i="19"/>
  <c r="E58" i="19"/>
  <c r="D58" i="19"/>
  <c r="F57" i="19"/>
  <c r="F56" i="19"/>
  <c r="E55" i="19"/>
  <c r="D55" i="19"/>
  <c r="F54" i="19"/>
  <c r="F53" i="19"/>
  <c r="H26" i="19"/>
  <c r="G26" i="19"/>
  <c r="D24" i="19"/>
  <c r="D27" i="19"/>
  <c r="F27" i="19"/>
  <c r="D32" i="19"/>
  <c r="D34" i="19"/>
  <c r="D37" i="19"/>
  <c r="F37" i="19"/>
  <c r="D40" i="19"/>
  <c r="F44" i="19"/>
  <c r="F43" i="19"/>
  <c r="I39" i="19"/>
  <c r="F39" i="19"/>
  <c r="F38" i="19"/>
  <c r="I36" i="19"/>
  <c r="F36" i="19"/>
  <c r="F35" i="19"/>
  <c r="F33" i="19"/>
  <c r="F31" i="19"/>
  <c r="F30" i="19"/>
  <c r="F26" i="19"/>
  <c r="F25" i="19"/>
  <c r="F23" i="19"/>
  <c r="D16" i="19"/>
  <c r="C16" i="19"/>
  <c r="E24" i="18"/>
  <c r="E27" i="18"/>
  <c r="E28" i="18"/>
  <c r="E32" i="18"/>
  <c r="E34" i="18"/>
  <c r="E37" i="18"/>
  <c r="E40" i="18"/>
  <c r="E42" i="18"/>
  <c r="A155" i="18"/>
  <c r="E113" i="18"/>
  <c r="E125" i="18"/>
  <c r="E122" i="18"/>
  <c r="E114" i="18"/>
  <c r="E115" i="18"/>
  <c r="E123" i="18"/>
  <c r="D113" i="18"/>
  <c r="D122" i="18"/>
  <c r="D114" i="18"/>
  <c r="D123" i="18"/>
  <c r="E121" i="18"/>
  <c r="D121" i="18"/>
  <c r="F120" i="18"/>
  <c r="F119" i="18"/>
  <c r="E118" i="18"/>
  <c r="D118" i="18"/>
  <c r="F118" i="18"/>
  <c r="F117" i="18"/>
  <c r="F116" i="18"/>
  <c r="E112" i="18"/>
  <c r="D112" i="18"/>
  <c r="F111" i="18"/>
  <c r="F110" i="18"/>
  <c r="E109" i="18"/>
  <c r="D109" i="18"/>
  <c r="F109" i="18"/>
  <c r="F108" i="18"/>
  <c r="F107" i="18"/>
  <c r="E106" i="18"/>
  <c r="D106" i="18"/>
  <c r="F105" i="18"/>
  <c r="F104" i="18"/>
  <c r="E103" i="18"/>
  <c r="F103" i="18"/>
  <c r="D103" i="18"/>
  <c r="F102" i="18"/>
  <c r="F101" i="18"/>
  <c r="E100" i="18"/>
  <c r="D100" i="18"/>
  <c r="F99" i="18"/>
  <c r="F98" i="18"/>
  <c r="E91" i="18"/>
  <c r="E90" i="18"/>
  <c r="E89" i="18"/>
  <c r="E72" i="18"/>
  <c r="F72" i="18"/>
  <c r="E75" i="18"/>
  <c r="E77" i="18"/>
  <c r="F77" i="18"/>
  <c r="D77" i="18"/>
  <c r="D78" i="18"/>
  <c r="D76" i="18"/>
  <c r="F74" i="18"/>
  <c r="E73" i="18"/>
  <c r="F73" i="18"/>
  <c r="D73" i="18"/>
  <c r="F71" i="18"/>
  <c r="E62" i="18"/>
  <c r="E68" i="18"/>
  <c r="E65" i="18"/>
  <c r="D68" i="18"/>
  <c r="D70" i="18"/>
  <c r="D69" i="18"/>
  <c r="D67" i="18"/>
  <c r="F65" i="18"/>
  <c r="D64" i="18"/>
  <c r="E59" i="18"/>
  <c r="E61" i="18"/>
  <c r="E60" i="18"/>
  <c r="D59" i="18"/>
  <c r="D60" i="18"/>
  <c r="F60" i="18"/>
  <c r="E58" i="18"/>
  <c r="D58" i="18"/>
  <c r="F57" i="18"/>
  <c r="F56" i="18"/>
  <c r="E55" i="18"/>
  <c r="F55" i="18"/>
  <c r="D55" i="18"/>
  <c r="F54" i="18"/>
  <c r="F53" i="18"/>
  <c r="H26" i="18"/>
  <c r="G26" i="18"/>
  <c r="D24" i="18"/>
  <c r="D28" i="18"/>
  <c r="D27" i="18"/>
  <c r="D32" i="18"/>
  <c r="D34" i="18"/>
  <c r="D37" i="18"/>
  <c r="D40" i="18"/>
  <c r="D41" i="18"/>
  <c r="F44" i="18"/>
  <c r="F43" i="18"/>
  <c r="F42" i="18"/>
  <c r="I39" i="18"/>
  <c r="F39" i="18"/>
  <c r="F38" i="18"/>
  <c r="I36" i="18"/>
  <c r="F36" i="18"/>
  <c r="F35" i="18"/>
  <c r="F33" i="18"/>
  <c r="F31" i="18"/>
  <c r="F30" i="18"/>
  <c r="F26" i="18"/>
  <c r="F25" i="18"/>
  <c r="F23" i="18"/>
  <c r="D16" i="18"/>
  <c r="C16" i="18"/>
  <c r="D91" i="17"/>
  <c r="E72" i="17"/>
  <c r="E73" i="17"/>
  <c r="A155" i="17"/>
  <c r="E123" i="17"/>
  <c r="F123" i="17"/>
  <c r="D123" i="17"/>
  <c r="E122" i="17"/>
  <c r="D122" i="17"/>
  <c r="F122" i="17"/>
  <c r="E121" i="17"/>
  <c r="D121" i="17"/>
  <c r="F120" i="17"/>
  <c r="F119" i="17"/>
  <c r="E118" i="17"/>
  <c r="D118" i="17"/>
  <c r="F117" i="17"/>
  <c r="F116" i="17"/>
  <c r="E114" i="17"/>
  <c r="D114" i="17"/>
  <c r="D126" i="17"/>
  <c r="E113" i="17"/>
  <c r="D113" i="17"/>
  <c r="E112" i="17"/>
  <c r="D112" i="17"/>
  <c r="F111" i="17"/>
  <c r="F110" i="17"/>
  <c r="E109" i="17"/>
  <c r="D109" i="17"/>
  <c r="F108" i="17"/>
  <c r="F107" i="17"/>
  <c r="E106" i="17"/>
  <c r="D106" i="17"/>
  <c r="F105" i="17"/>
  <c r="F104" i="17"/>
  <c r="E103" i="17"/>
  <c r="D103" i="17"/>
  <c r="F102" i="17"/>
  <c r="F101" i="17"/>
  <c r="E100" i="17"/>
  <c r="D100" i="17"/>
  <c r="F100" i="17"/>
  <c r="F99" i="17"/>
  <c r="F98" i="17"/>
  <c r="E91" i="17"/>
  <c r="E90" i="17"/>
  <c r="E89" i="17"/>
  <c r="D78" i="17"/>
  <c r="E77" i="17"/>
  <c r="D77" i="17"/>
  <c r="D79" i="17"/>
  <c r="D76" i="17"/>
  <c r="E75" i="17"/>
  <c r="F74" i="17"/>
  <c r="D73" i="17"/>
  <c r="F71" i="17"/>
  <c r="D69" i="17"/>
  <c r="D68" i="17"/>
  <c r="D70" i="17"/>
  <c r="D67" i="17"/>
  <c r="E65" i="17"/>
  <c r="D64" i="17"/>
  <c r="E62" i="17"/>
  <c r="F62" i="17"/>
  <c r="E60" i="17"/>
  <c r="F60" i="17"/>
  <c r="D60" i="17"/>
  <c r="E59" i="17"/>
  <c r="D59" i="17"/>
  <c r="E58" i="17"/>
  <c r="D58" i="17"/>
  <c r="F57" i="17"/>
  <c r="F56" i="17"/>
  <c r="E55" i="17"/>
  <c r="D55" i="17"/>
  <c r="F54" i="17"/>
  <c r="F53" i="17"/>
  <c r="F44" i="17"/>
  <c r="F43" i="17"/>
  <c r="E42" i="17"/>
  <c r="F42" i="17"/>
  <c r="E40" i="17"/>
  <c r="F40" i="17"/>
  <c r="D40" i="17"/>
  <c r="I39" i="17"/>
  <c r="F39" i="17"/>
  <c r="F38" i="17"/>
  <c r="E37" i="17"/>
  <c r="D37" i="17"/>
  <c r="I36" i="17"/>
  <c r="F36" i="17"/>
  <c r="F35" i="17"/>
  <c r="F33" i="17"/>
  <c r="E32" i="17"/>
  <c r="E34" i="17"/>
  <c r="D32" i="17"/>
  <c r="F31" i="17"/>
  <c r="F30" i="17"/>
  <c r="E27" i="17"/>
  <c r="D27" i="17"/>
  <c r="D28" i="17"/>
  <c r="H26" i="17"/>
  <c r="I26" i="17"/>
  <c r="G26" i="17"/>
  <c r="F26" i="17"/>
  <c r="F25" i="17"/>
  <c r="E24" i="17"/>
  <c r="D24" i="17"/>
  <c r="F23" i="17"/>
  <c r="D16" i="17"/>
  <c r="C16" i="17"/>
  <c r="D124" i="17"/>
  <c r="E63" i="17"/>
  <c r="F72" i="17"/>
  <c r="F24" i="17"/>
  <c r="F87" i="16"/>
  <c r="F87" i="17"/>
  <c r="F87" i="18"/>
  <c r="F87" i="19"/>
  <c r="F87" i="20"/>
  <c r="F87" i="21"/>
  <c r="F87" i="22"/>
  <c r="F87" i="23"/>
  <c r="F87" i="24"/>
  <c r="F87" i="25"/>
  <c r="F87" i="26"/>
  <c r="F92" i="16"/>
  <c r="F92" i="17"/>
  <c r="F92" i="18"/>
  <c r="F92" i="19"/>
  <c r="F92" i="20"/>
  <c r="F92" i="21"/>
  <c r="F92" i="22"/>
  <c r="F92" i="23"/>
  <c r="F92" i="24"/>
  <c r="F92" i="25"/>
  <c r="F92" i="26"/>
  <c r="F91" i="16"/>
  <c r="F90" i="16"/>
  <c r="F89" i="16"/>
  <c r="F89" i="17"/>
  <c r="F89" i="18"/>
  <c r="F88" i="16"/>
  <c r="F88" i="17"/>
  <c r="F88" i="18"/>
  <c r="F88" i="19"/>
  <c r="F88" i="20"/>
  <c r="F88" i="21"/>
  <c r="F88" i="22"/>
  <c r="F88" i="23"/>
  <c r="F88" i="24"/>
  <c r="F88" i="25"/>
  <c r="F88" i="26"/>
  <c r="G91" i="15"/>
  <c r="E91" i="15"/>
  <c r="G90" i="15"/>
  <c r="E90" i="15"/>
  <c r="G89" i="15"/>
  <c r="E89" i="15"/>
  <c r="E91" i="16"/>
  <c r="E90" i="16"/>
  <c r="E89" i="16"/>
  <c r="E24" i="16"/>
  <c r="E27" i="16"/>
  <c r="E32" i="16"/>
  <c r="E37" i="16"/>
  <c r="E40" i="16"/>
  <c r="E42" i="16"/>
  <c r="F42" i="16"/>
  <c r="G116" i="15"/>
  <c r="G116" i="16"/>
  <c r="G116" i="17"/>
  <c r="G116" i="18"/>
  <c r="E75" i="16"/>
  <c r="F75" i="16"/>
  <c r="E75" i="15"/>
  <c r="H75" i="15"/>
  <c r="H74" i="15"/>
  <c r="E72" i="16"/>
  <c r="E65" i="16"/>
  <c r="E65" i="15"/>
  <c r="E62" i="16"/>
  <c r="F62" i="16"/>
  <c r="H57" i="15"/>
  <c r="H56" i="15"/>
  <c r="H56" i="16"/>
  <c r="A155" i="16"/>
  <c r="E113" i="16"/>
  <c r="E122" i="16"/>
  <c r="E114" i="16"/>
  <c r="E126" i="16"/>
  <c r="E123" i="16"/>
  <c r="D113" i="16"/>
  <c r="D125" i="16"/>
  <c r="D122" i="16"/>
  <c r="D114" i="16"/>
  <c r="D123" i="16"/>
  <c r="F123" i="16"/>
  <c r="E121" i="16"/>
  <c r="D121" i="16"/>
  <c r="F120" i="16"/>
  <c r="F119" i="16"/>
  <c r="E118" i="16"/>
  <c r="D118" i="16"/>
  <c r="F117" i="16"/>
  <c r="F116" i="16"/>
  <c r="E112" i="16"/>
  <c r="D112" i="16"/>
  <c r="F111" i="16"/>
  <c r="F110" i="16"/>
  <c r="E109" i="16"/>
  <c r="D109" i="16"/>
  <c r="F109" i="16"/>
  <c r="F108" i="16"/>
  <c r="F107" i="16"/>
  <c r="E106" i="16"/>
  <c r="D106" i="16"/>
  <c r="F105" i="16"/>
  <c r="F104" i="16"/>
  <c r="E103" i="16"/>
  <c r="D103" i="16"/>
  <c r="F102" i="16"/>
  <c r="F101" i="16"/>
  <c r="E100" i="16"/>
  <c r="D100" i="16"/>
  <c r="F99" i="16"/>
  <c r="F98" i="16"/>
  <c r="E77" i="16"/>
  <c r="D77" i="16"/>
  <c r="D78" i="16"/>
  <c r="E76" i="16"/>
  <c r="D76" i="16"/>
  <c r="F74" i="16"/>
  <c r="D73" i="16"/>
  <c r="F71" i="16"/>
  <c r="D68" i="16"/>
  <c r="D69" i="16"/>
  <c r="D67" i="16"/>
  <c r="F65" i="16"/>
  <c r="D64" i="16"/>
  <c r="E59" i="16"/>
  <c r="F59" i="16"/>
  <c r="E60" i="16"/>
  <c r="D59" i="16"/>
  <c r="D61" i="16"/>
  <c r="D60" i="16"/>
  <c r="E58" i="16"/>
  <c r="D58" i="16"/>
  <c r="F57" i="16"/>
  <c r="F56" i="16"/>
  <c r="E55" i="16"/>
  <c r="D55" i="16"/>
  <c r="F55" i="16"/>
  <c r="F54" i="16"/>
  <c r="F53" i="16"/>
  <c r="H26" i="16"/>
  <c r="I26" i="16"/>
  <c r="G26" i="16"/>
  <c r="D24" i="16"/>
  <c r="D27" i="16"/>
  <c r="D32" i="16"/>
  <c r="D34" i="16"/>
  <c r="D37" i="16"/>
  <c r="D40" i="16"/>
  <c r="D41" i="16"/>
  <c r="F44" i="16"/>
  <c r="F43" i="16"/>
  <c r="F40" i="16"/>
  <c r="I39" i="16"/>
  <c r="F39" i="16"/>
  <c r="F38" i="16"/>
  <c r="I36" i="16"/>
  <c r="F36" i="16"/>
  <c r="F35" i="16"/>
  <c r="F33" i="16"/>
  <c r="F31" i="16"/>
  <c r="F30" i="16"/>
  <c r="F27" i="16"/>
  <c r="F26" i="16"/>
  <c r="F25" i="16"/>
  <c r="F23" i="16"/>
  <c r="D16" i="16"/>
  <c r="C16" i="16"/>
  <c r="D155" i="15"/>
  <c r="H120" i="15"/>
  <c r="H120" i="16"/>
  <c r="H120" i="17"/>
  <c r="H119" i="15"/>
  <c r="H117" i="15"/>
  <c r="H116" i="15"/>
  <c r="H116" i="16"/>
  <c r="H111" i="15"/>
  <c r="H110" i="15"/>
  <c r="H108" i="15"/>
  <c r="I108" i="15"/>
  <c r="H107" i="15"/>
  <c r="H107" i="16"/>
  <c r="H107" i="17"/>
  <c r="H105" i="15"/>
  <c r="H105" i="16"/>
  <c r="H105" i="17"/>
  <c r="H104" i="15"/>
  <c r="H102" i="15"/>
  <c r="H101" i="15"/>
  <c r="H101" i="16"/>
  <c r="H101" i="17"/>
  <c r="H99" i="15"/>
  <c r="H98" i="15"/>
  <c r="H71" i="15"/>
  <c r="E62" i="15"/>
  <c r="H62" i="15"/>
  <c r="H54" i="15"/>
  <c r="H53" i="15"/>
  <c r="H44" i="15"/>
  <c r="H43" i="15"/>
  <c r="H43" i="16"/>
  <c r="H38" i="15"/>
  <c r="H35" i="15"/>
  <c r="H33" i="15"/>
  <c r="H30" i="15"/>
  <c r="H30" i="16"/>
  <c r="H25" i="15"/>
  <c r="H23" i="15"/>
  <c r="H23" i="16"/>
  <c r="H24" i="16"/>
  <c r="G120" i="15"/>
  <c r="I120" i="15"/>
  <c r="G119" i="15"/>
  <c r="G117" i="15"/>
  <c r="G117" i="16"/>
  <c r="G111" i="15"/>
  <c r="G111" i="16"/>
  <c r="G111" i="17"/>
  <c r="G111" i="18"/>
  <c r="G111" i="19"/>
  <c r="G111" i="20"/>
  <c r="G111" i="21"/>
  <c r="G111" i="22"/>
  <c r="G111" i="23"/>
  <c r="G111" i="24"/>
  <c r="G111" i="25"/>
  <c r="G111" i="26"/>
  <c r="G110" i="15"/>
  <c r="G108" i="15"/>
  <c r="G108" i="16"/>
  <c r="G108" i="17"/>
  <c r="G108" i="18"/>
  <c r="G108" i="19"/>
  <c r="G108" i="20"/>
  <c r="G108" i="21"/>
  <c r="G108" i="22"/>
  <c r="G108" i="23"/>
  <c r="G108" i="24"/>
  <c r="G108" i="25"/>
  <c r="G108" i="26"/>
  <c r="G107" i="15"/>
  <c r="G105" i="15"/>
  <c r="G105" i="16"/>
  <c r="G105" i="17"/>
  <c r="G105" i="18"/>
  <c r="G105" i="19"/>
  <c r="G105" i="20"/>
  <c r="G105" i="21"/>
  <c r="G105" i="22"/>
  <c r="G105" i="23"/>
  <c r="G105" i="24"/>
  <c r="G105" i="25"/>
  <c r="G105" i="26"/>
  <c r="G104" i="15"/>
  <c r="G102" i="15"/>
  <c r="G102" i="16"/>
  <c r="G102" i="17"/>
  <c r="G102" i="18"/>
  <c r="G102" i="19"/>
  <c r="G102" i="20"/>
  <c r="G102" i="21"/>
  <c r="G102" i="22"/>
  <c r="G102" i="23"/>
  <c r="G102" i="24"/>
  <c r="G102" i="25"/>
  <c r="G102" i="26"/>
  <c r="G101" i="15"/>
  <c r="G99" i="15"/>
  <c r="G99" i="16"/>
  <c r="G75" i="15"/>
  <c r="G75" i="16"/>
  <c r="G75" i="17"/>
  <c r="G75" i="18"/>
  <c r="G75" i="19"/>
  <c r="G75" i="20"/>
  <c r="G75" i="21"/>
  <c r="G75" i="22"/>
  <c r="G75" i="23"/>
  <c r="G75" i="24"/>
  <c r="G75" i="25"/>
  <c r="G75" i="26"/>
  <c r="G74" i="15"/>
  <c r="G72" i="15"/>
  <c r="G71" i="15"/>
  <c r="G71" i="16"/>
  <c r="G66" i="15"/>
  <c r="G66" i="16"/>
  <c r="G66" i="17"/>
  <c r="G66" i="18"/>
  <c r="G66" i="19"/>
  <c r="G66" i="20"/>
  <c r="G66" i="21"/>
  <c r="G66" i="22"/>
  <c r="G66" i="23"/>
  <c r="G66" i="24"/>
  <c r="G66" i="25"/>
  <c r="G66" i="26"/>
  <c r="G65" i="15"/>
  <c r="G63" i="15"/>
  <c r="G62" i="15"/>
  <c r="G57" i="15"/>
  <c r="I57" i="15"/>
  <c r="G56" i="15"/>
  <c r="G54" i="15"/>
  <c r="G53" i="15"/>
  <c r="G53" i="16"/>
  <c r="G44" i="15"/>
  <c r="G44" i="16"/>
  <c r="G44" i="17"/>
  <c r="G44" i="18"/>
  <c r="G44" i="19"/>
  <c r="G44" i="20"/>
  <c r="G44" i="21"/>
  <c r="G44" i="22"/>
  <c r="G44" i="23"/>
  <c r="G44" i="24"/>
  <c r="G44" i="25"/>
  <c r="G44" i="26"/>
  <c r="G43" i="15"/>
  <c r="G43" i="16"/>
  <c r="G43" i="17"/>
  <c r="G43" i="18"/>
  <c r="G43" i="19"/>
  <c r="G43" i="20"/>
  <c r="G43" i="21"/>
  <c r="G43" i="22"/>
  <c r="G43" i="23"/>
  <c r="G43" i="24"/>
  <c r="G43" i="25"/>
  <c r="G43" i="26"/>
  <c r="G42" i="15"/>
  <c r="G42" i="16"/>
  <c r="G42" i="17"/>
  <c r="G42" i="18"/>
  <c r="G42" i="19"/>
  <c r="G42" i="20"/>
  <c r="G42" i="21"/>
  <c r="G42" i="22"/>
  <c r="G42" i="23"/>
  <c r="G42" i="24"/>
  <c r="G42" i="25"/>
  <c r="G42" i="26"/>
  <c r="G38" i="15"/>
  <c r="G38" i="16"/>
  <c r="G38" i="17"/>
  <c r="G35" i="15"/>
  <c r="G33" i="15"/>
  <c r="G33" i="16"/>
  <c r="G33" i="17"/>
  <c r="G33" i="18"/>
  <c r="G33" i="19"/>
  <c r="G33" i="20"/>
  <c r="G33" i="21"/>
  <c r="G33" i="22"/>
  <c r="G33" i="23"/>
  <c r="G33" i="24"/>
  <c r="G33" i="25"/>
  <c r="G33" i="26"/>
  <c r="G30" i="15"/>
  <c r="G25" i="15"/>
  <c r="G25" i="16"/>
  <c r="G23" i="15"/>
  <c r="G98" i="15"/>
  <c r="D100" i="15"/>
  <c r="A155" i="15"/>
  <c r="E123" i="15"/>
  <c r="D123" i="15"/>
  <c r="E122" i="15"/>
  <c r="E124" i="15"/>
  <c r="D122" i="15"/>
  <c r="E121" i="15"/>
  <c r="F121" i="15"/>
  <c r="D121" i="15"/>
  <c r="F120" i="15"/>
  <c r="F119" i="15"/>
  <c r="E118" i="15"/>
  <c r="F118" i="15"/>
  <c r="D118" i="15"/>
  <c r="F117" i="15"/>
  <c r="F116" i="15"/>
  <c r="E114" i="15"/>
  <c r="D114" i="15"/>
  <c r="E113" i="15"/>
  <c r="E125" i="15"/>
  <c r="D113" i="15"/>
  <c r="E112" i="15"/>
  <c r="D112" i="15"/>
  <c r="F111" i="15"/>
  <c r="F110" i="15"/>
  <c r="E109" i="15"/>
  <c r="D109" i="15"/>
  <c r="F108" i="15"/>
  <c r="F107" i="15"/>
  <c r="E106" i="15"/>
  <c r="D106" i="15"/>
  <c r="F106" i="15"/>
  <c r="F105" i="15"/>
  <c r="F104" i="15"/>
  <c r="E103" i="15"/>
  <c r="D103" i="15"/>
  <c r="F102" i="15"/>
  <c r="I101" i="15"/>
  <c r="F101" i="15"/>
  <c r="E100" i="15"/>
  <c r="F100" i="15"/>
  <c r="F99" i="15"/>
  <c r="F98" i="15"/>
  <c r="D78" i="15"/>
  <c r="E77" i="15"/>
  <c r="D77" i="15"/>
  <c r="D79" i="15"/>
  <c r="D76" i="15"/>
  <c r="F74" i="15"/>
  <c r="D73" i="15"/>
  <c r="E72" i="15"/>
  <c r="G73" i="15"/>
  <c r="F71" i="15"/>
  <c r="D69" i="15"/>
  <c r="D68" i="15"/>
  <c r="D70" i="15"/>
  <c r="D67" i="15"/>
  <c r="D64" i="15"/>
  <c r="E60" i="15"/>
  <c r="D60" i="15"/>
  <c r="E59" i="15"/>
  <c r="D59" i="15"/>
  <c r="E58" i="15"/>
  <c r="D58" i="15"/>
  <c r="F57" i="15"/>
  <c r="F56" i="15"/>
  <c r="E55" i="15"/>
  <c r="D55" i="15"/>
  <c r="F54" i="15"/>
  <c r="F53" i="15"/>
  <c r="F44" i="15"/>
  <c r="I43" i="15"/>
  <c r="F43" i="15"/>
  <c r="E42" i="15"/>
  <c r="H40" i="15"/>
  <c r="E40" i="15"/>
  <c r="D40" i="15"/>
  <c r="I39" i="15"/>
  <c r="F39" i="15"/>
  <c r="F38" i="15"/>
  <c r="E37" i="15"/>
  <c r="E41" i="15"/>
  <c r="D37" i="15"/>
  <c r="I36" i="15"/>
  <c r="F36" i="15"/>
  <c r="F35" i="15"/>
  <c r="F33" i="15"/>
  <c r="E32" i="15"/>
  <c r="D32" i="15"/>
  <c r="D34" i="15"/>
  <c r="H31" i="15"/>
  <c r="G31" i="15"/>
  <c r="G31" i="16"/>
  <c r="G31" i="17"/>
  <c r="G31" i="18"/>
  <c r="G31" i="19"/>
  <c r="G31" i="20"/>
  <c r="G31" i="21"/>
  <c r="G31" i="22"/>
  <c r="G31" i="23"/>
  <c r="G31" i="24"/>
  <c r="G31" i="25"/>
  <c r="G31" i="26"/>
  <c r="F31" i="15"/>
  <c r="F30" i="15"/>
  <c r="E27" i="15"/>
  <c r="D27" i="15"/>
  <c r="H26" i="15"/>
  <c r="G26" i="15"/>
  <c r="I26" i="15"/>
  <c r="F26" i="15"/>
  <c r="F25" i="15"/>
  <c r="E24" i="15"/>
  <c r="D24" i="15"/>
  <c r="F23" i="15"/>
  <c r="C16" i="15"/>
  <c r="E63" i="15"/>
  <c r="F65" i="15"/>
  <c r="F75" i="15"/>
  <c r="H42" i="15"/>
  <c r="I42" i="15"/>
  <c r="G77" i="15"/>
  <c r="I119" i="15"/>
  <c r="E76" i="15"/>
  <c r="F42" i="15"/>
  <c r="I30" i="15"/>
  <c r="F62" i="15"/>
  <c r="I99" i="15"/>
  <c r="I116" i="15"/>
  <c r="G118" i="15"/>
  <c r="G122" i="15"/>
  <c r="F63" i="17"/>
  <c r="H35" i="16"/>
  <c r="H37" i="16"/>
  <c r="H37" i="15"/>
  <c r="F32" i="16"/>
  <c r="I105" i="15"/>
  <c r="G40" i="15"/>
  <c r="F77" i="17"/>
  <c r="F106" i="17"/>
  <c r="F109" i="17"/>
  <c r="F112" i="17"/>
  <c r="F121" i="17"/>
  <c r="G62" i="16"/>
  <c r="G64" i="15"/>
  <c r="I23" i="15"/>
  <c r="F76" i="15"/>
  <c r="F27" i="15"/>
  <c r="F55" i="15"/>
  <c r="F58" i="15"/>
  <c r="E68" i="16"/>
  <c r="F103" i="16"/>
  <c r="F113" i="18"/>
  <c r="F121" i="18"/>
  <c r="H53" i="16"/>
  <c r="H53" i="17"/>
  <c r="H53" i="18"/>
  <c r="H59" i="15"/>
  <c r="I53" i="15"/>
  <c r="E124" i="18"/>
  <c r="F123" i="18"/>
  <c r="E64" i="17"/>
  <c r="F64" i="17"/>
  <c r="G114" i="15"/>
  <c r="H24" i="15"/>
  <c r="G104" i="16"/>
  <c r="G106" i="15"/>
  <c r="D124" i="16"/>
  <c r="F113" i="16"/>
  <c r="E34" i="16"/>
  <c r="F34" i="16"/>
  <c r="H23" i="17"/>
  <c r="H24" i="17"/>
  <c r="F32" i="18"/>
  <c r="D61" i="19"/>
  <c r="G27" i="15"/>
  <c r="F121" i="16"/>
  <c r="D41" i="17"/>
  <c r="F55" i="17"/>
  <c r="E115" i="17"/>
  <c r="F100" i="18"/>
  <c r="I26" i="19"/>
  <c r="D79" i="19"/>
  <c r="D124" i="19"/>
  <c r="E28" i="15"/>
  <c r="F40" i="15"/>
  <c r="F109" i="15"/>
  <c r="D79" i="16"/>
  <c r="E66" i="15"/>
  <c r="E67" i="15"/>
  <c r="F67" i="15"/>
  <c r="D79" i="18"/>
  <c r="F112" i="18"/>
  <c r="F100" i="19"/>
  <c r="F106" i="19"/>
  <c r="F112" i="19"/>
  <c r="F40" i="19"/>
  <c r="E45" i="20"/>
  <c r="F45" i="20"/>
  <c r="E69" i="15"/>
  <c r="F69" i="15"/>
  <c r="H63" i="15"/>
  <c r="H31" i="16"/>
  <c r="I31" i="15"/>
  <c r="H32" i="15"/>
  <c r="F60" i="15"/>
  <c r="E61" i="15"/>
  <c r="H72" i="15"/>
  <c r="H72" i="16"/>
  <c r="F72" i="15"/>
  <c r="E78" i="15"/>
  <c r="F78" i="15"/>
  <c r="D125" i="15"/>
  <c r="F113" i="15"/>
  <c r="F73" i="17"/>
  <c r="E64" i="15"/>
  <c r="F64" i="15"/>
  <c r="H54" i="16"/>
  <c r="H54" i="17"/>
  <c r="H54" i="18"/>
  <c r="H60" i="15"/>
  <c r="H100" i="15"/>
  <c r="H98" i="16"/>
  <c r="I98" i="15"/>
  <c r="H113" i="15"/>
  <c r="H104" i="16"/>
  <c r="H104" i="17"/>
  <c r="H106" i="15"/>
  <c r="I106" i="15"/>
  <c r="I104" i="15"/>
  <c r="H110" i="16"/>
  <c r="H112" i="15"/>
  <c r="I110" i="15"/>
  <c r="H119" i="16"/>
  <c r="H119" i="17"/>
  <c r="H121" i="15"/>
  <c r="H122" i="15"/>
  <c r="H125" i="15"/>
  <c r="I75" i="15"/>
  <c r="G120" i="16"/>
  <c r="G120" i="17"/>
  <c r="G120" i="18"/>
  <c r="D28" i="19"/>
  <c r="F24" i="19"/>
  <c r="E34" i="19"/>
  <c r="F34" i="19"/>
  <c r="F32" i="19"/>
  <c r="D34" i="17"/>
  <c r="F34" i="17"/>
  <c r="F32" i="17"/>
  <c r="F75" i="18"/>
  <c r="E76" i="18"/>
  <c r="F76" i="18"/>
  <c r="E66" i="18"/>
  <c r="D124" i="18"/>
  <c r="F122" i="18"/>
  <c r="F63" i="15"/>
  <c r="D115" i="15"/>
  <c r="E73" i="15"/>
  <c r="F73" i="15"/>
  <c r="G23" i="16"/>
  <c r="G23" i="17"/>
  <c r="I23" i="17"/>
  <c r="G24" i="15"/>
  <c r="G35" i="16"/>
  <c r="G37" i="15"/>
  <c r="I37" i="15"/>
  <c r="I35" i="15"/>
  <c r="G57" i="16"/>
  <c r="G57" i="17"/>
  <c r="G60" i="15"/>
  <c r="G110" i="16"/>
  <c r="G112" i="15"/>
  <c r="H33" i="16"/>
  <c r="I33" i="15"/>
  <c r="H44" i="16"/>
  <c r="I44" i="16"/>
  <c r="I44" i="15"/>
  <c r="E63" i="16"/>
  <c r="E78" i="16"/>
  <c r="E126" i="19"/>
  <c r="F126" i="19"/>
  <c r="F114" i="19"/>
  <c r="E115" i="19"/>
  <c r="E34" i="15"/>
  <c r="F34" i="15"/>
  <c r="F32" i="15"/>
  <c r="H57" i="16"/>
  <c r="H57" i="17"/>
  <c r="H58" i="15"/>
  <c r="H65" i="15"/>
  <c r="E68" i="15"/>
  <c r="H76" i="15"/>
  <c r="E41" i="16"/>
  <c r="F37" i="16"/>
  <c r="E28" i="16"/>
  <c r="E45" i="16"/>
  <c r="F24" i="16"/>
  <c r="F103" i="17"/>
  <c r="E124" i="17"/>
  <c r="F124" i="17"/>
  <c r="E125" i="17"/>
  <c r="F58" i="18"/>
  <c r="G98" i="16"/>
  <c r="I98" i="16"/>
  <c r="G100" i="15"/>
  <c r="G56" i="16"/>
  <c r="G56" i="17"/>
  <c r="I56" i="15"/>
  <c r="G58" i="15"/>
  <c r="G59" i="15"/>
  <c r="G65" i="16"/>
  <c r="G65" i="17"/>
  <c r="G65" i="18"/>
  <c r="G68" i="15"/>
  <c r="G74" i="16"/>
  <c r="G76" i="15"/>
  <c r="G119" i="16"/>
  <c r="G119" i="17"/>
  <c r="G121" i="15"/>
  <c r="I121" i="15"/>
  <c r="H62" i="16"/>
  <c r="I62" i="15"/>
  <c r="H99" i="16"/>
  <c r="I99" i="16"/>
  <c r="H114" i="15"/>
  <c r="I114" i="15"/>
  <c r="H111" i="16"/>
  <c r="I111" i="15"/>
  <c r="D70" i="16"/>
  <c r="D126" i="16"/>
  <c r="D127" i="16"/>
  <c r="D115" i="16"/>
  <c r="I116" i="16"/>
  <c r="F106" i="16"/>
  <c r="E115" i="16"/>
  <c r="F115" i="16"/>
  <c r="G91" i="16"/>
  <c r="F34" i="18"/>
  <c r="E78" i="18"/>
  <c r="F78" i="18"/>
  <c r="F106" i="18"/>
  <c r="D125" i="18"/>
  <c r="F125" i="18"/>
  <c r="F58" i="19"/>
  <c r="F103" i="19"/>
  <c r="F109" i="19"/>
  <c r="H61" i="15"/>
  <c r="F103" i="15"/>
  <c r="F112" i="15"/>
  <c r="H55" i="15"/>
  <c r="F41" i="16"/>
  <c r="G89" i="17"/>
  <c r="D61" i="17"/>
  <c r="F91" i="17"/>
  <c r="I26" i="18"/>
  <c r="D61" i="18"/>
  <c r="F61" i="18"/>
  <c r="F59" i="18"/>
  <c r="E126" i="18"/>
  <c r="E127" i="18"/>
  <c r="D41" i="19"/>
  <c r="F60" i="19"/>
  <c r="F118" i="19"/>
  <c r="F125" i="15"/>
  <c r="G58" i="16"/>
  <c r="H30" i="17"/>
  <c r="H32" i="16"/>
  <c r="D41" i="15"/>
  <c r="F41" i="15"/>
  <c r="F37" i="15"/>
  <c r="I40" i="15"/>
  <c r="I60" i="15"/>
  <c r="G61" i="15"/>
  <c r="I61" i="15"/>
  <c r="D61" i="15"/>
  <c r="F61" i="15"/>
  <c r="F59" i="15"/>
  <c r="F77" i="15"/>
  <c r="H64" i="15"/>
  <c r="I64" i="15"/>
  <c r="D28" i="15"/>
  <c r="F24" i="15"/>
  <c r="G41" i="15"/>
  <c r="E126" i="15"/>
  <c r="E127" i="15"/>
  <c r="F127" i="15"/>
  <c r="F114" i="15"/>
  <c r="E115" i="15"/>
  <c r="G123" i="15"/>
  <c r="I62" i="16"/>
  <c r="G35" i="17"/>
  <c r="G37" i="16"/>
  <c r="E67" i="19"/>
  <c r="F67" i="19"/>
  <c r="F66" i="19"/>
  <c r="H34" i="15"/>
  <c r="G25" i="17"/>
  <c r="G27" i="16"/>
  <c r="G71" i="17"/>
  <c r="G77" i="16"/>
  <c r="H53" i="19"/>
  <c r="F60" i="16"/>
  <c r="E61" i="16"/>
  <c r="F61" i="16"/>
  <c r="D126" i="15"/>
  <c r="D127" i="15"/>
  <c r="F123" i="15"/>
  <c r="D124" i="15"/>
  <c r="F124" i="15"/>
  <c r="G30" i="16"/>
  <c r="I30" i="16"/>
  <c r="G32" i="15"/>
  <c r="G34" i="15"/>
  <c r="G54" i="16"/>
  <c r="G55" i="16"/>
  <c r="I55" i="16"/>
  <c r="G55" i="15"/>
  <c r="I54" i="15"/>
  <c r="G63" i="16"/>
  <c r="G64" i="16"/>
  <c r="G69" i="15"/>
  <c r="G72" i="16"/>
  <c r="G78" i="15"/>
  <c r="G79" i="15"/>
  <c r="G101" i="16"/>
  <c r="I101" i="16"/>
  <c r="G103" i="15"/>
  <c r="I103" i="15"/>
  <c r="G113" i="15"/>
  <c r="G107" i="16"/>
  <c r="G109" i="15"/>
  <c r="I107" i="15"/>
  <c r="G117" i="17"/>
  <c r="G118" i="16"/>
  <c r="H25" i="16"/>
  <c r="H27" i="15"/>
  <c r="I25" i="15"/>
  <c r="H38" i="16"/>
  <c r="I38" i="15"/>
  <c r="I55" i="15"/>
  <c r="H71" i="16"/>
  <c r="I71" i="15"/>
  <c r="H77" i="15"/>
  <c r="H79" i="15"/>
  <c r="I79" i="15"/>
  <c r="H102" i="16"/>
  <c r="I102" i="15"/>
  <c r="H103" i="15"/>
  <c r="H108" i="16"/>
  <c r="H109" i="15"/>
  <c r="H117" i="16"/>
  <c r="H118" i="15"/>
  <c r="I118" i="15"/>
  <c r="H123" i="15"/>
  <c r="H126" i="15"/>
  <c r="I126" i="15"/>
  <c r="I117" i="15"/>
  <c r="H56" i="17"/>
  <c r="H59" i="17"/>
  <c r="H58" i="16"/>
  <c r="G62" i="17"/>
  <c r="H74" i="16"/>
  <c r="I74" i="15"/>
  <c r="G104" i="17"/>
  <c r="G106" i="16"/>
  <c r="E28" i="17"/>
  <c r="F27" i="17"/>
  <c r="D125" i="17"/>
  <c r="F113" i="17"/>
  <c r="D115" i="17"/>
  <c r="F115" i="17"/>
  <c r="H23" i="18"/>
  <c r="E41" i="18"/>
  <c r="F37" i="18"/>
  <c r="H31" i="17"/>
  <c r="I31" i="16"/>
  <c r="G98" i="17"/>
  <c r="G100" i="16"/>
  <c r="G67" i="17"/>
  <c r="G74" i="17"/>
  <c r="G76" i="16"/>
  <c r="H120" i="18"/>
  <c r="G40" i="16"/>
  <c r="F58" i="16"/>
  <c r="F77" i="16"/>
  <c r="H42" i="16"/>
  <c r="E68" i="17"/>
  <c r="F65" i="17"/>
  <c r="H44" i="17"/>
  <c r="G110" i="17"/>
  <c r="G112" i="16"/>
  <c r="H33" i="17"/>
  <c r="I33" i="16"/>
  <c r="H105" i="18"/>
  <c r="I105" i="17"/>
  <c r="I23" i="16"/>
  <c r="F76" i="16"/>
  <c r="F100" i="16"/>
  <c r="I105" i="16"/>
  <c r="H106" i="16"/>
  <c r="I110" i="16"/>
  <c r="F112" i="16"/>
  <c r="F118" i="16"/>
  <c r="I119" i="16"/>
  <c r="H43" i="17"/>
  <c r="I43" i="16"/>
  <c r="G67" i="15"/>
  <c r="G38" i="18"/>
  <c r="G38" i="19"/>
  <c r="G38" i="20"/>
  <c r="G38" i="21"/>
  <c r="G40" i="17"/>
  <c r="G53" i="17"/>
  <c r="I53" i="17"/>
  <c r="G114" i="16"/>
  <c r="G99" i="17"/>
  <c r="H35" i="17"/>
  <c r="I35" i="16"/>
  <c r="H101" i="18"/>
  <c r="H107" i="18"/>
  <c r="H116" i="17"/>
  <c r="D28" i="16"/>
  <c r="I53" i="16"/>
  <c r="I57" i="16"/>
  <c r="H59" i="16"/>
  <c r="F68" i="16"/>
  <c r="E125" i="16"/>
  <c r="E124" i="16"/>
  <c r="F124" i="16"/>
  <c r="F122" i="16"/>
  <c r="E66" i="16"/>
  <c r="E67" i="16"/>
  <c r="F67" i="16"/>
  <c r="H75" i="16"/>
  <c r="I75" i="16"/>
  <c r="F90" i="17"/>
  <c r="G90" i="16"/>
  <c r="F75" i="17"/>
  <c r="E66" i="17"/>
  <c r="E76" i="17"/>
  <c r="F76" i="17"/>
  <c r="E78" i="17"/>
  <c r="F68" i="18"/>
  <c r="F72" i="16"/>
  <c r="E73" i="16"/>
  <c r="F73" i="16"/>
  <c r="F114" i="16"/>
  <c r="G116" i="19"/>
  <c r="D45" i="17"/>
  <c r="D46" i="17"/>
  <c r="D47" i="17"/>
  <c r="F37" i="17"/>
  <c r="E41" i="17"/>
  <c r="F41" i="17"/>
  <c r="F59" i="17"/>
  <c r="E61" i="17"/>
  <c r="F118" i="17"/>
  <c r="H62" i="17"/>
  <c r="G91" i="17"/>
  <c r="F28" i="18"/>
  <c r="F91" i="18"/>
  <c r="F89" i="19"/>
  <c r="G89" i="18"/>
  <c r="F58" i="17"/>
  <c r="E126" i="17"/>
  <c r="F114" i="17"/>
  <c r="F124" i="18"/>
  <c r="D126" i="18"/>
  <c r="F126" i="18"/>
  <c r="F114" i="18"/>
  <c r="D115" i="18"/>
  <c r="F115" i="18"/>
  <c r="F61" i="19"/>
  <c r="F28" i="19"/>
  <c r="E78" i="19"/>
  <c r="F78" i="19"/>
  <c r="E63" i="19"/>
  <c r="E73" i="19"/>
  <c r="F73" i="19"/>
  <c r="E68" i="19"/>
  <c r="G89" i="16"/>
  <c r="F27" i="18"/>
  <c r="F55" i="19"/>
  <c r="D125" i="19"/>
  <c r="D127" i="19"/>
  <c r="D115" i="19"/>
  <c r="F115" i="19"/>
  <c r="E125" i="19"/>
  <c r="F113" i="19"/>
  <c r="E124" i="19"/>
  <c r="F124" i="19"/>
  <c r="F123" i="19"/>
  <c r="F59" i="19"/>
  <c r="F77" i="19"/>
  <c r="E41" i="19"/>
  <c r="F41" i="19"/>
  <c r="E69" i="20"/>
  <c r="F69" i="20"/>
  <c r="F66" i="20"/>
  <c r="F124" i="20"/>
  <c r="E67" i="20"/>
  <c r="F67" i="20"/>
  <c r="F61" i="20"/>
  <c r="F28" i="20"/>
  <c r="F63" i="20"/>
  <c r="F115" i="20"/>
  <c r="F126" i="20"/>
  <c r="E46" i="20"/>
  <c r="E79" i="20"/>
  <c r="F79" i="20"/>
  <c r="C155" i="20"/>
  <c r="H73" i="15"/>
  <c r="I73" i="15"/>
  <c r="F126" i="16"/>
  <c r="H41" i="15"/>
  <c r="H115" i="15"/>
  <c r="I59" i="15"/>
  <c r="H63" i="16"/>
  <c r="H64" i="16"/>
  <c r="E79" i="19"/>
  <c r="F79" i="19"/>
  <c r="G24" i="16"/>
  <c r="G28" i="16"/>
  <c r="G45" i="16"/>
  <c r="G46" i="16"/>
  <c r="G47" i="16"/>
  <c r="G70" i="15"/>
  <c r="H75" i="17"/>
  <c r="I106" i="16"/>
  <c r="H66" i="15"/>
  <c r="I66" i="15"/>
  <c r="F66" i="15"/>
  <c r="F61" i="17"/>
  <c r="G59" i="16"/>
  <c r="H99" i="17"/>
  <c r="I120" i="17"/>
  <c r="I56" i="16"/>
  <c r="I109" i="15"/>
  <c r="G123" i="16"/>
  <c r="G126" i="16"/>
  <c r="G113" i="16"/>
  <c r="I120" i="16"/>
  <c r="F115" i="15"/>
  <c r="I58" i="15"/>
  <c r="H98" i="17"/>
  <c r="H100" i="16"/>
  <c r="I100" i="16"/>
  <c r="H113" i="16"/>
  <c r="H69" i="15"/>
  <c r="I63" i="15"/>
  <c r="E70" i="20"/>
  <c r="F70" i="20"/>
  <c r="E79" i="18"/>
  <c r="F79" i="18"/>
  <c r="H55" i="16"/>
  <c r="H122" i="16"/>
  <c r="H55" i="17"/>
  <c r="G122" i="16"/>
  <c r="G67" i="16"/>
  <c r="G68" i="16"/>
  <c r="I58" i="16"/>
  <c r="E45" i="15"/>
  <c r="E46" i="15"/>
  <c r="E79" i="15"/>
  <c r="F79" i="15"/>
  <c r="H111" i="17"/>
  <c r="I111" i="16"/>
  <c r="I76" i="15"/>
  <c r="F78" i="16"/>
  <c r="E79" i="16"/>
  <c r="F79" i="16"/>
  <c r="D45" i="19"/>
  <c r="D46" i="19"/>
  <c r="D47" i="19"/>
  <c r="I112" i="15"/>
  <c r="I100" i="15"/>
  <c r="I72" i="15"/>
  <c r="H78" i="15"/>
  <c r="I104" i="16"/>
  <c r="I34" i="15"/>
  <c r="I65" i="15"/>
  <c r="H68" i="15"/>
  <c r="H65" i="16"/>
  <c r="H68" i="16"/>
  <c r="G24" i="17"/>
  <c r="G23" i="18"/>
  <c r="H121" i="16"/>
  <c r="H60" i="16"/>
  <c r="H61" i="16"/>
  <c r="G121" i="16"/>
  <c r="I121" i="16"/>
  <c r="I54" i="16"/>
  <c r="I32" i="15"/>
  <c r="F126" i="15"/>
  <c r="E70" i="15"/>
  <c r="F70" i="15"/>
  <c r="F68" i="15"/>
  <c r="F63" i="16"/>
  <c r="E64" i="16"/>
  <c r="F64" i="16"/>
  <c r="G28" i="15"/>
  <c r="G45" i="15"/>
  <c r="G46" i="15"/>
  <c r="G47" i="15"/>
  <c r="I24" i="15"/>
  <c r="F66" i="18"/>
  <c r="E67" i="18"/>
  <c r="F67" i="18"/>
  <c r="H110" i="17"/>
  <c r="H112" i="16"/>
  <c r="I112" i="16"/>
  <c r="G115" i="16"/>
  <c r="F68" i="19"/>
  <c r="G40" i="18"/>
  <c r="F68" i="17"/>
  <c r="H120" i="19"/>
  <c r="H31" i="18"/>
  <c r="I31" i="17"/>
  <c r="I59" i="16"/>
  <c r="I43" i="17"/>
  <c r="H43" i="18"/>
  <c r="I105" i="18"/>
  <c r="H105" i="19"/>
  <c r="H33" i="18"/>
  <c r="I33" i="17"/>
  <c r="H42" i="17"/>
  <c r="I42" i="16"/>
  <c r="H54" i="19"/>
  <c r="G74" i="18"/>
  <c r="G76" i="17"/>
  <c r="F41" i="18"/>
  <c r="E45" i="18"/>
  <c r="F28" i="17"/>
  <c r="E45" i="17"/>
  <c r="H74" i="17"/>
  <c r="I74" i="16"/>
  <c r="H76" i="16"/>
  <c r="I76" i="16"/>
  <c r="I123" i="15"/>
  <c r="H108" i="17"/>
  <c r="I108" i="16"/>
  <c r="H109" i="16"/>
  <c r="I77" i="15"/>
  <c r="I27" i="15"/>
  <c r="H28" i="15"/>
  <c r="G117" i="18"/>
  <c r="G123" i="17"/>
  <c r="G118" i="17"/>
  <c r="G115" i="15"/>
  <c r="I115" i="15"/>
  <c r="I113" i="15"/>
  <c r="G125" i="15"/>
  <c r="G72" i="17"/>
  <c r="G73" i="17"/>
  <c r="G78" i="16"/>
  <c r="H55" i="18"/>
  <c r="I24" i="16"/>
  <c r="G41" i="16"/>
  <c r="D45" i="15"/>
  <c r="D46" i="15"/>
  <c r="D47" i="15"/>
  <c r="F28" i="15"/>
  <c r="E127" i="19"/>
  <c r="F127" i="19"/>
  <c r="F125" i="19"/>
  <c r="I116" i="17"/>
  <c r="H116" i="18"/>
  <c r="H44" i="18"/>
  <c r="I44" i="17"/>
  <c r="H23" i="19"/>
  <c r="H24" i="18"/>
  <c r="F89" i="20"/>
  <c r="G89" i="20"/>
  <c r="G89" i="19"/>
  <c r="D127" i="18"/>
  <c r="F127" i="18"/>
  <c r="F90" i="18"/>
  <c r="G90" i="17"/>
  <c r="F28" i="16"/>
  <c r="D45" i="16"/>
  <c r="H35" i="18"/>
  <c r="H37" i="17"/>
  <c r="I35" i="17"/>
  <c r="G124" i="16"/>
  <c r="G100" i="17"/>
  <c r="G98" i="18"/>
  <c r="G73" i="16"/>
  <c r="G35" i="18"/>
  <c r="G37" i="17"/>
  <c r="G41" i="17"/>
  <c r="C155" i="15"/>
  <c r="H155" i="15"/>
  <c r="B155" i="16"/>
  <c r="H63" i="17"/>
  <c r="H64" i="17"/>
  <c r="I63" i="16"/>
  <c r="G62" i="18"/>
  <c r="G68" i="17"/>
  <c r="H102" i="17"/>
  <c r="H114" i="17"/>
  <c r="I114" i="17"/>
  <c r="I102" i="16"/>
  <c r="G107" i="17"/>
  <c r="G109" i="16"/>
  <c r="I107" i="16"/>
  <c r="G30" i="17"/>
  <c r="I30" i="17"/>
  <c r="G32" i="16"/>
  <c r="G34" i="16"/>
  <c r="I34" i="16"/>
  <c r="G71" i="18"/>
  <c r="G77" i="17"/>
  <c r="H30" i="18"/>
  <c r="H32" i="17"/>
  <c r="E69" i="19"/>
  <c r="F69" i="19"/>
  <c r="F63" i="19"/>
  <c r="H62" i="18"/>
  <c r="I62" i="17"/>
  <c r="G116" i="20"/>
  <c r="G116" i="21"/>
  <c r="G116" i="22"/>
  <c r="G116" i="23"/>
  <c r="H101" i="19"/>
  <c r="E45" i="19"/>
  <c r="E69" i="17"/>
  <c r="F69" i="17"/>
  <c r="E67" i="17"/>
  <c r="F67" i="17"/>
  <c r="F66" i="17"/>
  <c r="F66" i="16"/>
  <c r="H66" i="16"/>
  <c r="H69" i="16"/>
  <c r="I69" i="16"/>
  <c r="E69" i="16"/>
  <c r="F69" i="16"/>
  <c r="E127" i="16"/>
  <c r="F127" i="16"/>
  <c r="F125" i="16"/>
  <c r="H107" i="19"/>
  <c r="G53" i="18"/>
  <c r="G53" i="19"/>
  <c r="H103" i="16"/>
  <c r="I103" i="16"/>
  <c r="H114" i="16"/>
  <c r="G65" i="19"/>
  <c r="G67" i="18"/>
  <c r="H25" i="17"/>
  <c r="H27" i="16"/>
  <c r="I25" i="16"/>
  <c r="G54" i="17"/>
  <c r="G55" i="17"/>
  <c r="I55" i="17"/>
  <c r="G60" i="16"/>
  <c r="G61" i="16"/>
  <c r="E64" i="19"/>
  <c r="F64" i="19"/>
  <c r="F126" i="17"/>
  <c r="E127" i="17"/>
  <c r="F91" i="19"/>
  <c r="G91" i="18"/>
  <c r="F78" i="17"/>
  <c r="E79" i="17"/>
  <c r="F79" i="17"/>
  <c r="H72" i="17"/>
  <c r="H78" i="16"/>
  <c r="I78" i="16"/>
  <c r="I72" i="16"/>
  <c r="G99" i="18"/>
  <c r="G114" i="17"/>
  <c r="G126" i="17"/>
  <c r="H99" i="18"/>
  <c r="I99" i="17"/>
  <c r="G112" i="17"/>
  <c r="G110" i="18"/>
  <c r="I24" i="17"/>
  <c r="D127" i="17"/>
  <c r="F125" i="17"/>
  <c r="G104" i="18"/>
  <c r="G106" i="17"/>
  <c r="H56" i="18"/>
  <c r="I37" i="16"/>
  <c r="H123" i="16"/>
  <c r="I123" i="16"/>
  <c r="I117" i="16"/>
  <c r="H118" i="16"/>
  <c r="I118" i="16"/>
  <c r="H117" i="17"/>
  <c r="H118" i="17"/>
  <c r="I118" i="17"/>
  <c r="H71" i="17"/>
  <c r="H73" i="17"/>
  <c r="I73" i="17"/>
  <c r="I71" i="16"/>
  <c r="H77" i="16"/>
  <c r="H73" i="16"/>
  <c r="I73" i="16"/>
  <c r="H38" i="17"/>
  <c r="I38" i="17"/>
  <c r="H40" i="16"/>
  <c r="I38" i="16"/>
  <c r="G101" i="17"/>
  <c r="G113" i="17"/>
  <c r="G115" i="17"/>
  <c r="G103" i="16"/>
  <c r="G63" i="17"/>
  <c r="G64" i="17"/>
  <c r="G69" i="16"/>
  <c r="G70" i="16"/>
  <c r="H53" i="20"/>
  <c r="H53" i="21"/>
  <c r="H53" i="22"/>
  <c r="H53" i="23"/>
  <c r="H55" i="19"/>
  <c r="G79" i="16"/>
  <c r="G25" i="18"/>
  <c r="G27" i="17"/>
  <c r="G28" i="17"/>
  <c r="G45" i="17"/>
  <c r="G46" i="17"/>
  <c r="G126" i="15"/>
  <c r="G124" i="15"/>
  <c r="I69" i="15"/>
  <c r="I41" i="15"/>
  <c r="H34" i="16"/>
  <c r="E47" i="20"/>
  <c r="F47" i="20"/>
  <c r="F46" i="20"/>
  <c r="G125" i="16"/>
  <c r="G127" i="16"/>
  <c r="I75" i="17"/>
  <c r="H75" i="18"/>
  <c r="H67" i="15"/>
  <c r="I67" i="15"/>
  <c r="I122" i="16"/>
  <c r="H125" i="16"/>
  <c r="G23" i="19"/>
  <c r="G24" i="18"/>
  <c r="I24" i="18"/>
  <c r="F45" i="15"/>
  <c r="E70" i="19"/>
  <c r="F70" i="19"/>
  <c r="I65" i="16"/>
  <c r="H65" i="17"/>
  <c r="H111" i="18"/>
  <c r="I111" i="17"/>
  <c r="H98" i="18"/>
  <c r="I98" i="17"/>
  <c r="H100" i="17"/>
  <c r="I100" i="17"/>
  <c r="I110" i="17"/>
  <c r="H112" i="17"/>
  <c r="I112" i="17"/>
  <c r="H110" i="18"/>
  <c r="I78" i="15"/>
  <c r="F89" i="21"/>
  <c r="I23" i="18"/>
  <c r="I113" i="16"/>
  <c r="I68" i="15"/>
  <c r="H70" i="15"/>
  <c r="I70" i="15"/>
  <c r="G109" i="17"/>
  <c r="G107" i="18"/>
  <c r="I107" i="17"/>
  <c r="G74" i="19"/>
  <c r="G76" i="18"/>
  <c r="H31" i="19"/>
  <c r="I31" i="18"/>
  <c r="H40" i="17"/>
  <c r="I40" i="17"/>
  <c r="H77" i="17"/>
  <c r="H71" i="18"/>
  <c r="I71" i="17"/>
  <c r="H124" i="16"/>
  <c r="I124" i="16"/>
  <c r="F127" i="17"/>
  <c r="I27" i="16"/>
  <c r="H28" i="16"/>
  <c r="G65" i="20"/>
  <c r="G67" i="19"/>
  <c r="E70" i="16"/>
  <c r="F70" i="16"/>
  <c r="H34" i="17"/>
  <c r="G32" i="17"/>
  <c r="I32" i="17"/>
  <c r="G34" i="17"/>
  <c r="G35" i="19"/>
  <c r="G37" i="18"/>
  <c r="G41" i="18"/>
  <c r="I37" i="17"/>
  <c r="H44" i="19"/>
  <c r="I44" i="18"/>
  <c r="I125" i="15"/>
  <c r="G127" i="15"/>
  <c r="H108" i="18"/>
  <c r="I108" i="17"/>
  <c r="H109" i="17"/>
  <c r="I109" i="17"/>
  <c r="C155" i="17"/>
  <c r="E46" i="17"/>
  <c r="F45" i="17"/>
  <c r="H105" i="20"/>
  <c r="I105" i="19"/>
  <c r="H120" i="20"/>
  <c r="I40" i="16"/>
  <c r="H41" i="16"/>
  <c r="I41" i="16"/>
  <c r="F91" i="20"/>
  <c r="G91" i="19"/>
  <c r="H101" i="20"/>
  <c r="H101" i="21"/>
  <c r="H101" i="22"/>
  <c r="H101" i="23"/>
  <c r="G62" i="19"/>
  <c r="G68" i="18"/>
  <c r="H74" i="18"/>
  <c r="H76" i="17"/>
  <c r="I76" i="17"/>
  <c r="I74" i="17"/>
  <c r="H33" i="19"/>
  <c r="I33" i="18"/>
  <c r="G101" i="18"/>
  <c r="G103" i="17"/>
  <c r="I101" i="17"/>
  <c r="G99" i="19"/>
  <c r="G114" i="18"/>
  <c r="I72" i="17"/>
  <c r="H78" i="17"/>
  <c r="H72" i="18"/>
  <c r="H25" i="18"/>
  <c r="I25" i="17"/>
  <c r="H27" i="17"/>
  <c r="I53" i="18"/>
  <c r="H107" i="20"/>
  <c r="H107" i="21"/>
  <c r="H107" i="22"/>
  <c r="H107" i="23"/>
  <c r="I66" i="16"/>
  <c r="H67" i="16"/>
  <c r="I67" i="16"/>
  <c r="C155" i="19"/>
  <c r="E46" i="19"/>
  <c r="F45" i="19"/>
  <c r="H30" i="19"/>
  <c r="H32" i="18"/>
  <c r="H102" i="18"/>
  <c r="I102" i="17"/>
  <c r="H103" i="17"/>
  <c r="I63" i="17"/>
  <c r="G98" i="19"/>
  <c r="G100" i="18"/>
  <c r="H35" i="19"/>
  <c r="H37" i="18"/>
  <c r="I35" i="18"/>
  <c r="F90" i="19"/>
  <c r="G90" i="18"/>
  <c r="I60" i="16"/>
  <c r="H116" i="19"/>
  <c r="I116" i="18"/>
  <c r="G117" i="19"/>
  <c r="G123" i="18"/>
  <c r="G118" i="18"/>
  <c r="I42" i="17"/>
  <c r="H42" i="18"/>
  <c r="I61" i="16"/>
  <c r="G40" i="19"/>
  <c r="G25" i="19"/>
  <c r="G27" i="18"/>
  <c r="G28" i="18"/>
  <c r="G63" i="18"/>
  <c r="G69" i="17"/>
  <c r="H56" i="19"/>
  <c r="H59" i="18"/>
  <c r="I62" i="18"/>
  <c r="H62" i="19"/>
  <c r="G72" i="18"/>
  <c r="G73" i="18"/>
  <c r="G78" i="17"/>
  <c r="G79" i="17"/>
  <c r="H117" i="18"/>
  <c r="I117" i="17"/>
  <c r="H123" i="17"/>
  <c r="I123" i="17"/>
  <c r="I32" i="16"/>
  <c r="G47" i="17"/>
  <c r="H79" i="16"/>
  <c r="I79" i="16"/>
  <c r="I77" i="16"/>
  <c r="G104" i="19"/>
  <c r="G106" i="19"/>
  <c r="G106" i="18"/>
  <c r="G110" i="19"/>
  <c r="G112" i="18"/>
  <c r="H99" i="19"/>
  <c r="I99" i="18"/>
  <c r="G54" i="18"/>
  <c r="G55" i="18"/>
  <c r="I55" i="18"/>
  <c r="I54" i="17"/>
  <c r="H126" i="16"/>
  <c r="I114" i="16"/>
  <c r="H115" i="16"/>
  <c r="I115" i="16"/>
  <c r="H66" i="17"/>
  <c r="H69" i="17"/>
  <c r="I69" i="17"/>
  <c r="I64" i="17"/>
  <c r="G71" i="19"/>
  <c r="G77" i="18"/>
  <c r="G70" i="17"/>
  <c r="D46" i="16"/>
  <c r="F45" i="16"/>
  <c r="H23" i="20"/>
  <c r="H24" i="20"/>
  <c r="I24" i="20"/>
  <c r="H23" i="21"/>
  <c r="H23" i="22"/>
  <c r="H23" i="23"/>
  <c r="I23" i="19"/>
  <c r="H24" i="19"/>
  <c r="I28" i="15"/>
  <c r="H45" i="15"/>
  <c r="I109" i="16"/>
  <c r="C155" i="18"/>
  <c r="E46" i="18"/>
  <c r="H54" i="20"/>
  <c r="H55" i="20"/>
  <c r="H43" i="19"/>
  <c r="I43" i="18"/>
  <c r="E70" i="17"/>
  <c r="F70" i="17"/>
  <c r="G89" i="21"/>
  <c r="F89" i="22"/>
  <c r="I125" i="16"/>
  <c r="I75" i="18"/>
  <c r="H75" i="19"/>
  <c r="H110" i="19"/>
  <c r="I110" i="18"/>
  <c r="H112" i="18"/>
  <c r="I112" i="18"/>
  <c r="I98" i="18"/>
  <c r="H98" i="19"/>
  <c r="H100" i="18"/>
  <c r="I100" i="18"/>
  <c r="I78" i="17"/>
  <c r="G67" i="20"/>
  <c r="G65" i="21"/>
  <c r="H65" i="18"/>
  <c r="I65" i="17"/>
  <c r="H68" i="17"/>
  <c r="I68" i="17"/>
  <c r="G23" i="20"/>
  <c r="G24" i="19"/>
  <c r="I105" i="20"/>
  <c r="H105" i="21"/>
  <c r="H111" i="19"/>
  <c r="I111" i="18"/>
  <c r="H24" i="21"/>
  <c r="G40" i="20"/>
  <c r="G91" i="20"/>
  <c r="F91" i="21"/>
  <c r="H120" i="21"/>
  <c r="H120" i="22"/>
  <c r="H120" i="23"/>
  <c r="H43" i="20"/>
  <c r="I43" i="19"/>
  <c r="G72" i="19"/>
  <c r="G73" i="19"/>
  <c r="I73" i="19"/>
  <c r="G78" i="18"/>
  <c r="G79" i="18"/>
  <c r="I79" i="18"/>
  <c r="H102" i="19"/>
  <c r="I102" i="18"/>
  <c r="H103" i="18"/>
  <c r="E47" i="19"/>
  <c r="F47" i="19"/>
  <c r="F46" i="19"/>
  <c r="I27" i="17"/>
  <c r="H28" i="17"/>
  <c r="I77" i="17"/>
  <c r="H79" i="17"/>
  <c r="I79" i="17"/>
  <c r="G107" i="19"/>
  <c r="G109" i="18"/>
  <c r="I107" i="18"/>
  <c r="G104" i="20"/>
  <c r="H35" i="20"/>
  <c r="H35" i="21"/>
  <c r="I35" i="19"/>
  <c r="H37" i="19"/>
  <c r="H34" i="18"/>
  <c r="I44" i="19"/>
  <c r="H44" i="20"/>
  <c r="I34" i="17"/>
  <c r="E47" i="18"/>
  <c r="G25" i="20"/>
  <c r="G27" i="19"/>
  <c r="G28" i="19"/>
  <c r="H116" i="20"/>
  <c r="H116" i="21"/>
  <c r="I116" i="19"/>
  <c r="I37" i="18"/>
  <c r="H31" i="20"/>
  <c r="I31" i="19"/>
  <c r="I24" i="19"/>
  <c r="G71" i="20"/>
  <c r="G71" i="21"/>
  <c r="G71" i="22"/>
  <c r="G71" i="23"/>
  <c r="G77" i="19"/>
  <c r="I66" i="17"/>
  <c r="H66" i="18"/>
  <c r="H67" i="17"/>
  <c r="I67" i="17"/>
  <c r="G110" i="20"/>
  <c r="G112" i="19"/>
  <c r="G69" i="18"/>
  <c r="G70" i="18"/>
  <c r="G63" i="19"/>
  <c r="I42" i="18"/>
  <c r="H42" i="19"/>
  <c r="F90" i="20"/>
  <c r="G90" i="19"/>
  <c r="G113" i="18"/>
  <c r="I103" i="17"/>
  <c r="H30" i="20"/>
  <c r="H30" i="21"/>
  <c r="H30" i="22"/>
  <c r="H30" i="23"/>
  <c r="H32" i="19"/>
  <c r="G53" i="20"/>
  <c r="G53" i="21"/>
  <c r="G53" i="22"/>
  <c r="G53" i="23"/>
  <c r="I53" i="19"/>
  <c r="H25" i="19"/>
  <c r="H27" i="18"/>
  <c r="I25" i="18"/>
  <c r="G126" i="18"/>
  <c r="G101" i="19"/>
  <c r="G113" i="19"/>
  <c r="G103" i="18"/>
  <c r="I101" i="18"/>
  <c r="H74" i="19"/>
  <c r="H76" i="18"/>
  <c r="I76" i="18"/>
  <c r="I74" i="18"/>
  <c r="G64" i="18"/>
  <c r="F46" i="17"/>
  <c r="E47" i="17"/>
  <c r="F47" i="17"/>
  <c r="H108" i="19"/>
  <c r="I108" i="18"/>
  <c r="H109" i="18"/>
  <c r="I109" i="18"/>
  <c r="H71" i="19"/>
  <c r="H77" i="18"/>
  <c r="H73" i="18"/>
  <c r="I73" i="18"/>
  <c r="I71" i="18"/>
  <c r="G74" i="20"/>
  <c r="G76" i="19"/>
  <c r="I45" i="15"/>
  <c r="H46" i="15"/>
  <c r="I126" i="16"/>
  <c r="H127" i="16"/>
  <c r="I127" i="16"/>
  <c r="H99" i="20"/>
  <c r="H99" i="21"/>
  <c r="I99" i="19"/>
  <c r="H56" i="20"/>
  <c r="H56" i="21"/>
  <c r="H59" i="19"/>
  <c r="D47" i="16"/>
  <c r="G54" i="19"/>
  <c r="I54" i="18"/>
  <c r="H114" i="18"/>
  <c r="H117" i="19"/>
  <c r="H123" i="18"/>
  <c r="I123" i="18"/>
  <c r="I117" i="18"/>
  <c r="I62" i="19"/>
  <c r="H62" i="20"/>
  <c r="H62" i="21"/>
  <c r="H62" i="22"/>
  <c r="H100" i="19"/>
  <c r="G117" i="20"/>
  <c r="G117" i="21"/>
  <c r="G118" i="19"/>
  <c r="H118" i="18"/>
  <c r="I118" i="18"/>
  <c r="G98" i="20"/>
  <c r="G98" i="21"/>
  <c r="G100" i="19"/>
  <c r="I72" i="18"/>
  <c r="H78" i="18"/>
  <c r="I78" i="18"/>
  <c r="H72" i="19"/>
  <c r="G99" i="20"/>
  <c r="G114" i="19"/>
  <c r="H33" i="20"/>
  <c r="I33" i="19"/>
  <c r="G62" i="20"/>
  <c r="G62" i="21"/>
  <c r="G68" i="19"/>
  <c r="G64" i="19"/>
  <c r="H41" i="17"/>
  <c r="I41" i="17"/>
  <c r="G35" i="20"/>
  <c r="G37" i="19"/>
  <c r="G41" i="19"/>
  <c r="H45" i="16"/>
  <c r="I28" i="16"/>
  <c r="H126" i="17"/>
  <c r="I126" i="17"/>
  <c r="I53" i="22"/>
  <c r="G91" i="21"/>
  <c r="F91" i="22"/>
  <c r="F91" i="23"/>
  <c r="G91" i="22"/>
  <c r="G67" i="21"/>
  <c r="G65" i="22"/>
  <c r="G65" i="23"/>
  <c r="G67" i="22"/>
  <c r="I105" i="21"/>
  <c r="H105" i="22"/>
  <c r="H105" i="23"/>
  <c r="G40" i="21"/>
  <c r="G38" i="22"/>
  <c r="G38" i="23"/>
  <c r="I75" i="19"/>
  <c r="H75" i="20"/>
  <c r="G112" i="20"/>
  <c r="G110" i="21"/>
  <c r="I31" i="20"/>
  <c r="H31" i="21"/>
  <c r="I44" i="20"/>
  <c r="H44" i="21"/>
  <c r="I111" i="19"/>
  <c r="H111" i="20"/>
  <c r="G24" i="20"/>
  <c r="G23" i="21"/>
  <c r="G23" i="22"/>
  <c r="I98" i="19"/>
  <c r="H98" i="20"/>
  <c r="G114" i="20"/>
  <c r="G99" i="21"/>
  <c r="G76" i="20"/>
  <c r="G74" i="21"/>
  <c r="G90" i="20"/>
  <c r="F90" i="21"/>
  <c r="G106" i="20"/>
  <c r="G104" i="21"/>
  <c r="G104" i="22"/>
  <c r="G104" i="23"/>
  <c r="H110" i="20"/>
  <c r="H112" i="19"/>
  <c r="I112" i="19"/>
  <c r="I110" i="19"/>
  <c r="G37" i="20"/>
  <c r="G41" i="20"/>
  <c r="G35" i="21"/>
  <c r="I53" i="21"/>
  <c r="G27" i="20"/>
  <c r="G28" i="20"/>
  <c r="G25" i="21"/>
  <c r="I43" i="20"/>
  <c r="H43" i="21"/>
  <c r="I33" i="20"/>
  <c r="H33" i="21"/>
  <c r="I23" i="20"/>
  <c r="H65" i="19"/>
  <c r="I65" i="18"/>
  <c r="H68" i="18"/>
  <c r="I68" i="18"/>
  <c r="I116" i="20"/>
  <c r="G100" i="20"/>
  <c r="G118" i="20"/>
  <c r="H117" i="20"/>
  <c r="H117" i="21"/>
  <c r="H117" i="22"/>
  <c r="H117" i="23"/>
  <c r="H123" i="19"/>
  <c r="I117" i="19"/>
  <c r="G54" i="20"/>
  <c r="I54" i="19"/>
  <c r="G115" i="18"/>
  <c r="G63" i="20"/>
  <c r="G69" i="19"/>
  <c r="G70" i="19"/>
  <c r="I98" i="20"/>
  <c r="I66" i="18"/>
  <c r="H66" i="19"/>
  <c r="H67" i="18"/>
  <c r="I67" i="18"/>
  <c r="G77" i="20"/>
  <c r="H118" i="19"/>
  <c r="I118" i="19"/>
  <c r="I35" i="20"/>
  <c r="H37" i="20"/>
  <c r="I28" i="17"/>
  <c r="H45" i="17"/>
  <c r="I103" i="18"/>
  <c r="G72" i="20"/>
  <c r="G78" i="19"/>
  <c r="G79" i="19"/>
  <c r="H108" i="20"/>
  <c r="H108" i="21"/>
  <c r="H108" i="22"/>
  <c r="H108" i="23"/>
  <c r="I108" i="19"/>
  <c r="H109" i="19"/>
  <c r="I100" i="19"/>
  <c r="H114" i="19"/>
  <c r="H47" i="15"/>
  <c r="I47" i="15"/>
  <c r="I46" i="15"/>
  <c r="H79" i="18"/>
  <c r="I77" i="18"/>
  <c r="H74" i="20"/>
  <c r="H74" i="21"/>
  <c r="H76" i="19"/>
  <c r="I76" i="19"/>
  <c r="I74" i="19"/>
  <c r="I27" i="18"/>
  <c r="H28" i="18"/>
  <c r="G55" i="19"/>
  <c r="I55" i="19"/>
  <c r="H34" i="19"/>
  <c r="H42" i="20"/>
  <c r="H42" i="21"/>
  <c r="I42" i="19"/>
  <c r="H59" i="20"/>
  <c r="I99" i="20"/>
  <c r="H32" i="20"/>
  <c r="H100" i="20"/>
  <c r="I100" i="20"/>
  <c r="I45" i="16"/>
  <c r="H46" i="16"/>
  <c r="G68" i="20"/>
  <c r="H78" i="19"/>
  <c r="I72" i="19"/>
  <c r="H72" i="20"/>
  <c r="H72" i="21"/>
  <c r="I62" i="20"/>
  <c r="I114" i="18"/>
  <c r="H126" i="18"/>
  <c r="I126" i="18"/>
  <c r="H71" i="20"/>
  <c r="H71" i="21"/>
  <c r="H71" i="22"/>
  <c r="H73" i="19"/>
  <c r="I71" i="19"/>
  <c r="H77" i="19"/>
  <c r="G101" i="20"/>
  <c r="G103" i="19"/>
  <c r="I101" i="19"/>
  <c r="H25" i="20"/>
  <c r="H25" i="21"/>
  <c r="I25" i="19"/>
  <c r="H27" i="19"/>
  <c r="I53" i="20"/>
  <c r="I37" i="19"/>
  <c r="I110" i="20"/>
  <c r="G107" i="20"/>
  <c r="G107" i="21"/>
  <c r="G109" i="19"/>
  <c r="I107" i="19"/>
  <c r="H102" i="20"/>
  <c r="I102" i="19"/>
  <c r="H103" i="19"/>
  <c r="G90" i="21"/>
  <c r="F90" i="22"/>
  <c r="F90" i="23"/>
  <c r="G90" i="22"/>
  <c r="G114" i="21"/>
  <c r="G99" i="22"/>
  <c r="G99" i="23"/>
  <c r="I31" i="21"/>
  <c r="H31" i="22"/>
  <c r="H31" i="23"/>
  <c r="H75" i="21"/>
  <c r="I75" i="20"/>
  <c r="I43" i="21"/>
  <c r="H43" i="22"/>
  <c r="H43" i="23"/>
  <c r="I43" i="22"/>
  <c r="G106" i="22"/>
  <c r="I105" i="22"/>
  <c r="I33" i="21"/>
  <c r="H33" i="22"/>
  <c r="H33" i="23"/>
  <c r="I33" i="22"/>
  <c r="G27" i="21"/>
  <c r="G25" i="22"/>
  <c r="G25" i="23"/>
  <c r="G37" i="21"/>
  <c r="G41" i="21"/>
  <c r="G35" i="22"/>
  <c r="G35" i="23"/>
  <c r="G76" i="21"/>
  <c r="G74" i="22"/>
  <c r="G74" i="23"/>
  <c r="I44" i="21"/>
  <c r="H44" i="22"/>
  <c r="H44" i="23"/>
  <c r="I44" i="22"/>
  <c r="G112" i="21"/>
  <c r="G110" i="22"/>
  <c r="G110" i="23"/>
  <c r="G112" i="22"/>
  <c r="I108" i="22"/>
  <c r="I65" i="19"/>
  <c r="H65" i="20"/>
  <c r="H68" i="19"/>
  <c r="I68" i="19"/>
  <c r="H110" i="21"/>
  <c r="H110" i="22"/>
  <c r="H112" i="20"/>
  <c r="I112" i="20"/>
  <c r="G24" i="21"/>
  <c r="I23" i="21"/>
  <c r="H114" i="20"/>
  <c r="H102" i="21"/>
  <c r="H102" i="22"/>
  <c r="H102" i="23"/>
  <c r="I42" i="20"/>
  <c r="I108" i="21"/>
  <c r="H109" i="21"/>
  <c r="G69" i="20"/>
  <c r="G70" i="20"/>
  <c r="G63" i="21"/>
  <c r="G63" i="22"/>
  <c r="G63" i="23"/>
  <c r="H123" i="21"/>
  <c r="G106" i="21"/>
  <c r="H98" i="21"/>
  <c r="H98" i="22"/>
  <c r="H98" i="23"/>
  <c r="G55" i="20"/>
  <c r="I55" i="20"/>
  <c r="G54" i="21"/>
  <c r="G54" i="22"/>
  <c r="G54" i="23"/>
  <c r="G77" i="21"/>
  <c r="I111" i="20"/>
  <c r="H111" i="21"/>
  <c r="I103" i="19"/>
  <c r="G113" i="20"/>
  <c r="G115" i="20"/>
  <c r="G101" i="21"/>
  <c r="G101" i="22"/>
  <c r="I71" i="21"/>
  <c r="G78" i="20"/>
  <c r="G79" i="20"/>
  <c r="G72" i="21"/>
  <c r="G72" i="22"/>
  <c r="H32" i="21"/>
  <c r="I114" i="20"/>
  <c r="G109" i="20"/>
  <c r="H27" i="20"/>
  <c r="I25" i="20"/>
  <c r="I71" i="20"/>
  <c r="H77" i="20"/>
  <c r="I78" i="19"/>
  <c r="G64" i="20"/>
  <c r="I109" i="19"/>
  <c r="I54" i="20"/>
  <c r="H34" i="20"/>
  <c r="H126" i="19"/>
  <c r="I114" i="19"/>
  <c r="I66" i="19"/>
  <c r="H66" i="20"/>
  <c r="H67" i="19"/>
  <c r="I67" i="19"/>
  <c r="G103" i="20"/>
  <c r="I101" i="20"/>
  <c r="I46" i="16"/>
  <c r="H47" i="16"/>
  <c r="I47" i="16"/>
  <c r="I102" i="20"/>
  <c r="H103" i="20"/>
  <c r="I77" i="19"/>
  <c r="H79" i="19"/>
  <c r="I79" i="19"/>
  <c r="I27" i="19"/>
  <c r="H28" i="19"/>
  <c r="H78" i="20"/>
  <c r="I72" i="20"/>
  <c r="I28" i="18"/>
  <c r="H76" i="20"/>
  <c r="I76" i="20"/>
  <c r="I74" i="20"/>
  <c r="I108" i="20"/>
  <c r="H109" i="20"/>
  <c r="H46" i="17"/>
  <c r="I46" i="17"/>
  <c r="I45" i="17"/>
  <c r="I37" i="20"/>
  <c r="G73" i="20"/>
  <c r="I117" i="20"/>
  <c r="H123" i="20"/>
  <c r="H118" i="20"/>
  <c r="I118" i="20"/>
  <c r="I31" i="22"/>
  <c r="H32" i="22"/>
  <c r="G114" i="22"/>
  <c r="I111" i="21"/>
  <c r="H111" i="22"/>
  <c r="H111" i="23"/>
  <c r="G55" i="22"/>
  <c r="G69" i="22"/>
  <c r="G76" i="22"/>
  <c r="G77" i="22"/>
  <c r="I102" i="22"/>
  <c r="H103" i="22"/>
  <c r="G37" i="22"/>
  <c r="I75" i="21"/>
  <c r="H75" i="22"/>
  <c r="G28" i="21"/>
  <c r="I24" i="21"/>
  <c r="H65" i="21"/>
  <c r="H65" i="22"/>
  <c r="I65" i="20"/>
  <c r="H68" i="20"/>
  <c r="I68" i="20"/>
  <c r="G103" i="21"/>
  <c r="I101" i="21"/>
  <c r="G55" i="21"/>
  <c r="I102" i="21"/>
  <c r="H103" i="21"/>
  <c r="H114" i="21"/>
  <c r="G69" i="21"/>
  <c r="H34" i="21"/>
  <c r="I110" i="21"/>
  <c r="H112" i="21"/>
  <c r="I112" i="21"/>
  <c r="I78" i="20"/>
  <c r="G78" i="21"/>
  <c r="G79" i="21"/>
  <c r="G73" i="21"/>
  <c r="I109" i="20"/>
  <c r="H47" i="17"/>
  <c r="I47" i="17"/>
  <c r="I28" i="19"/>
  <c r="I103" i="20"/>
  <c r="I27" i="20"/>
  <c r="H28" i="20"/>
  <c r="I28" i="20"/>
  <c r="I66" i="20"/>
  <c r="H67" i="20"/>
  <c r="I67" i="20"/>
  <c r="I77" i="20"/>
  <c r="H79" i="20"/>
  <c r="I79" i="20"/>
  <c r="H126" i="20"/>
  <c r="I75" i="22"/>
  <c r="I65" i="22"/>
  <c r="H68" i="22"/>
  <c r="H34" i="22"/>
  <c r="I114" i="21"/>
  <c r="H126" i="21"/>
  <c r="I103" i="21"/>
  <c r="I65" i="21"/>
  <c r="H68" i="21"/>
  <c r="I46" i="28"/>
  <c r="H47" i="28"/>
  <c r="I47" i="28"/>
  <c r="G126" i="27"/>
  <c r="I112" i="27"/>
  <c r="I109" i="27"/>
  <c r="G79" i="27"/>
  <c r="I41" i="27"/>
  <c r="F126" i="27"/>
  <c r="F124" i="27"/>
  <c r="I114" i="27"/>
  <c r="F61" i="27"/>
  <c r="I55" i="27"/>
  <c r="E67" i="27"/>
  <c r="F67" i="27"/>
  <c r="I66" i="27"/>
  <c r="H76" i="27"/>
  <c r="I76" i="27"/>
  <c r="I113" i="27"/>
  <c r="H125" i="27"/>
  <c r="H115" i="27"/>
  <c r="I68" i="27"/>
  <c r="H73" i="27"/>
  <c r="I73" i="27"/>
  <c r="I72" i="27"/>
  <c r="H78" i="27"/>
  <c r="I78" i="27"/>
  <c r="G125" i="27"/>
  <c r="G127" i="27"/>
  <c r="G115" i="27"/>
  <c r="I77" i="27"/>
  <c r="E45" i="27"/>
  <c r="F28" i="27"/>
  <c r="I59" i="27"/>
  <c r="H61" i="27"/>
  <c r="I61" i="27"/>
  <c r="H34" i="27"/>
  <c r="I34" i="27"/>
  <c r="I32" i="27"/>
  <c r="I123" i="27"/>
  <c r="H126" i="27"/>
  <c r="H124" i="27"/>
  <c r="I124" i="27"/>
  <c r="G70" i="27"/>
  <c r="E127" i="27"/>
  <c r="F127" i="27"/>
  <c r="E79" i="27"/>
  <c r="F79" i="27"/>
  <c r="E69" i="27"/>
  <c r="E64" i="27"/>
  <c r="F64" i="27"/>
  <c r="F63" i="27"/>
  <c r="H28" i="27"/>
  <c r="G72" i="23"/>
  <c r="G78" i="22"/>
  <c r="G79" i="22"/>
  <c r="G73" i="22"/>
  <c r="G101" i="23"/>
  <c r="G103" i="22"/>
  <c r="I103" i="22"/>
  <c r="I101" i="22"/>
  <c r="I107" i="21"/>
  <c r="G107" i="22"/>
  <c r="G109" i="21"/>
  <c r="I109" i="21"/>
  <c r="H42" i="22"/>
  <c r="I42" i="22"/>
  <c r="I42" i="21"/>
  <c r="G115" i="19"/>
  <c r="I62" i="21"/>
  <c r="G62" i="22"/>
  <c r="G68" i="21"/>
  <c r="G64" i="21"/>
  <c r="H71" i="23"/>
  <c r="H77" i="22"/>
  <c r="I71" i="22"/>
  <c r="H74" i="22"/>
  <c r="H76" i="21"/>
  <c r="I76" i="21"/>
  <c r="H77" i="21"/>
  <c r="I74" i="21"/>
  <c r="G23" i="23"/>
  <c r="I23" i="22"/>
  <c r="G24" i="22"/>
  <c r="G117" i="22"/>
  <c r="G118" i="21"/>
  <c r="I117" i="21"/>
  <c r="H118" i="21"/>
  <c r="I116" i="21"/>
  <c r="H116" i="22"/>
  <c r="H110" i="23"/>
  <c r="H112" i="22"/>
  <c r="I112" i="22"/>
  <c r="I110" i="22"/>
  <c r="H25" i="22"/>
  <c r="H27" i="21"/>
  <c r="I25" i="21"/>
  <c r="I72" i="21"/>
  <c r="H72" i="22"/>
  <c r="H78" i="21"/>
  <c r="I78" i="21"/>
  <c r="G98" i="22"/>
  <c r="G100" i="21"/>
  <c r="G113" i="21"/>
  <c r="I98" i="21"/>
  <c r="I62" i="22"/>
  <c r="H56" i="22"/>
  <c r="H59" i="21"/>
  <c r="H99" i="22"/>
  <c r="I99" i="21"/>
  <c r="H100" i="21"/>
  <c r="I100" i="21"/>
  <c r="H35" i="22"/>
  <c r="H37" i="21"/>
  <c r="I35" i="21"/>
  <c r="G110" i="24"/>
  <c r="G112" i="23"/>
  <c r="G27" i="22"/>
  <c r="H33" i="24"/>
  <c r="I33" i="23"/>
  <c r="H43" i="24"/>
  <c r="I43" i="23"/>
  <c r="H123" i="22"/>
  <c r="F90" i="24"/>
  <c r="G90" i="23"/>
  <c r="G40" i="22"/>
  <c r="G41" i="22"/>
  <c r="G67" i="23"/>
  <c r="G65" i="24"/>
  <c r="H54" i="21"/>
  <c r="H24" i="22"/>
  <c r="I64" i="16"/>
  <c r="I57" i="17"/>
  <c r="H58" i="17"/>
  <c r="H60" i="17"/>
  <c r="H57" i="18"/>
  <c r="I120" i="18"/>
  <c r="G120" i="19"/>
  <c r="H104" i="18"/>
  <c r="H106" i="17"/>
  <c r="I106" i="17"/>
  <c r="I104" i="17"/>
  <c r="H113" i="17"/>
  <c r="I111" i="22"/>
  <c r="H73" i="20"/>
  <c r="I73" i="20"/>
  <c r="I107" i="20"/>
  <c r="H73" i="21"/>
  <c r="I73" i="21"/>
  <c r="H109" i="22"/>
  <c r="G76" i="23"/>
  <c r="G74" i="24"/>
  <c r="G27" i="23"/>
  <c r="G25" i="24"/>
  <c r="H31" i="24"/>
  <c r="I31" i="23"/>
  <c r="G99" i="24"/>
  <c r="G114" i="23"/>
  <c r="G38" i="24"/>
  <c r="G40" i="23"/>
  <c r="H105" i="24"/>
  <c r="I105" i="23"/>
  <c r="H70" i="17"/>
  <c r="I70" i="17"/>
  <c r="H107" i="24"/>
  <c r="H109" i="23"/>
  <c r="H101" i="24"/>
  <c r="H103" i="23"/>
  <c r="I101" i="23"/>
  <c r="G121" i="17"/>
  <c r="G119" i="18"/>
  <c r="G122" i="17"/>
  <c r="C155" i="16"/>
  <c r="H155" i="16"/>
  <c r="B155" i="17"/>
  <c r="H155" i="17"/>
  <c r="B155" i="18"/>
  <c r="H155" i="18"/>
  <c r="B155" i="19"/>
  <c r="H155" i="19"/>
  <c r="B155" i="20"/>
  <c r="H155" i="20"/>
  <c r="B155" i="21"/>
  <c r="E46" i="16"/>
  <c r="H121" i="17"/>
  <c r="H122" i="17"/>
  <c r="I119" i="17"/>
  <c r="H119" i="18"/>
  <c r="H111" i="24"/>
  <c r="I111" i="23"/>
  <c r="G63" i="24"/>
  <c r="G69" i="23"/>
  <c r="H102" i="24"/>
  <c r="I102" i="23"/>
  <c r="H108" i="24"/>
  <c r="I108" i="23"/>
  <c r="H117" i="24"/>
  <c r="H123" i="23"/>
  <c r="G104" i="24"/>
  <c r="G106" i="23"/>
  <c r="G53" i="24"/>
  <c r="G55" i="23"/>
  <c r="H30" i="24"/>
  <c r="H32" i="23"/>
  <c r="G71" i="24"/>
  <c r="G77" i="23"/>
  <c r="G73" i="23"/>
  <c r="F89" i="23"/>
  <c r="G89" i="22"/>
  <c r="H23" i="24"/>
  <c r="H24" i="23"/>
  <c r="I23" i="23"/>
  <c r="G54" i="24"/>
  <c r="H98" i="24"/>
  <c r="I44" i="23"/>
  <c r="H44" i="24"/>
  <c r="G35" i="24"/>
  <c r="G37" i="23"/>
  <c r="F91" i="24"/>
  <c r="G91" i="23"/>
  <c r="H120" i="24"/>
  <c r="I68" i="16"/>
  <c r="H70" i="16"/>
  <c r="I70" i="16"/>
  <c r="E47" i="15"/>
  <c r="F47" i="15"/>
  <c r="F46" i="15"/>
  <c r="G56" i="18"/>
  <c r="G58" i="17"/>
  <c r="G59" i="17"/>
  <c r="I56" i="17"/>
  <c r="G57" i="18"/>
  <c r="G60" i="17"/>
  <c r="H127" i="15"/>
  <c r="I127" i="15"/>
  <c r="G30" i="18"/>
  <c r="H38" i="18"/>
  <c r="H124" i="15"/>
  <c r="I124" i="15"/>
  <c r="E127" i="20"/>
  <c r="F127" i="20"/>
  <c r="F125" i="20"/>
  <c r="F41" i="21"/>
  <c r="D45" i="22"/>
  <c r="D46" i="22"/>
  <c r="D47" i="22"/>
  <c r="F41" i="22"/>
  <c r="I122" i="15"/>
  <c r="D45" i="18"/>
  <c r="F125" i="21"/>
  <c r="E127" i="21"/>
  <c r="F127" i="21"/>
  <c r="H53" i="24"/>
  <c r="I53" i="23"/>
  <c r="G116" i="24"/>
  <c r="F32" i="21"/>
  <c r="E34" i="21"/>
  <c r="F34" i="21"/>
  <c r="F125" i="22"/>
  <c r="E127" i="22"/>
  <c r="F127" i="22"/>
  <c r="F62" i="18"/>
  <c r="E63" i="18"/>
  <c r="E45" i="22"/>
  <c r="F30" i="21"/>
  <c r="E69" i="22"/>
  <c r="E115" i="22"/>
  <c r="F113" i="22"/>
  <c r="F37" i="22"/>
  <c r="F63" i="23"/>
  <c r="H65" i="23"/>
  <c r="H75" i="23"/>
  <c r="F125" i="24"/>
  <c r="F40" i="18"/>
  <c r="F24" i="18"/>
  <c r="F62" i="20"/>
  <c r="F113" i="20"/>
  <c r="E28" i="21"/>
  <c r="F113" i="21"/>
  <c r="F37" i="21"/>
  <c r="E66" i="21"/>
  <c r="D115" i="22"/>
  <c r="E45" i="23"/>
  <c r="F28" i="23"/>
  <c r="F122" i="15"/>
  <c r="H42" i="23"/>
  <c r="I42" i="23"/>
  <c r="E127" i="23"/>
  <c r="F127" i="23"/>
  <c r="E64" i="23"/>
  <c r="F64" i="23"/>
  <c r="E124" i="23"/>
  <c r="F124" i="23"/>
  <c r="E78" i="23"/>
  <c r="F65" i="23"/>
  <c r="H62" i="23"/>
  <c r="H72" i="23"/>
  <c r="D79" i="24"/>
  <c r="F79" i="24"/>
  <c r="E28" i="24"/>
  <c r="F32" i="24"/>
  <c r="E126" i="24"/>
  <c r="F126" i="24"/>
  <c r="E115" i="23"/>
  <c r="F115" i="23"/>
  <c r="E73" i="23"/>
  <c r="F73" i="23"/>
  <c r="F113" i="23"/>
  <c r="F75" i="23"/>
  <c r="F42" i="23"/>
  <c r="E66" i="23"/>
  <c r="E115" i="24"/>
  <c r="F115" i="24"/>
  <c r="F37" i="24"/>
  <c r="D45" i="24"/>
  <c r="D46" i="24"/>
  <c r="D47" i="24"/>
  <c r="D61" i="24"/>
  <c r="E68" i="24"/>
  <c r="H62" i="24"/>
  <c r="H65" i="24"/>
  <c r="E124" i="24"/>
  <c r="F124" i="24"/>
  <c r="D45" i="25"/>
  <c r="H42" i="24"/>
  <c r="I42" i="24"/>
  <c r="F61" i="24"/>
  <c r="F123" i="24"/>
  <c r="E46" i="25"/>
  <c r="F60" i="25"/>
  <c r="F32" i="25"/>
  <c r="F69" i="25"/>
  <c r="F70" i="25"/>
  <c r="H65" i="25"/>
  <c r="F127" i="25"/>
  <c r="D41" i="26"/>
  <c r="F41" i="26"/>
  <c r="D28" i="26"/>
  <c r="F58" i="26"/>
  <c r="F62" i="26"/>
  <c r="E68" i="26"/>
  <c r="E64" i="26"/>
  <c r="F64" i="26"/>
  <c r="F76" i="26"/>
  <c r="D79" i="26"/>
  <c r="F77" i="26"/>
  <c r="F106" i="26"/>
  <c r="E115" i="26"/>
  <c r="F115" i="26"/>
  <c r="F114" i="26"/>
  <c r="E126" i="26"/>
  <c r="E46" i="26"/>
  <c r="F114" i="25"/>
  <c r="F126" i="25"/>
  <c r="D61" i="26"/>
  <c r="F61" i="26"/>
  <c r="F59" i="26"/>
  <c r="E67" i="26"/>
  <c r="F67" i="26"/>
  <c r="F66" i="26"/>
  <c r="F112" i="26"/>
  <c r="F118" i="26"/>
  <c r="F68" i="25"/>
  <c r="D125" i="26"/>
  <c r="D115" i="26"/>
  <c r="F113" i="26"/>
  <c r="E127" i="26"/>
  <c r="F125" i="26"/>
  <c r="D126" i="26"/>
  <c r="F123" i="26"/>
  <c r="E78" i="26"/>
  <c r="I126" i="27"/>
  <c r="I115" i="27"/>
  <c r="H67" i="27"/>
  <c r="I67" i="27"/>
  <c r="H79" i="27"/>
  <c r="I79" i="27"/>
  <c r="F69" i="27"/>
  <c r="E70" i="27"/>
  <c r="F70" i="27"/>
  <c r="I125" i="27"/>
  <c r="H127" i="27"/>
  <c r="I127" i="27"/>
  <c r="H45" i="27"/>
  <c r="I28" i="27"/>
  <c r="I63" i="27"/>
  <c r="H69" i="27"/>
  <c r="H64" i="27"/>
  <c r="I64" i="27"/>
  <c r="C155" i="27"/>
  <c r="H155" i="27"/>
  <c r="F45" i="27"/>
  <c r="E46" i="27"/>
  <c r="E47" i="26"/>
  <c r="H42" i="25"/>
  <c r="E47" i="25"/>
  <c r="F46" i="25"/>
  <c r="F45" i="25"/>
  <c r="D46" i="25"/>
  <c r="D47" i="25"/>
  <c r="E70" i="24"/>
  <c r="F70" i="24"/>
  <c r="F68" i="24"/>
  <c r="H68" i="23"/>
  <c r="E67" i="21"/>
  <c r="F67" i="21"/>
  <c r="F66" i="21"/>
  <c r="H66" i="21"/>
  <c r="I65" i="23"/>
  <c r="F45" i="22"/>
  <c r="C155" i="22"/>
  <c r="E46" i="22"/>
  <c r="E69" i="21"/>
  <c r="H120" i="25"/>
  <c r="G35" i="25"/>
  <c r="G37" i="24"/>
  <c r="G54" i="25"/>
  <c r="H23" i="25"/>
  <c r="H24" i="24"/>
  <c r="H30" i="25"/>
  <c r="H32" i="24"/>
  <c r="H117" i="25"/>
  <c r="H123" i="24"/>
  <c r="H102" i="25"/>
  <c r="I102" i="24"/>
  <c r="H111" i="25"/>
  <c r="I111" i="24"/>
  <c r="I121" i="17"/>
  <c r="G119" i="19"/>
  <c r="G122" i="18"/>
  <c r="G121" i="18"/>
  <c r="H107" i="25"/>
  <c r="H109" i="24"/>
  <c r="G25" i="25"/>
  <c r="G27" i="24"/>
  <c r="H60" i="18"/>
  <c r="H57" i="19"/>
  <c r="I57" i="18"/>
  <c r="H58" i="18"/>
  <c r="H54" i="22"/>
  <c r="H55" i="21"/>
  <c r="I55" i="21"/>
  <c r="I54" i="21"/>
  <c r="H33" i="25"/>
  <c r="I33" i="24"/>
  <c r="I37" i="21"/>
  <c r="G115" i="21"/>
  <c r="H71" i="24"/>
  <c r="H73" i="23"/>
  <c r="I73" i="23"/>
  <c r="I71" i="23"/>
  <c r="G101" i="24"/>
  <c r="G103" i="23"/>
  <c r="I103" i="23"/>
  <c r="D127" i="26"/>
  <c r="F126" i="26"/>
  <c r="F66" i="23"/>
  <c r="E69" i="23"/>
  <c r="E45" i="24"/>
  <c r="F28" i="24"/>
  <c r="E67" i="23"/>
  <c r="F67" i="23"/>
  <c r="E127" i="24"/>
  <c r="F127" i="24"/>
  <c r="F115" i="22"/>
  <c r="F63" i="18"/>
  <c r="E64" i="18"/>
  <c r="F64" i="18"/>
  <c r="H63" i="18"/>
  <c r="E69" i="18"/>
  <c r="H40" i="18"/>
  <c r="I38" i="18"/>
  <c r="H38" i="19"/>
  <c r="I59" i="17"/>
  <c r="G61" i="17"/>
  <c r="H44" i="25"/>
  <c r="I44" i="24"/>
  <c r="G71" i="25"/>
  <c r="G77" i="24"/>
  <c r="G104" i="25"/>
  <c r="G106" i="24"/>
  <c r="H119" i="19"/>
  <c r="I119" i="18"/>
  <c r="H121" i="18"/>
  <c r="I121" i="18"/>
  <c r="H122" i="18"/>
  <c r="E47" i="16"/>
  <c r="F47" i="16"/>
  <c r="F46" i="16"/>
  <c r="H101" i="25"/>
  <c r="I101" i="24"/>
  <c r="H103" i="24"/>
  <c r="H105" i="25"/>
  <c r="I105" i="24"/>
  <c r="G99" i="25"/>
  <c r="G114" i="24"/>
  <c r="I104" i="18"/>
  <c r="H104" i="19"/>
  <c r="H106" i="18"/>
  <c r="I106" i="18"/>
  <c r="H113" i="18"/>
  <c r="H61" i="17"/>
  <c r="I61" i="17"/>
  <c r="I60" i="17"/>
  <c r="H35" i="23"/>
  <c r="H37" i="22"/>
  <c r="I35" i="22"/>
  <c r="H99" i="23"/>
  <c r="I99" i="22"/>
  <c r="H100" i="22"/>
  <c r="H114" i="22"/>
  <c r="H116" i="23"/>
  <c r="H118" i="22"/>
  <c r="I116" i="22"/>
  <c r="G28" i="22"/>
  <c r="I77" i="21"/>
  <c r="H79" i="21"/>
  <c r="I79" i="21"/>
  <c r="G107" i="23"/>
  <c r="G109" i="22"/>
  <c r="I109" i="22"/>
  <c r="I107" i="22"/>
  <c r="F127" i="26"/>
  <c r="E70" i="26"/>
  <c r="F70" i="26"/>
  <c r="F68" i="26"/>
  <c r="D45" i="26"/>
  <c r="F28" i="26"/>
  <c r="I65" i="24"/>
  <c r="E46" i="23"/>
  <c r="C155" i="23"/>
  <c r="F45" i="23"/>
  <c r="F69" i="22"/>
  <c r="E70" i="22"/>
  <c r="F70" i="22"/>
  <c r="D46" i="18"/>
  <c r="F45" i="18"/>
  <c r="I30" i="18"/>
  <c r="G32" i="18"/>
  <c r="G30" i="19"/>
  <c r="F91" i="25"/>
  <c r="G91" i="24"/>
  <c r="H98" i="25"/>
  <c r="F89" i="24"/>
  <c r="G89" i="23"/>
  <c r="H108" i="25"/>
  <c r="I108" i="24"/>
  <c r="G63" i="25"/>
  <c r="G69" i="24"/>
  <c r="G74" i="25"/>
  <c r="G76" i="24"/>
  <c r="I113" i="17"/>
  <c r="H125" i="17"/>
  <c r="H115" i="17"/>
  <c r="I115" i="17"/>
  <c r="G120" i="20"/>
  <c r="I120" i="19"/>
  <c r="G123" i="19"/>
  <c r="I58" i="17"/>
  <c r="G65" i="25"/>
  <c r="I65" i="25"/>
  <c r="G67" i="24"/>
  <c r="H43" i="25"/>
  <c r="I43" i="24"/>
  <c r="G98" i="23"/>
  <c r="G100" i="22"/>
  <c r="G113" i="22"/>
  <c r="I98" i="22"/>
  <c r="H28" i="21"/>
  <c r="I27" i="21"/>
  <c r="H110" i="24"/>
  <c r="I110" i="23"/>
  <c r="H112" i="23"/>
  <c r="I112" i="23"/>
  <c r="I77" i="22"/>
  <c r="G70" i="21"/>
  <c r="I68" i="21"/>
  <c r="F78" i="26"/>
  <c r="E79" i="26"/>
  <c r="F79" i="26"/>
  <c r="H65" i="26"/>
  <c r="H62" i="25"/>
  <c r="H68" i="24"/>
  <c r="H72" i="24"/>
  <c r="H78" i="23"/>
  <c r="I72" i="23"/>
  <c r="F78" i="23"/>
  <c r="E79" i="23"/>
  <c r="F79" i="23"/>
  <c r="E45" i="21"/>
  <c r="F28" i="21"/>
  <c r="I75" i="23"/>
  <c r="H75" i="24"/>
  <c r="G116" i="25"/>
  <c r="H53" i="25"/>
  <c r="I53" i="24"/>
  <c r="G57" i="19"/>
  <c r="G60" i="18"/>
  <c r="G59" i="18"/>
  <c r="I56" i="18"/>
  <c r="G56" i="19"/>
  <c r="G58" i="18"/>
  <c r="G41" i="23"/>
  <c r="H34" i="23"/>
  <c r="G53" i="25"/>
  <c r="G55" i="24"/>
  <c r="I122" i="17"/>
  <c r="H124" i="17"/>
  <c r="G125" i="17"/>
  <c r="G127" i="17"/>
  <c r="G124" i="17"/>
  <c r="G38" i="25"/>
  <c r="G40" i="24"/>
  <c r="H31" i="25"/>
  <c r="I31" i="24"/>
  <c r="I24" i="22"/>
  <c r="F90" i="25"/>
  <c r="G90" i="24"/>
  <c r="G110" i="25"/>
  <c r="G112" i="24"/>
  <c r="H56" i="23"/>
  <c r="H59" i="22"/>
  <c r="I72" i="22"/>
  <c r="H78" i="22"/>
  <c r="I78" i="22"/>
  <c r="H25" i="23"/>
  <c r="H27" i="22"/>
  <c r="I27" i="22"/>
  <c r="I25" i="22"/>
  <c r="I118" i="21"/>
  <c r="G117" i="23"/>
  <c r="G118" i="22"/>
  <c r="I117" i="22"/>
  <c r="G23" i="24"/>
  <c r="G24" i="23"/>
  <c r="G28" i="23"/>
  <c r="H74" i="23"/>
  <c r="I74" i="22"/>
  <c r="H76" i="22"/>
  <c r="I76" i="22"/>
  <c r="H73" i="22"/>
  <c r="I73" i="22"/>
  <c r="G62" i="23"/>
  <c r="G68" i="22"/>
  <c r="G64" i="22"/>
  <c r="G72" i="24"/>
  <c r="G73" i="24"/>
  <c r="G78" i="23"/>
  <c r="G79" i="23"/>
  <c r="I69" i="27"/>
  <c r="H70" i="27"/>
  <c r="I70" i="27"/>
  <c r="I45" i="27"/>
  <c r="H46" i="27"/>
  <c r="E47" i="27"/>
  <c r="F47" i="27"/>
  <c r="F46" i="27"/>
  <c r="G23" i="25"/>
  <c r="G24" i="24"/>
  <c r="G28" i="24"/>
  <c r="H25" i="24"/>
  <c r="H27" i="23"/>
  <c r="I25" i="23"/>
  <c r="G110" i="26"/>
  <c r="G112" i="26"/>
  <c r="G112" i="25"/>
  <c r="G38" i="26"/>
  <c r="G40" i="26"/>
  <c r="G40" i="25"/>
  <c r="G70" i="22"/>
  <c r="I68" i="22"/>
  <c r="I24" i="23"/>
  <c r="G56" i="20"/>
  <c r="I56" i="19"/>
  <c r="G58" i="19"/>
  <c r="G59" i="19"/>
  <c r="G57" i="20"/>
  <c r="G60" i="19"/>
  <c r="C155" i="21"/>
  <c r="H155" i="21"/>
  <c r="B155" i="22"/>
  <c r="F45" i="21"/>
  <c r="E46" i="21"/>
  <c r="I78" i="23"/>
  <c r="G63" i="26"/>
  <c r="G69" i="26"/>
  <c r="G69" i="25"/>
  <c r="G30" i="20"/>
  <c r="G32" i="19"/>
  <c r="I30" i="19"/>
  <c r="D47" i="18"/>
  <c r="F47" i="18"/>
  <c r="F46" i="18"/>
  <c r="H126" i="22"/>
  <c r="I114" i="22"/>
  <c r="H105" i="26"/>
  <c r="I105" i="26"/>
  <c r="I105" i="25"/>
  <c r="H44" i="26"/>
  <c r="I44" i="26"/>
  <c r="I44" i="25"/>
  <c r="G101" i="25"/>
  <c r="G103" i="24"/>
  <c r="H57" i="20"/>
  <c r="I57" i="19"/>
  <c r="H60" i="19"/>
  <c r="H58" i="19"/>
  <c r="I58" i="19"/>
  <c r="G25" i="26"/>
  <c r="G27" i="26"/>
  <c r="G27" i="25"/>
  <c r="H107" i="26"/>
  <c r="H109" i="25"/>
  <c r="G122" i="19"/>
  <c r="G121" i="19"/>
  <c r="G119" i="20"/>
  <c r="H117" i="26"/>
  <c r="H123" i="25"/>
  <c r="F46" i="22"/>
  <c r="E47" i="22"/>
  <c r="F47" i="22"/>
  <c r="F47" i="25"/>
  <c r="G72" i="25"/>
  <c r="G78" i="24"/>
  <c r="G64" i="23"/>
  <c r="G62" i="24"/>
  <c r="G68" i="23"/>
  <c r="G70" i="23"/>
  <c r="H74" i="24"/>
  <c r="I74" i="23"/>
  <c r="H76" i="23"/>
  <c r="I76" i="23"/>
  <c r="H56" i="24"/>
  <c r="H59" i="23"/>
  <c r="F90" i="26"/>
  <c r="G90" i="26"/>
  <c r="G90" i="25"/>
  <c r="H31" i="26"/>
  <c r="I31" i="26"/>
  <c r="I31" i="25"/>
  <c r="I124" i="17"/>
  <c r="G53" i="26"/>
  <c r="G55" i="25"/>
  <c r="I75" i="24"/>
  <c r="H75" i="25"/>
  <c r="I72" i="24"/>
  <c r="H78" i="24"/>
  <c r="I78" i="24"/>
  <c r="H72" i="25"/>
  <c r="H68" i="25"/>
  <c r="H62" i="26"/>
  <c r="I28" i="21"/>
  <c r="G98" i="24"/>
  <c r="G100" i="23"/>
  <c r="G113" i="23"/>
  <c r="I98" i="23"/>
  <c r="H43" i="26"/>
  <c r="I43" i="26"/>
  <c r="I43" i="25"/>
  <c r="G120" i="21"/>
  <c r="I120" i="20"/>
  <c r="G123" i="20"/>
  <c r="F89" i="25"/>
  <c r="G89" i="24"/>
  <c r="H98" i="26"/>
  <c r="G34" i="18"/>
  <c r="I32" i="18"/>
  <c r="D46" i="26"/>
  <c r="F45" i="26"/>
  <c r="G107" i="24"/>
  <c r="G109" i="23"/>
  <c r="I109" i="23"/>
  <c r="I107" i="23"/>
  <c r="I100" i="22"/>
  <c r="I37" i="22"/>
  <c r="H104" i="20"/>
  <c r="H106" i="19"/>
  <c r="I106" i="19"/>
  <c r="I104" i="19"/>
  <c r="H113" i="19"/>
  <c r="I103" i="24"/>
  <c r="H121" i="19"/>
  <c r="I121" i="19"/>
  <c r="H119" i="20"/>
  <c r="I119" i="19"/>
  <c r="H122" i="19"/>
  <c r="G79" i="24"/>
  <c r="H41" i="18"/>
  <c r="I40" i="18"/>
  <c r="I60" i="18"/>
  <c r="H61" i="18"/>
  <c r="H102" i="26"/>
  <c r="I102" i="26"/>
  <c r="I102" i="25"/>
  <c r="H34" i="24"/>
  <c r="I23" i="24"/>
  <c r="G54" i="26"/>
  <c r="H120" i="26"/>
  <c r="H155" i="22"/>
  <c r="B155" i="23"/>
  <c r="I66" i="21"/>
  <c r="H66" i="22"/>
  <c r="H67" i="21"/>
  <c r="I67" i="21"/>
  <c r="I62" i="23"/>
  <c r="I42" i="25"/>
  <c r="H42" i="26"/>
  <c r="I42" i="26"/>
  <c r="I59" i="18"/>
  <c r="G61" i="18"/>
  <c r="G116" i="26"/>
  <c r="G74" i="26"/>
  <c r="G76" i="26"/>
  <c r="G76" i="25"/>
  <c r="H108" i="26"/>
  <c r="I108" i="26"/>
  <c r="I108" i="25"/>
  <c r="H155" i="23"/>
  <c r="B155" i="24"/>
  <c r="I118" i="22"/>
  <c r="H35" i="24"/>
  <c r="H37" i="23"/>
  <c r="I35" i="23"/>
  <c r="G114" i="25"/>
  <c r="G99" i="26"/>
  <c r="G114" i="26"/>
  <c r="I122" i="18"/>
  <c r="H124" i="18"/>
  <c r="G73" i="25"/>
  <c r="G77" i="25"/>
  <c r="G71" i="26"/>
  <c r="F69" i="18"/>
  <c r="E70" i="18"/>
  <c r="F70" i="18"/>
  <c r="E46" i="24"/>
  <c r="F45" i="24"/>
  <c r="C155" i="24"/>
  <c r="H155" i="24"/>
  <c r="B155" i="25"/>
  <c r="H155" i="25"/>
  <c r="B155" i="26"/>
  <c r="H155" i="26"/>
  <c r="H71" i="25"/>
  <c r="H73" i="24"/>
  <c r="I73" i="24"/>
  <c r="I71" i="24"/>
  <c r="H77" i="24"/>
  <c r="H33" i="26"/>
  <c r="I33" i="26"/>
  <c r="I33" i="25"/>
  <c r="I58" i="18"/>
  <c r="I24" i="24"/>
  <c r="G41" i="24"/>
  <c r="I68" i="23"/>
  <c r="G117" i="24"/>
  <c r="I117" i="23"/>
  <c r="G118" i="23"/>
  <c r="H28" i="22"/>
  <c r="H53" i="26"/>
  <c r="I53" i="25"/>
  <c r="H79" i="22"/>
  <c r="I79" i="22"/>
  <c r="H110" i="25"/>
  <c r="H112" i="24"/>
  <c r="I112" i="24"/>
  <c r="I110" i="24"/>
  <c r="G115" i="22"/>
  <c r="G65" i="26"/>
  <c r="G67" i="26"/>
  <c r="G67" i="25"/>
  <c r="G126" i="19"/>
  <c r="I126" i="19"/>
  <c r="I123" i="19"/>
  <c r="I125" i="17"/>
  <c r="H127" i="17"/>
  <c r="I127" i="17"/>
  <c r="F91" i="26"/>
  <c r="G91" i="26"/>
  <c r="G91" i="25"/>
  <c r="E47" i="23"/>
  <c r="F47" i="23"/>
  <c r="F46" i="23"/>
  <c r="H116" i="24"/>
  <c r="I116" i="23"/>
  <c r="H118" i="23"/>
  <c r="I118" i="23"/>
  <c r="H99" i="24"/>
  <c r="I99" i="23"/>
  <c r="H114" i="23"/>
  <c r="H100" i="23"/>
  <c r="I100" i="23"/>
  <c r="H125" i="18"/>
  <c r="I113" i="18"/>
  <c r="H115" i="18"/>
  <c r="I115" i="18"/>
  <c r="H103" i="25"/>
  <c r="I101" i="25"/>
  <c r="G104" i="26"/>
  <c r="G106" i="26"/>
  <c r="G106" i="25"/>
  <c r="H40" i="19"/>
  <c r="H38" i="20"/>
  <c r="I38" i="19"/>
  <c r="H69" i="18"/>
  <c r="H63" i="19"/>
  <c r="I63" i="18"/>
  <c r="H64" i="18"/>
  <c r="I64" i="18"/>
  <c r="F69" i="23"/>
  <c r="E70" i="23"/>
  <c r="F70" i="23"/>
  <c r="H77" i="23"/>
  <c r="H54" i="23"/>
  <c r="H55" i="22"/>
  <c r="I55" i="22"/>
  <c r="I54" i="22"/>
  <c r="G124" i="18"/>
  <c r="G125" i="18"/>
  <c r="G127" i="18"/>
  <c r="H111" i="26"/>
  <c r="I111" i="26"/>
  <c r="I111" i="25"/>
  <c r="H30" i="26"/>
  <c r="H32" i="25"/>
  <c r="H23" i="26"/>
  <c r="I23" i="25"/>
  <c r="H24" i="25"/>
  <c r="G35" i="26"/>
  <c r="G37" i="26"/>
  <c r="G41" i="26"/>
  <c r="G37" i="25"/>
  <c r="G41" i="25"/>
  <c r="E70" i="21"/>
  <c r="F70" i="21"/>
  <c r="F69" i="21"/>
  <c r="H47" i="27"/>
  <c r="I47" i="27"/>
  <c r="I46" i="27"/>
  <c r="H79" i="23"/>
  <c r="I79" i="23"/>
  <c r="I77" i="23"/>
  <c r="I38" i="20"/>
  <c r="H38" i="21"/>
  <c r="H40" i="20"/>
  <c r="I28" i="22"/>
  <c r="E47" i="24"/>
  <c r="F47" i="24"/>
  <c r="F46" i="24"/>
  <c r="G79" i="25"/>
  <c r="H35" i="25"/>
  <c r="I35" i="24"/>
  <c r="H37" i="24"/>
  <c r="I122" i="19"/>
  <c r="H124" i="19"/>
  <c r="I124" i="19"/>
  <c r="D47" i="26"/>
  <c r="F47" i="26"/>
  <c r="F46" i="26"/>
  <c r="F89" i="26"/>
  <c r="G89" i="26"/>
  <c r="G89" i="25"/>
  <c r="H109" i="26"/>
  <c r="H61" i="19"/>
  <c r="I60" i="19"/>
  <c r="G101" i="26"/>
  <c r="G103" i="26"/>
  <c r="G103" i="25"/>
  <c r="H25" i="25"/>
  <c r="I25" i="24"/>
  <c r="H27" i="24"/>
  <c r="H34" i="25"/>
  <c r="H32" i="26"/>
  <c r="H54" i="24"/>
  <c r="I54" i="23"/>
  <c r="H55" i="23"/>
  <c r="I55" i="23"/>
  <c r="I63" i="19"/>
  <c r="H69" i="19"/>
  <c r="H64" i="19"/>
  <c r="I64" i="19"/>
  <c r="H63" i="20"/>
  <c r="I40" i="19"/>
  <c r="H41" i="19"/>
  <c r="I103" i="25"/>
  <c r="I125" i="18"/>
  <c r="H127" i="18"/>
  <c r="I127" i="18"/>
  <c r="H99" i="25"/>
  <c r="H114" i="24"/>
  <c r="I99" i="24"/>
  <c r="H100" i="24"/>
  <c r="H116" i="25"/>
  <c r="I116" i="24"/>
  <c r="H118" i="24"/>
  <c r="H110" i="26"/>
  <c r="H112" i="25"/>
  <c r="I112" i="25"/>
  <c r="I110" i="25"/>
  <c r="H71" i="26"/>
  <c r="H73" i="25"/>
  <c r="I73" i="25"/>
  <c r="I71" i="25"/>
  <c r="I61" i="18"/>
  <c r="H104" i="21"/>
  <c r="I104" i="20"/>
  <c r="H113" i="20"/>
  <c r="H106" i="20"/>
  <c r="I106" i="20"/>
  <c r="G120" i="22"/>
  <c r="I120" i="21"/>
  <c r="G123" i="21"/>
  <c r="G115" i="23"/>
  <c r="I75" i="25"/>
  <c r="H75" i="26"/>
  <c r="I75" i="26"/>
  <c r="G55" i="26"/>
  <c r="H74" i="25"/>
  <c r="I74" i="24"/>
  <c r="H76" i="24"/>
  <c r="I76" i="24"/>
  <c r="G124" i="19"/>
  <c r="G125" i="19"/>
  <c r="G127" i="19"/>
  <c r="G34" i="19"/>
  <c r="I32" i="19"/>
  <c r="H24" i="26"/>
  <c r="H103" i="26"/>
  <c r="I103" i="26"/>
  <c r="I101" i="26"/>
  <c r="I77" i="24"/>
  <c r="H79" i="24"/>
  <c r="I79" i="24"/>
  <c r="I124" i="18"/>
  <c r="I65" i="26"/>
  <c r="H67" i="22"/>
  <c r="I67" i="22"/>
  <c r="I66" i="22"/>
  <c r="H66" i="23"/>
  <c r="I41" i="18"/>
  <c r="H45" i="18"/>
  <c r="H119" i="21"/>
  <c r="I119" i="20"/>
  <c r="H121" i="20"/>
  <c r="H122" i="20"/>
  <c r="H125" i="19"/>
  <c r="H115" i="19"/>
  <c r="I115" i="19"/>
  <c r="I113" i="19"/>
  <c r="G45" i="18"/>
  <c r="G46" i="18"/>
  <c r="G47" i="18"/>
  <c r="I34" i="18"/>
  <c r="H68" i="26"/>
  <c r="H78" i="25"/>
  <c r="I72" i="25"/>
  <c r="H72" i="26"/>
  <c r="H56" i="25"/>
  <c r="H59" i="24"/>
  <c r="G72" i="26"/>
  <c r="G78" i="26"/>
  <c r="G78" i="25"/>
  <c r="H123" i="26"/>
  <c r="I57" i="20"/>
  <c r="H57" i="21"/>
  <c r="H60" i="20"/>
  <c r="H58" i="20"/>
  <c r="I58" i="20"/>
  <c r="I30" i="20"/>
  <c r="G32" i="20"/>
  <c r="G30" i="21"/>
  <c r="E47" i="21"/>
  <c r="F47" i="21"/>
  <c r="F46" i="21"/>
  <c r="G57" i="21"/>
  <c r="G60" i="20"/>
  <c r="G56" i="21"/>
  <c r="I56" i="20"/>
  <c r="G58" i="20"/>
  <c r="G59" i="20"/>
  <c r="G24" i="26"/>
  <c r="G28" i="26"/>
  <c r="G24" i="25"/>
  <c r="G28" i="25"/>
  <c r="I69" i="18"/>
  <c r="H70" i="18"/>
  <c r="I70" i="18"/>
  <c r="I114" i="23"/>
  <c r="H126" i="23"/>
  <c r="I53" i="26"/>
  <c r="G117" i="25"/>
  <c r="I117" i="24"/>
  <c r="G118" i="24"/>
  <c r="G77" i="26"/>
  <c r="G73" i="26"/>
  <c r="I37" i="23"/>
  <c r="G107" i="25"/>
  <c r="G109" i="24"/>
  <c r="I109" i="24"/>
  <c r="I107" i="24"/>
  <c r="I123" i="20"/>
  <c r="G126" i="20"/>
  <c r="I126" i="20"/>
  <c r="G98" i="25"/>
  <c r="G100" i="24"/>
  <c r="G113" i="24"/>
  <c r="I98" i="24"/>
  <c r="G62" i="25"/>
  <c r="G68" i="24"/>
  <c r="G64" i="24"/>
  <c r="I62" i="24"/>
  <c r="G121" i="20"/>
  <c r="G122" i="20"/>
  <c r="G119" i="21"/>
  <c r="I59" i="19"/>
  <c r="G61" i="19"/>
  <c r="I27" i="23"/>
  <c r="H28" i="23"/>
  <c r="G58" i="21"/>
  <c r="G59" i="21"/>
  <c r="G56" i="22"/>
  <c r="I56" i="21"/>
  <c r="G98" i="26"/>
  <c r="G113" i="25"/>
  <c r="G100" i="25"/>
  <c r="I98" i="25"/>
  <c r="G117" i="26"/>
  <c r="G118" i="25"/>
  <c r="I117" i="25"/>
  <c r="I59" i="20"/>
  <c r="G61" i="20"/>
  <c r="G119" i="22"/>
  <c r="G122" i="21"/>
  <c r="G121" i="21"/>
  <c r="G70" i="24"/>
  <c r="I68" i="24"/>
  <c r="G107" i="26"/>
  <c r="G109" i="25"/>
  <c r="I109" i="25"/>
  <c r="I107" i="25"/>
  <c r="G57" i="22"/>
  <c r="G60" i="21"/>
  <c r="H61" i="20"/>
  <c r="I60" i="20"/>
  <c r="I125" i="19"/>
  <c r="H127" i="19"/>
  <c r="I127" i="19"/>
  <c r="H119" i="22"/>
  <c r="H121" i="21"/>
  <c r="I121" i="21"/>
  <c r="I119" i="21"/>
  <c r="H122" i="21"/>
  <c r="I34" i="19"/>
  <c r="G45" i="19"/>
  <c r="G46" i="19"/>
  <c r="G47" i="19"/>
  <c r="H115" i="20"/>
  <c r="I115" i="20"/>
  <c r="I113" i="20"/>
  <c r="H125" i="20"/>
  <c r="I118" i="24"/>
  <c r="I100" i="24"/>
  <c r="H54" i="25"/>
  <c r="I54" i="24"/>
  <c r="H55" i="24"/>
  <c r="I55" i="24"/>
  <c r="H35" i="26"/>
  <c r="H37" i="25"/>
  <c r="I35" i="25"/>
  <c r="I24" i="25"/>
  <c r="H56" i="26"/>
  <c r="H59" i="25"/>
  <c r="G79" i="26"/>
  <c r="I28" i="23"/>
  <c r="G125" i="20"/>
  <c r="G127" i="20"/>
  <c r="G124" i="20"/>
  <c r="G62" i="26"/>
  <c r="G68" i="25"/>
  <c r="G64" i="25"/>
  <c r="I62" i="25"/>
  <c r="G115" i="24"/>
  <c r="G30" i="22"/>
  <c r="I30" i="21"/>
  <c r="G32" i="21"/>
  <c r="I57" i="21"/>
  <c r="H57" i="22"/>
  <c r="H58" i="21"/>
  <c r="H60" i="21"/>
  <c r="I78" i="25"/>
  <c r="I122" i="20"/>
  <c r="H124" i="20"/>
  <c r="H46" i="18"/>
  <c r="I45" i="18"/>
  <c r="I24" i="26"/>
  <c r="G120" i="23"/>
  <c r="I120" i="22"/>
  <c r="G123" i="22"/>
  <c r="I63" i="20"/>
  <c r="H63" i="21"/>
  <c r="H69" i="20"/>
  <c r="H64" i="20"/>
  <c r="I64" i="20"/>
  <c r="H25" i="26"/>
  <c r="H27" i="25"/>
  <c r="I25" i="25"/>
  <c r="I40" i="20"/>
  <c r="H41" i="20"/>
  <c r="G34" i="20"/>
  <c r="I32" i="20"/>
  <c r="I23" i="26"/>
  <c r="H74" i="26"/>
  <c r="H76" i="25"/>
  <c r="I76" i="25"/>
  <c r="I74" i="25"/>
  <c r="I104" i="21"/>
  <c r="H104" i="22"/>
  <c r="H106" i="21"/>
  <c r="I106" i="21"/>
  <c r="H113" i="21"/>
  <c r="H77" i="25"/>
  <c r="I114" i="24"/>
  <c r="H126" i="24"/>
  <c r="H34" i="26"/>
  <c r="I37" i="24"/>
  <c r="H38" i="22"/>
  <c r="I38" i="21"/>
  <c r="H40" i="21"/>
  <c r="I121" i="20"/>
  <c r="H78" i="26"/>
  <c r="I78" i="26"/>
  <c r="I72" i="26"/>
  <c r="I66" i="23"/>
  <c r="H66" i="24"/>
  <c r="H67" i="23"/>
  <c r="I67" i="23"/>
  <c r="I123" i="21"/>
  <c r="G126" i="21"/>
  <c r="I126" i="21"/>
  <c r="H73" i="26"/>
  <c r="I73" i="26"/>
  <c r="I71" i="26"/>
  <c r="H77" i="26"/>
  <c r="H112" i="26"/>
  <c r="I112" i="26"/>
  <c r="I110" i="26"/>
  <c r="H116" i="26"/>
  <c r="H118" i="25"/>
  <c r="I118" i="25"/>
  <c r="I116" i="25"/>
  <c r="H99" i="26"/>
  <c r="H114" i="25"/>
  <c r="I99" i="25"/>
  <c r="H100" i="25"/>
  <c r="I100" i="25"/>
  <c r="I41" i="19"/>
  <c r="H45" i="19"/>
  <c r="I69" i="19"/>
  <c r="H70" i="19"/>
  <c r="I70" i="19"/>
  <c r="I27" i="24"/>
  <c r="H28" i="24"/>
  <c r="I61" i="19"/>
  <c r="I28" i="24"/>
  <c r="I45" i="19"/>
  <c r="H46" i="19"/>
  <c r="H126" i="25"/>
  <c r="I114" i="25"/>
  <c r="I66" i="24"/>
  <c r="H66" i="25"/>
  <c r="H67" i="24"/>
  <c r="I67" i="24"/>
  <c r="I40" i="21"/>
  <c r="H41" i="21"/>
  <c r="H115" i="21"/>
  <c r="I115" i="21"/>
  <c r="H125" i="21"/>
  <c r="I113" i="21"/>
  <c r="I41" i="20"/>
  <c r="H45" i="20"/>
  <c r="H27" i="26"/>
  <c r="I25" i="26"/>
  <c r="H64" i="21"/>
  <c r="I64" i="21"/>
  <c r="I63" i="21"/>
  <c r="H69" i="21"/>
  <c r="H63" i="22"/>
  <c r="G126" i="22"/>
  <c r="I126" i="22"/>
  <c r="I123" i="22"/>
  <c r="H47" i="18"/>
  <c r="I47" i="18"/>
  <c r="I46" i="18"/>
  <c r="I60" i="21"/>
  <c r="H61" i="21"/>
  <c r="I32" i="21"/>
  <c r="G34" i="21"/>
  <c r="I37" i="25"/>
  <c r="H124" i="21"/>
  <c r="I122" i="21"/>
  <c r="G57" i="23"/>
  <c r="G60" i="22"/>
  <c r="G124" i="21"/>
  <c r="G125" i="21"/>
  <c r="G127" i="21"/>
  <c r="G115" i="25"/>
  <c r="H114" i="26"/>
  <c r="I99" i="26"/>
  <c r="H100" i="26"/>
  <c r="H118" i="26"/>
  <c r="I118" i="26"/>
  <c r="I116" i="26"/>
  <c r="I124" i="20"/>
  <c r="I58" i="21"/>
  <c r="G70" i="25"/>
  <c r="I68" i="25"/>
  <c r="H59" i="26"/>
  <c r="H37" i="26"/>
  <c r="I35" i="26"/>
  <c r="H54" i="26"/>
  <c r="I54" i="25"/>
  <c r="H55" i="25"/>
  <c r="I55" i="25"/>
  <c r="I61" i="20"/>
  <c r="G119" i="23"/>
  <c r="G122" i="22"/>
  <c r="G121" i="22"/>
  <c r="I117" i="26"/>
  <c r="G118" i="26"/>
  <c r="G113" i="26"/>
  <c r="G100" i="26"/>
  <c r="I98" i="26"/>
  <c r="G56" i="23"/>
  <c r="G58" i="22"/>
  <c r="G59" i="22"/>
  <c r="I56" i="22"/>
  <c r="I77" i="26"/>
  <c r="H79" i="26"/>
  <c r="I79" i="26"/>
  <c r="H38" i="23"/>
  <c r="I38" i="22"/>
  <c r="H40" i="22"/>
  <c r="H104" i="23"/>
  <c r="H106" i="22"/>
  <c r="I106" i="22"/>
  <c r="I104" i="22"/>
  <c r="H113" i="22"/>
  <c r="H76" i="26"/>
  <c r="I76" i="26"/>
  <c r="I74" i="26"/>
  <c r="G120" i="24"/>
  <c r="I120" i="23"/>
  <c r="G123" i="23"/>
  <c r="H57" i="23"/>
  <c r="I57" i="22"/>
  <c r="H58" i="22"/>
  <c r="I58" i="22"/>
  <c r="H60" i="22"/>
  <c r="G30" i="23"/>
  <c r="I30" i="22"/>
  <c r="G32" i="22"/>
  <c r="G64" i="26"/>
  <c r="G68" i="26"/>
  <c r="I62" i="26"/>
  <c r="G109" i="26"/>
  <c r="I109" i="26"/>
  <c r="I107" i="26"/>
  <c r="G61" i="21"/>
  <c r="I59" i="21"/>
  <c r="H79" i="25"/>
  <c r="I79" i="25"/>
  <c r="I77" i="25"/>
  <c r="G45" i="20"/>
  <c r="G46" i="20"/>
  <c r="G47" i="20"/>
  <c r="I34" i="20"/>
  <c r="I27" i="25"/>
  <c r="H28" i="25"/>
  <c r="I69" i="20"/>
  <c r="H70" i="20"/>
  <c r="I70" i="20"/>
  <c r="I125" i="20"/>
  <c r="H127" i="20"/>
  <c r="I127" i="20"/>
  <c r="H119" i="23"/>
  <c r="H121" i="22"/>
  <c r="I121" i="22"/>
  <c r="I119" i="22"/>
  <c r="H122" i="22"/>
  <c r="I28" i="25"/>
  <c r="I60" i="22"/>
  <c r="H61" i="22"/>
  <c r="I61" i="22"/>
  <c r="H115" i="22"/>
  <c r="I115" i="22"/>
  <c r="H125" i="22"/>
  <c r="I113" i="22"/>
  <c r="G115" i="26"/>
  <c r="I100" i="26"/>
  <c r="G57" i="24"/>
  <c r="G60" i="23"/>
  <c r="I61" i="21"/>
  <c r="I66" i="25"/>
  <c r="H66" i="26"/>
  <c r="H67" i="25"/>
  <c r="I67" i="25"/>
  <c r="I46" i="19"/>
  <c r="H47" i="19"/>
  <c r="I47" i="19"/>
  <c r="H119" i="24"/>
  <c r="H121" i="23"/>
  <c r="I119" i="23"/>
  <c r="H122" i="23"/>
  <c r="G34" i="22"/>
  <c r="I32" i="22"/>
  <c r="I123" i="23"/>
  <c r="G126" i="23"/>
  <c r="I126" i="23"/>
  <c r="I40" i="22"/>
  <c r="H41" i="22"/>
  <c r="G56" i="24"/>
  <c r="G58" i="23"/>
  <c r="G59" i="23"/>
  <c r="I56" i="23"/>
  <c r="G124" i="22"/>
  <c r="G125" i="22"/>
  <c r="G127" i="22"/>
  <c r="I54" i="26"/>
  <c r="H55" i="26"/>
  <c r="I55" i="26"/>
  <c r="I125" i="21"/>
  <c r="H127" i="21"/>
  <c r="I127" i="21"/>
  <c r="I41" i="21"/>
  <c r="H45" i="21"/>
  <c r="I122" i="22"/>
  <c r="H124" i="22"/>
  <c r="I124" i="22"/>
  <c r="G119" i="24"/>
  <c r="G121" i="23"/>
  <c r="G122" i="23"/>
  <c r="H126" i="26"/>
  <c r="I114" i="26"/>
  <c r="I124" i="21"/>
  <c r="I34" i="21"/>
  <c r="G45" i="21"/>
  <c r="G46" i="21"/>
  <c r="G47" i="21"/>
  <c r="H64" i="22"/>
  <c r="I64" i="22"/>
  <c r="I63" i="22"/>
  <c r="H69" i="22"/>
  <c r="H63" i="23"/>
  <c r="H46" i="20"/>
  <c r="I45" i="20"/>
  <c r="G70" i="26"/>
  <c r="I68" i="26"/>
  <c r="G30" i="24"/>
  <c r="G32" i="23"/>
  <c r="I30" i="23"/>
  <c r="H57" i="24"/>
  <c r="I57" i="23"/>
  <c r="H58" i="23"/>
  <c r="I58" i="23"/>
  <c r="H60" i="23"/>
  <c r="G120" i="25"/>
  <c r="I120" i="24"/>
  <c r="G123" i="24"/>
  <c r="I104" i="23"/>
  <c r="H104" i="24"/>
  <c r="H106" i="23"/>
  <c r="I106" i="23"/>
  <c r="H113" i="23"/>
  <c r="H38" i="24"/>
  <c r="I38" i="23"/>
  <c r="H40" i="23"/>
  <c r="G61" i="22"/>
  <c r="I59" i="22"/>
  <c r="I37" i="26"/>
  <c r="I69" i="21"/>
  <c r="H70" i="21"/>
  <c r="I70" i="21"/>
  <c r="I27" i="26"/>
  <c r="H28" i="26"/>
  <c r="I28" i="26"/>
  <c r="H104" i="25"/>
  <c r="H106" i="24"/>
  <c r="I106" i="24"/>
  <c r="I104" i="24"/>
  <c r="H113" i="24"/>
  <c r="G124" i="23"/>
  <c r="G125" i="23"/>
  <c r="G127" i="23"/>
  <c r="H38" i="25"/>
  <c r="H40" i="24"/>
  <c r="I38" i="24"/>
  <c r="G30" i="25"/>
  <c r="G32" i="24"/>
  <c r="I30" i="24"/>
  <c r="I46" i="20"/>
  <c r="H47" i="20"/>
  <c r="I47" i="20"/>
  <c r="G56" i="25"/>
  <c r="G58" i="24"/>
  <c r="G59" i="24"/>
  <c r="I56" i="24"/>
  <c r="I121" i="23"/>
  <c r="I60" i="23"/>
  <c r="H61" i="23"/>
  <c r="I113" i="23"/>
  <c r="H125" i="23"/>
  <c r="H115" i="23"/>
  <c r="I115" i="23"/>
  <c r="G120" i="26"/>
  <c r="I120" i="25"/>
  <c r="G123" i="25"/>
  <c r="H57" i="25"/>
  <c r="I57" i="24"/>
  <c r="H58" i="24"/>
  <c r="H60" i="24"/>
  <c r="H63" i="24"/>
  <c r="I63" i="23"/>
  <c r="H69" i="23"/>
  <c r="H64" i="23"/>
  <c r="I64" i="23"/>
  <c r="G119" i="25"/>
  <c r="G121" i="24"/>
  <c r="G122" i="24"/>
  <c r="H46" i="21"/>
  <c r="I45" i="21"/>
  <c r="I41" i="22"/>
  <c r="H45" i="22"/>
  <c r="H119" i="25"/>
  <c r="H121" i="24"/>
  <c r="I121" i="24"/>
  <c r="I119" i="24"/>
  <c r="H122" i="24"/>
  <c r="I66" i="26"/>
  <c r="H67" i="26"/>
  <c r="I67" i="26"/>
  <c r="H70" i="22"/>
  <c r="I70" i="22"/>
  <c r="I69" i="22"/>
  <c r="G61" i="23"/>
  <c r="I59" i="23"/>
  <c r="I34" i="22"/>
  <c r="G45" i="22"/>
  <c r="G46" i="22"/>
  <c r="G47" i="22"/>
  <c r="I122" i="23"/>
  <c r="H124" i="23"/>
  <c r="I124" i="23"/>
  <c r="I125" i="22"/>
  <c r="H127" i="22"/>
  <c r="I127" i="22"/>
  <c r="I40" i="23"/>
  <c r="H41" i="23"/>
  <c r="G126" i="24"/>
  <c r="I126" i="24"/>
  <c r="I123" i="24"/>
  <c r="G34" i="23"/>
  <c r="I32" i="23"/>
  <c r="G57" i="25"/>
  <c r="G60" i="24"/>
  <c r="H46" i="22"/>
  <c r="I45" i="22"/>
  <c r="G45" i="23"/>
  <c r="G46" i="23"/>
  <c r="G47" i="23"/>
  <c r="I34" i="23"/>
  <c r="H119" i="26"/>
  <c r="H121" i="25"/>
  <c r="I119" i="25"/>
  <c r="H122" i="25"/>
  <c r="H47" i="21"/>
  <c r="I47" i="21"/>
  <c r="I46" i="21"/>
  <c r="I60" i="24"/>
  <c r="H61" i="24"/>
  <c r="G126" i="25"/>
  <c r="I126" i="25"/>
  <c r="I123" i="25"/>
  <c r="I125" i="23"/>
  <c r="H127" i="23"/>
  <c r="I127" i="23"/>
  <c r="G56" i="26"/>
  <c r="G58" i="25"/>
  <c r="G59" i="25"/>
  <c r="I56" i="25"/>
  <c r="G30" i="26"/>
  <c r="G32" i="25"/>
  <c r="I30" i="25"/>
  <c r="I61" i="23"/>
  <c r="G57" i="26"/>
  <c r="G60" i="26"/>
  <c r="G60" i="25"/>
  <c r="I41" i="23"/>
  <c r="H45" i="23"/>
  <c r="I122" i="24"/>
  <c r="H124" i="24"/>
  <c r="G119" i="26"/>
  <c r="G121" i="25"/>
  <c r="G122" i="25"/>
  <c r="I63" i="24"/>
  <c r="H69" i="24"/>
  <c r="H63" i="25"/>
  <c r="H64" i="24"/>
  <c r="I64" i="24"/>
  <c r="I58" i="24"/>
  <c r="H104" i="26"/>
  <c r="H106" i="25"/>
  <c r="I106" i="25"/>
  <c r="I104" i="25"/>
  <c r="H113" i="25"/>
  <c r="G61" i="24"/>
  <c r="I59" i="24"/>
  <c r="I40" i="24"/>
  <c r="H41" i="24"/>
  <c r="H115" i="24"/>
  <c r="I115" i="24"/>
  <c r="I113" i="24"/>
  <c r="H125" i="24"/>
  <c r="I120" i="26"/>
  <c r="G123" i="26"/>
  <c r="G124" i="24"/>
  <c r="G125" i="24"/>
  <c r="G127" i="24"/>
  <c r="I69" i="23"/>
  <c r="H70" i="23"/>
  <c r="I70" i="23"/>
  <c r="H57" i="26"/>
  <c r="I57" i="25"/>
  <c r="H58" i="25"/>
  <c r="H60" i="25"/>
  <c r="G34" i="24"/>
  <c r="I32" i="24"/>
  <c r="H38" i="26"/>
  <c r="H40" i="25"/>
  <c r="I38" i="25"/>
  <c r="I40" i="25"/>
  <c r="H41" i="25"/>
  <c r="I125" i="24"/>
  <c r="H127" i="24"/>
  <c r="I127" i="24"/>
  <c r="H106" i="26"/>
  <c r="I106" i="26"/>
  <c r="I104" i="26"/>
  <c r="H113" i="26"/>
  <c r="I69" i="24"/>
  <c r="H70" i="24"/>
  <c r="I70" i="24"/>
  <c r="G121" i="26"/>
  <c r="G122" i="26"/>
  <c r="H46" i="23"/>
  <c r="I45" i="23"/>
  <c r="I121" i="25"/>
  <c r="I57" i="26"/>
  <c r="H58" i="26"/>
  <c r="H60" i="26"/>
  <c r="G124" i="25"/>
  <c r="G125" i="25"/>
  <c r="G127" i="25"/>
  <c r="G45" i="24"/>
  <c r="G46" i="24"/>
  <c r="G47" i="24"/>
  <c r="I34" i="24"/>
  <c r="I58" i="25"/>
  <c r="H40" i="26"/>
  <c r="I38" i="26"/>
  <c r="H125" i="25"/>
  <c r="H115" i="25"/>
  <c r="I115" i="25"/>
  <c r="I113" i="25"/>
  <c r="I124" i="24"/>
  <c r="G61" i="25"/>
  <c r="I59" i="25"/>
  <c r="H121" i="26"/>
  <c r="I121" i="26"/>
  <c r="I119" i="26"/>
  <c r="H122" i="26"/>
  <c r="G34" i="25"/>
  <c r="I32" i="25"/>
  <c r="I61" i="24"/>
  <c r="H124" i="25"/>
  <c r="I124" i="25"/>
  <c r="I122" i="25"/>
  <c r="I60" i="25"/>
  <c r="H61" i="25"/>
  <c r="I61" i="25"/>
  <c r="G126" i="26"/>
  <c r="I126" i="26"/>
  <c r="I123" i="26"/>
  <c r="I41" i="24"/>
  <c r="H45" i="24"/>
  <c r="H69" i="25"/>
  <c r="I63" i="25"/>
  <c r="H63" i="26"/>
  <c r="H64" i="25"/>
  <c r="I64" i="25"/>
  <c r="G32" i="26"/>
  <c r="I30" i="26"/>
  <c r="G58" i="26"/>
  <c r="G59" i="26"/>
  <c r="I56" i="26"/>
  <c r="I46" i="22"/>
  <c r="H47" i="22"/>
  <c r="I47" i="22"/>
  <c r="I45" i="24"/>
  <c r="H46" i="24"/>
  <c r="I40" i="26"/>
  <c r="H41" i="26"/>
  <c r="I60" i="26"/>
  <c r="H61" i="26"/>
  <c r="G34" i="26"/>
  <c r="I32" i="26"/>
  <c r="G61" i="26"/>
  <c r="I59" i="26"/>
  <c r="I69" i="25"/>
  <c r="H70" i="25"/>
  <c r="I70" i="25"/>
  <c r="H127" i="25"/>
  <c r="I127" i="25"/>
  <c r="I125" i="25"/>
  <c r="I58" i="26"/>
  <c r="I41" i="25"/>
  <c r="H45" i="25"/>
  <c r="H115" i="26"/>
  <c r="I115" i="26"/>
  <c r="I113" i="26"/>
  <c r="H125" i="26"/>
  <c r="G124" i="26"/>
  <c r="G125" i="26"/>
  <c r="G127" i="26"/>
  <c r="H69" i="26"/>
  <c r="I63" i="26"/>
  <c r="H64" i="26"/>
  <c r="I64" i="26"/>
  <c r="G45" i="25"/>
  <c r="G46" i="25"/>
  <c r="G47" i="25"/>
  <c r="I34" i="25"/>
  <c r="I122" i="26"/>
  <c r="H124" i="26"/>
  <c r="I124" i="26"/>
  <c r="I46" i="23"/>
  <c r="H47" i="23"/>
  <c r="I47" i="23"/>
  <c r="I61" i="26"/>
  <c r="I41" i="26"/>
  <c r="H45" i="26"/>
  <c r="I69" i="26"/>
  <c r="H70" i="26"/>
  <c r="I70" i="26"/>
  <c r="I125" i="26"/>
  <c r="H127" i="26"/>
  <c r="I127" i="26"/>
  <c r="H46" i="25"/>
  <c r="I45" i="25"/>
  <c r="G45" i="26"/>
  <c r="G46" i="26"/>
  <c r="G47" i="26"/>
  <c r="I34" i="26"/>
  <c r="H47" i="24"/>
  <c r="I47" i="24"/>
  <c r="I46" i="24"/>
  <c r="H46" i="26"/>
  <c r="I45" i="26"/>
  <c r="H47" i="25"/>
  <c r="I47" i="25"/>
  <c r="I46" i="25"/>
  <c r="H47" i="26"/>
  <c r="I47" i="26"/>
  <c r="I46" i="26"/>
  <c r="H25" i="45" l="1"/>
  <c r="I25" i="45" s="1"/>
  <c r="H23" i="46"/>
  <c r="I23" i="45"/>
  <c r="G99" i="47"/>
  <c r="G105" i="46"/>
  <c r="I108" i="44"/>
  <c r="H110" i="44"/>
  <c r="H65" i="46"/>
  <c r="I63" i="46"/>
  <c r="H63" i="47"/>
  <c r="G33" i="46"/>
  <c r="G35" i="45"/>
  <c r="G39" i="45" s="1"/>
  <c r="G60" i="47"/>
  <c r="G62" i="46"/>
  <c r="G66" i="46"/>
  <c r="G68" i="46" s="1"/>
  <c r="H69" i="47"/>
  <c r="I69" i="46"/>
  <c r="H75" i="46"/>
  <c r="H71" i="46"/>
  <c r="I71" i="46" s="1"/>
  <c r="G43" i="45"/>
  <c r="G44" i="45" s="1"/>
  <c r="G45" i="45" s="1"/>
  <c r="H92" i="47"/>
  <c r="I90" i="47"/>
  <c r="G28" i="47"/>
  <c r="G30" i="47" s="1"/>
  <c r="G32" i="47" s="1"/>
  <c r="G30" i="46"/>
  <c r="G32" i="46" s="1"/>
  <c r="H107" i="45"/>
  <c r="I105" i="45"/>
  <c r="H88" i="47"/>
  <c r="I88" i="47" s="1"/>
  <c r="I88" i="46"/>
  <c r="I67" i="42"/>
  <c r="H68" i="42"/>
  <c r="I68" i="42" s="1"/>
  <c r="I26" i="44"/>
  <c r="G53" i="47"/>
  <c r="H104" i="47"/>
  <c r="I104" i="47" s="1"/>
  <c r="I102" i="47"/>
  <c r="H32" i="44"/>
  <c r="I32" i="44" s="1"/>
  <c r="I30" i="44"/>
  <c r="I89" i="45"/>
  <c r="H33" i="46"/>
  <c r="I33" i="45"/>
  <c r="H35" i="45"/>
  <c r="I65" i="45"/>
  <c r="G90" i="47"/>
  <c r="G92" i="47" s="1"/>
  <c r="G92" i="46"/>
  <c r="I85" i="47"/>
  <c r="G93" i="47"/>
  <c r="G95" i="47" s="1"/>
  <c r="G95" i="46"/>
  <c r="I60" i="46"/>
  <c r="H66" i="46"/>
  <c r="H60" i="47"/>
  <c r="I92" i="46"/>
  <c r="H45" i="41"/>
  <c r="I45" i="41" s="1"/>
  <c r="I44" i="41"/>
  <c r="H44" i="42"/>
  <c r="I43" i="42"/>
  <c r="H54" i="47"/>
  <c r="H56" i="46"/>
  <c r="I54" i="46"/>
  <c r="I106" i="45"/>
  <c r="H76" i="45"/>
  <c r="I76" i="45" s="1"/>
  <c r="I70" i="45"/>
  <c r="H70" i="46"/>
  <c r="I64" i="46"/>
  <c r="H64" i="47"/>
  <c r="I64" i="47" s="1"/>
  <c r="I90" i="46"/>
  <c r="H99" i="47"/>
  <c r="H105" i="46"/>
  <c r="H101" i="46"/>
  <c r="I99" i="46"/>
  <c r="G87" i="47"/>
  <c r="G89" i="47" s="1"/>
  <c r="G89" i="46"/>
  <c r="H59" i="45"/>
  <c r="I59" i="45" s="1"/>
  <c r="I57" i="45"/>
  <c r="I98" i="44"/>
  <c r="H52" i="47"/>
  <c r="I52" i="46"/>
  <c r="H58" i="46"/>
  <c r="I58" i="46" s="1"/>
  <c r="G23" i="47"/>
  <c r="G25" i="47" s="1"/>
  <c r="G26" i="47" s="1"/>
  <c r="G25" i="46"/>
  <c r="G100" i="46"/>
  <c r="G106" i="45"/>
  <c r="H39" i="44"/>
  <c r="I39" i="44" s="1"/>
  <c r="I35" i="44"/>
  <c r="H93" i="47"/>
  <c r="H95" i="46"/>
  <c r="I95" i="46" s="1"/>
  <c r="I93" i="46"/>
  <c r="I22" i="45"/>
  <c r="H26" i="45"/>
  <c r="H94" i="47"/>
  <c r="I94" i="47" s="1"/>
  <c r="I94" i="46"/>
  <c r="I107" i="44"/>
  <c r="G98" i="45"/>
  <c r="G108" i="45"/>
  <c r="I74" i="45"/>
  <c r="G72" i="47"/>
  <c r="G74" i="47" s="1"/>
  <c r="G74" i="46"/>
  <c r="G69" i="47"/>
  <c r="G75" i="46"/>
  <c r="G77" i="46" s="1"/>
  <c r="G71" i="46"/>
  <c r="H42" i="46"/>
  <c r="I42" i="45"/>
  <c r="H77" i="45"/>
  <c r="I77" i="45" s="1"/>
  <c r="I75" i="45"/>
  <c r="G85" i="47"/>
  <c r="G97" i="47" s="1"/>
  <c r="G97" i="46"/>
  <c r="G26" i="46"/>
  <c r="H98" i="45"/>
  <c r="I98" i="45" s="1"/>
  <c r="H108" i="45"/>
  <c r="I96" i="45"/>
  <c r="I40" i="45"/>
  <c r="H40" i="46"/>
  <c r="I66" i="45"/>
  <c r="H71" i="45"/>
  <c r="I71" i="45" s="1"/>
  <c r="G54" i="47"/>
  <c r="G56" i="47" s="1"/>
  <c r="G56" i="46"/>
  <c r="G107" i="45"/>
  <c r="I61" i="43"/>
  <c r="H67" i="43"/>
  <c r="H61" i="44"/>
  <c r="H62" i="43"/>
  <c r="I62" i="43" s="1"/>
  <c r="I51" i="46"/>
  <c r="H57" i="46"/>
  <c r="H53" i="46"/>
  <c r="I53" i="46" s="1"/>
  <c r="H51" i="47"/>
  <c r="G61" i="47"/>
  <c r="G67" i="47" s="1"/>
  <c r="G67" i="46"/>
  <c r="G109" i="45"/>
  <c r="H30" i="45"/>
  <c r="H28" i="46"/>
  <c r="I28" i="45"/>
  <c r="H87" i="47"/>
  <c r="H89" i="46"/>
  <c r="I89" i="46" s="1"/>
  <c r="I87" i="46"/>
  <c r="H100" i="47"/>
  <c r="H106" i="46"/>
  <c r="I100" i="46"/>
  <c r="H55" i="47"/>
  <c r="I55" i="47" s="1"/>
  <c r="I55" i="46"/>
  <c r="G63" i="47"/>
  <c r="G65" i="47" s="1"/>
  <c r="G65" i="46"/>
  <c r="I95" i="45"/>
  <c r="I21" i="46"/>
  <c r="H21" i="47"/>
  <c r="H22" i="46"/>
  <c r="H84" i="47"/>
  <c r="I84" i="46"/>
  <c r="H86" i="46"/>
  <c r="H96" i="46"/>
  <c r="H43" i="43"/>
  <c r="I26" i="43"/>
  <c r="H97" i="46"/>
  <c r="G109" i="44"/>
  <c r="I109" i="44" s="1"/>
  <c r="G84" i="47"/>
  <c r="G96" i="46"/>
  <c r="G86" i="46"/>
  <c r="H72" i="47"/>
  <c r="I72" i="46"/>
  <c r="H74" i="46"/>
  <c r="I74" i="46" s="1"/>
  <c r="H41" i="46"/>
  <c r="I41" i="45"/>
  <c r="H109" i="45"/>
  <c r="H74" i="47" l="1"/>
  <c r="I74" i="47" s="1"/>
  <c r="I72" i="47"/>
  <c r="I22" i="46"/>
  <c r="H57" i="47"/>
  <c r="H53" i="47"/>
  <c r="I53" i="47" s="1"/>
  <c r="I51" i="47"/>
  <c r="H41" i="47"/>
  <c r="I41" i="47" s="1"/>
  <c r="I41" i="46"/>
  <c r="H67" i="44"/>
  <c r="I61" i="44"/>
  <c r="H61" i="45"/>
  <c r="H62" i="44"/>
  <c r="I62" i="44" s="1"/>
  <c r="G110" i="45"/>
  <c r="H70" i="47"/>
  <c r="H76" i="46"/>
  <c r="I76" i="46" s="1"/>
  <c r="I70" i="46"/>
  <c r="H39" i="45"/>
  <c r="I39" i="45" s="1"/>
  <c r="I35" i="45"/>
  <c r="I75" i="46"/>
  <c r="H108" i="46"/>
  <c r="H98" i="46"/>
  <c r="I96" i="46"/>
  <c r="I30" i="45"/>
  <c r="H32" i="45"/>
  <c r="I32" i="45" s="1"/>
  <c r="I99" i="47"/>
  <c r="H101" i="47"/>
  <c r="H105" i="47"/>
  <c r="H43" i="44"/>
  <c r="I86" i="46"/>
  <c r="H22" i="47"/>
  <c r="I21" i="47"/>
  <c r="G75" i="47"/>
  <c r="G77" i="47" s="1"/>
  <c r="G71" i="47"/>
  <c r="I44" i="42"/>
  <c r="H45" i="42"/>
  <c r="I45" i="42" s="1"/>
  <c r="H65" i="47"/>
  <c r="I65" i="47" s="1"/>
  <c r="I63" i="47"/>
  <c r="G108" i="46"/>
  <c r="G98" i="46"/>
  <c r="H106" i="47"/>
  <c r="H59" i="46"/>
  <c r="I59" i="46" s="1"/>
  <c r="I57" i="46"/>
  <c r="I67" i="43"/>
  <c r="H68" i="43"/>
  <c r="I68" i="43" s="1"/>
  <c r="H40" i="47"/>
  <c r="I40" i="47" s="1"/>
  <c r="I40" i="46"/>
  <c r="G110" i="44"/>
  <c r="I110" i="44" s="1"/>
  <c r="H42" i="47"/>
  <c r="I42" i="47" s="1"/>
  <c r="I42" i="46"/>
  <c r="H43" i="45"/>
  <c r="I26" i="45"/>
  <c r="I93" i="47"/>
  <c r="H95" i="47"/>
  <c r="I95" i="47" s="1"/>
  <c r="G100" i="47"/>
  <c r="G106" i="47" s="1"/>
  <c r="G109" i="47" s="1"/>
  <c r="G106" i="46"/>
  <c r="G109" i="46" s="1"/>
  <c r="I56" i="46"/>
  <c r="I66" i="46"/>
  <c r="G57" i="47"/>
  <c r="G59" i="47" s="1"/>
  <c r="I107" i="45"/>
  <c r="I92" i="47"/>
  <c r="G66" i="47"/>
  <c r="G68" i="47" s="1"/>
  <c r="G62" i="47"/>
  <c r="G101" i="46"/>
  <c r="I101" i="46" s="1"/>
  <c r="H23" i="47"/>
  <c r="H25" i="46"/>
  <c r="I25" i="46" s="1"/>
  <c r="I23" i="46"/>
  <c r="G33" i="47"/>
  <c r="G35" i="47" s="1"/>
  <c r="G39" i="47" s="1"/>
  <c r="G43" i="47" s="1"/>
  <c r="G44" i="47" s="1"/>
  <c r="G45" i="47" s="1"/>
  <c r="G35" i="46"/>
  <c r="G39" i="46" s="1"/>
  <c r="G105" i="47"/>
  <c r="G107" i="47" s="1"/>
  <c r="I97" i="46"/>
  <c r="H109" i="46"/>
  <c r="I106" i="46"/>
  <c r="I87" i="47"/>
  <c r="H89" i="47"/>
  <c r="I89" i="47" s="1"/>
  <c r="H110" i="45"/>
  <c r="I110" i="45" s="1"/>
  <c r="I108" i="45"/>
  <c r="I60" i="47"/>
  <c r="H66" i="47"/>
  <c r="I109" i="45"/>
  <c r="G86" i="47"/>
  <c r="G96" i="47"/>
  <c r="H44" i="43"/>
  <c r="I43" i="43"/>
  <c r="H96" i="47"/>
  <c r="H86" i="47"/>
  <c r="I86" i="47" s="1"/>
  <c r="I84" i="47"/>
  <c r="H28" i="47"/>
  <c r="H30" i="46"/>
  <c r="I28" i="46"/>
  <c r="G43" i="46"/>
  <c r="G44" i="46" s="1"/>
  <c r="G45" i="46" s="1"/>
  <c r="I52" i="47"/>
  <c r="H58" i="47"/>
  <c r="I58" i="47" s="1"/>
  <c r="I105" i="46"/>
  <c r="H107" i="46"/>
  <c r="I107" i="46" s="1"/>
  <c r="I54" i="47"/>
  <c r="H56" i="47"/>
  <c r="I56" i="47" s="1"/>
  <c r="H97" i="47"/>
  <c r="H33" i="47"/>
  <c r="H35" i="46"/>
  <c r="I33" i="46"/>
  <c r="H71" i="47"/>
  <c r="I71" i="47" s="1"/>
  <c r="I69" i="47"/>
  <c r="H75" i="47"/>
  <c r="I65" i="46"/>
  <c r="G107" i="46"/>
  <c r="H35" i="47" l="1"/>
  <c r="I33" i="47"/>
  <c r="H109" i="47"/>
  <c r="I109" i="47" s="1"/>
  <c r="I97" i="47"/>
  <c r="G108" i="47"/>
  <c r="G110" i="47" s="1"/>
  <c r="G98" i="47"/>
  <c r="G110" i="46"/>
  <c r="H44" i="44"/>
  <c r="I43" i="44"/>
  <c r="H110" i="46"/>
  <c r="I108" i="46"/>
  <c r="I67" i="44"/>
  <c r="H68" i="44"/>
  <c r="I68" i="44" s="1"/>
  <c r="H26" i="46"/>
  <c r="I30" i="46"/>
  <c r="H32" i="46"/>
  <c r="I32" i="46" s="1"/>
  <c r="I96" i="47"/>
  <c r="H108" i="47"/>
  <c r="H98" i="47"/>
  <c r="I98" i="47" s="1"/>
  <c r="G101" i="47"/>
  <c r="I101" i="47" s="1"/>
  <c r="I106" i="47"/>
  <c r="I22" i="47"/>
  <c r="I105" i="47"/>
  <c r="H107" i="47"/>
  <c r="I107" i="47" s="1"/>
  <c r="H77" i="46"/>
  <c r="I77" i="46" s="1"/>
  <c r="I75" i="47"/>
  <c r="H39" i="46"/>
  <c r="I39" i="46" s="1"/>
  <c r="I35" i="46"/>
  <c r="H30" i="47"/>
  <c r="I28" i="47"/>
  <c r="I100" i="47"/>
  <c r="I61" i="45"/>
  <c r="H67" i="45"/>
  <c r="H61" i="46"/>
  <c r="H62" i="45"/>
  <c r="I62" i="45" s="1"/>
  <c r="I57" i="47"/>
  <c r="H59" i="47"/>
  <c r="I59" i="47" s="1"/>
  <c r="H45" i="43"/>
  <c r="I45" i="43" s="1"/>
  <c r="I44" i="43"/>
  <c r="I66" i="47"/>
  <c r="I109" i="46"/>
  <c r="I23" i="47"/>
  <c r="H25" i="47"/>
  <c r="I25" i="47" s="1"/>
  <c r="H44" i="45"/>
  <c r="I43" i="45"/>
  <c r="I98" i="46"/>
  <c r="H76" i="47"/>
  <c r="I76" i="47" s="1"/>
  <c r="I70" i="47"/>
  <c r="H45" i="45" l="1"/>
  <c r="I45" i="45" s="1"/>
  <c r="I44" i="45"/>
  <c r="I67" i="45"/>
  <c r="H68" i="45"/>
  <c r="I68" i="45" s="1"/>
  <c r="H77" i="47"/>
  <c r="I77" i="47" s="1"/>
  <c r="I44" i="44"/>
  <c r="H45" i="44"/>
  <c r="I45" i="44" s="1"/>
  <c r="H32" i="47"/>
  <c r="I32" i="47" s="1"/>
  <c r="I30" i="47"/>
  <c r="H26" i="47"/>
  <c r="I108" i="47"/>
  <c r="H110" i="47"/>
  <c r="I110" i="47" s="1"/>
  <c r="H43" i="46"/>
  <c r="I26" i="46"/>
  <c r="I110" i="46"/>
  <c r="I61" i="46"/>
  <c r="H61" i="47"/>
  <c r="H67" i="46"/>
  <c r="H62" i="46"/>
  <c r="I62" i="46" s="1"/>
  <c r="I35" i="47"/>
  <c r="H39" i="47"/>
  <c r="I39" i="47" s="1"/>
  <c r="I26" i="47" l="1"/>
  <c r="H43" i="47"/>
  <c r="I67" i="46"/>
  <c r="H68" i="46"/>
  <c r="I68" i="46" s="1"/>
  <c r="H67" i="47"/>
  <c r="I61" i="47"/>
  <c r="H62" i="47"/>
  <c r="I62" i="47" s="1"/>
  <c r="I43" i="46"/>
  <c r="H44" i="46"/>
  <c r="I67" i="47" l="1"/>
  <c r="H68" i="47"/>
  <c r="I68" i="47" s="1"/>
  <c r="H44" i="47"/>
  <c r="I43" i="47"/>
  <c r="I44" i="46"/>
  <c r="H45" i="46"/>
  <c r="I45" i="46" s="1"/>
  <c r="I44" i="47" l="1"/>
  <c r="H45" i="47"/>
  <c r="I45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8735D72E-6AB1-F446-9BC5-EBE40EEE556C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23" authorId="1" shapeId="0" xr:uid="{D388ECED-78EA-1D4C-86B2-11C6330F3E0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580100(</t>
        </r>
        <r>
          <rPr>
            <sz val="9"/>
            <color rgb="FF000000"/>
            <rFont val="돋움"/>
            <family val="3"/>
            <charset val="129"/>
          </rPr>
          <t>まとめ定期金額</t>
        </r>
        <r>
          <rPr>
            <sz val="9"/>
            <color rgb="FF000000"/>
            <rFont val="Tahoma"/>
            <family val="2"/>
          </rPr>
          <t>)-94600(</t>
        </r>
        <r>
          <rPr>
            <sz val="9"/>
            <color rgb="FF000000"/>
            <rFont val="돋움"/>
            <family val="3"/>
            <charset val="129"/>
          </rPr>
          <t>指定なし定期　金額</t>
        </r>
        <r>
          <rPr>
            <sz val="9"/>
            <color rgb="FF000000"/>
            <rFont val="Tahoma"/>
            <family val="2"/>
          </rPr>
          <t>)</t>
        </r>
      </text>
    </comment>
    <comment ref="E28" authorId="1" shapeId="0" xr:uid="{AD53C0DB-E620-914A-B771-21831AE5153B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
</t>
        </r>
        <r>
          <rPr>
            <sz val="9"/>
            <color rgb="FF000000"/>
            <rFont val="Tahoma"/>
            <family val="2"/>
          </rPr>
          <t>added one-time ER</t>
        </r>
      </text>
    </comment>
    <comment ref="E40" authorId="1" shapeId="0" xr:uid="{9677F44E-4440-C74B-B954-C103C6D5FF3A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recyfuku total+goodbooks(150)
</t>
        </r>
      </text>
    </comment>
    <comment ref="D43" authorId="1" shapeId="0" xr:uid="{619F40B3-6975-CC4E-BEE0-12FC3245C439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 xml:space="preserve">POA corrected.
</t>
        </r>
        <r>
          <rPr>
            <sz val="9"/>
            <color rgb="FF000000"/>
            <rFont val="Tahoma"/>
            <family val="2"/>
          </rPr>
          <t>match with POA total</t>
        </r>
      </text>
    </comment>
    <comment ref="J49" authorId="0" shapeId="0" xr:uid="{10DFD4AC-B101-DF48-8B97-1F1C07E6579E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DAAC08FC-AE5D-BB44-BD80-AA966F780BB9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D138" authorId="1" shapeId="0" xr:uid="{2DB41AB8-F949-3B4D-9CF5-559A649EFBF2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Q1 total(70911) - coffee(1500) - ER(31500)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71404C3F-A8F7-AD4B-8EA8-5C8AA6F90355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31" authorId="1" shapeId="0" xr:uid="{C099BC05-3747-B84B-BB84-B4CA0D541C5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MS Gothic"/>
            <family val="3"/>
            <charset val="128"/>
          </rPr>
          <t>単発</t>
        </r>
        <r>
          <rPr>
            <sz val="9"/>
            <color rgb="FF000000"/>
            <rFont val="돋움"/>
            <family val="3"/>
            <charset val="129"/>
          </rPr>
          <t>指定なし＋</t>
        </r>
        <r>
          <rPr>
            <sz val="9"/>
            <color rgb="FF000000"/>
            <rFont val="돋움"/>
            <family val="3"/>
            <charset val="129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定期指定なし</t>
        </r>
      </text>
    </comment>
    <comment ref="J49" authorId="0" shapeId="0" xr:uid="{7A4421D1-8CCA-E44D-A7C5-DDC3E53CA494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3BA493D4-3C30-0843-9D85-B5E171B1454E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9F571832-62CD-5143-B626-40FADDD96DAC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F87ADC96-CC87-E847-91BE-54FDC8E79AC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D8B6A8E5-2055-ED4C-9212-F10989C5AB2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7840C87B-00D5-574C-AED5-51E36CF4E59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C6B4392A-D3A2-024C-B0ED-B43CE64F21D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62D0E96E-CC4E-F24E-8B42-1CA22E95AEB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1A78EB79-84DF-174B-836F-B466C0FDAB1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584A3C20-AD6B-8944-AF9D-2771816D6715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330AE2D6-3FD7-8C47-9C6D-F78DD1FB545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DDBA7177-EE41-F541-9968-922F7385C42A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557100-89100/115</t>
        </r>
      </text>
    </comment>
    <comment ref="E31" authorId="1" shapeId="0" xr:uid="{4B586674-F5AB-A746-9EB9-82C06F54AEE7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89100+64081+6500/115</t>
        </r>
      </text>
    </comment>
    <comment ref="J49" authorId="0" shapeId="0" xr:uid="{962D0CCD-DDFF-2F4C-836E-F507ABE9D358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19BE2129-9CF7-9B4B-8C6D-FC07EF28F35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F4B78DF6-8009-5C43-A03C-485656231773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1E9E0086-B88A-F846-A270-999C43E433E0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553100-89100/115</t>
        </r>
      </text>
    </comment>
    <comment ref="E31" authorId="1" shapeId="0" xr:uid="{ADBEFBE6-E110-E44F-8329-0FD214859C2C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89100+164181+63000/115</t>
        </r>
      </text>
    </comment>
    <comment ref="J49" authorId="0" shapeId="0" xr:uid="{2667B416-1140-2942-ACAA-E1F6BCB151B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BBB6F77-3059-094A-B345-6F3DAF714A03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AFA1A9BA-541C-CF49-8ADA-3E57BB73F83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CB927535-09D8-8345-9878-C72A01A0964A}">
      <text>
        <r>
          <rPr>
            <sz val="9"/>
            <color indexed="81"/>
            <rFont val="Tahoma"/>
            <family val="2"/>
          </rPr>
          <t>539100-103100/115</t>
        </r>
      </text>
    </comment>
    <comment ref="E31" authorId="1" shapeId="0" xr:uid="{5C02CE80-B07C-2E40-9ADE-1F6D64013553}">
      <text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103100+337726+132500/115</t>
        </r>
      </text>
    </comment>
    <comment ref="J49" authorId="0" shapeId="0" xr:uid="{1243231A-A279-D941-BB64-CA0C72B4E15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2A8762D7-7099-B540-848E-E96F32C912E6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22221061-EAFC-9545-93A1-DA8067484C0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F3808B94-18B7-674B-9685-24D65EB9E6E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hiktoride</t>
        </r>
      </text>
    </comment>
    <comment ref="E23" authorId="1" shapeId="0" xr:uid="{83A38B52-FF24-1143-ABB9-85ADE701AC91}">
      <text>
        <r>
          <rPr>
            <sz val="9"/>
            <color indexed="81"/>
            <rFont val="Tahoma"/>
            <family val="2"/>
          </rPr>
          <t xml:space="preserve">chad country273500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47000+pj regular0</t>
        </r>
      </text>
    </comment>
    <comment ref="E28" authorId="1" shapeId="0" xr:uid="{8DB5A3F8-BE32-0149-874A-310A03BE478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B16B4706-A4A6-454B-B9F2-0A6E8432B16E}">
      <text>
        <r>
          <rPr>
            <sz val="10"/>
            <color indexed="81"/>
            <rFont val="Tahoma"/>
            <family val="2"/>
          </rPr>
          <t xml:space="preserve">minnade(573000)+one time non-desig(506903)
</t>
        </r>
      </text>
    </comment>
    <comment ref="J49" authorId="0" shapeId="0" xr:uid="{EAF773BB-E792-E14F-9E1C-BF709AF1FCEB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06484B3D-3E98-6A4E-862F-B5508E5C661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0E00C6B2-EB35-A945-BB05-AD720CF168A5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12931CDF-390D-BC4B-BAF1-8E56181EE8F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8A9BC14E-19FF-434A-B4A9-6CF7EFA43835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BFA2975D-9C64-C84E-B657-88955BA1F4D6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CBEFB0F8-A628-D648-86BF-91050692C72E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A0A71B5F-153C-8949-BEC2-4F678E98F5D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CC8D74A-4E1B-064B-97E3-533B4B7285BC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3E351C5E-957D-0142-8BE2-C425E78D091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B6411FE-1608-0C48-BBCA-03A8042C635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F0D6D702-675C-F049-A2CD-869D2FDC6737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9E4BD86B-6A87-AA40-A46F-DE637308980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1DEDD4F7-5576-DD4E-B52F-ACF6DE9F52EC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952BAFF9-9210-054B-99DE-F87BB7137B3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E851ED91-AE85-B14E-B393-1398B29B1D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E22983DC-7ACC-7640-8783-922907092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57B0A7E1-C650-104C-AE93-4CF43944E91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552661A2-8D97-0C4C-BF4E-3311C599DB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マンスリーD94÷115</t>
        </r>
      </text>
    </comment>
    <comment ref="J82" authorId="0" shapeId="0" xr:uid="{5FEFF0E5-0AA8-D340-AF24-4F940CE3DCD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47131D10-C300-9F49-A89B-066C2FE97E0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139DD5E-25C5-3440-9AD4-18D0C893829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9031E19C-0369-3746-BF35-D2D4386CA6A6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EBD315BE-AF9F-774A-A282-0BA510F36F1B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cell)-one time non-desig</t>
        </r>
      </text>
    </comment>
    <comment ref="E31" authorId="1" shapeId="0" xr:uid="{2C3393E9-F4D8-144C-ADC6-3A5359191CDB}">
      <text>
        <r>
          <rPr>
            <sz val="10"/>
            <color indexed="81"/>
            <rFont val="Tahoma"/>
            <family val="2"/>
          </rPr>
          <t>minnade+one time non-desig</t>
        </r>
      </text>
    </comment>
    <comment ref="J49" authorId="0" shapeId="0" xr:uid="{408D022B-F26E-A542-9DB8-8565F27F738E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667FE4B6-C854-FF48-B917-AD299B2EC59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9D41A9CB-5506-2E4C-8023-C9FDBF5C74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BEA9008F-812E-2248-AB9C-43BC6CDDE06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612CF698-BDA7-1C4B-945A-AB11A38828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マンスリー÷115</t>
        </r>
      </text>
    </comment>
    <comment ref="J82" authorId="0" shapeId="0" xr:uid="{40AA4960-B2FA-9447-8905-698D8BAA99C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18" authorId="2" shapeId="0" xr:uid="{8D03EB90-7968-AF4E-B30B-DF68928862E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F2A876B9-DD2A-7344-92F8-44A27C6245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939DD4EF-5B29-FE4A-AA1F-FF88ED2F2E6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609CF1EE-A801-1B41-9D2A-17E29B6987A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0CB8A97B-6828-B645-8F23-A1F704014C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ひとりコース金額合計；H107÷115</t>
        </r>
      </text>
    </comment>
    <comment ref="E23" authorId="1" shapeId="0" xr:uid="{CE5394E6-70D0-4345-B318-D7663EFADFB9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D99F3AE9-E24A-854D-9CFC-CFA107D05ADD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cell)E112-one time non-desig
</t>
        </r>
        <r>
          <rPr>
            <sz val="9"/>
            <color indexed="81"/>
            <rFont val="ＭＳ Ｐゴシック"/>
            <family val="3"/>
            <charset val="128"/>
          </rPr>
          <t>（</t>
        </r>
        <r>
          <rPr>
            <sz val="9"/>
            <color indexed="81"/>
            <rFont val="Tahoma"/>
            <family val="2"/>
          </rPr>
          <t>E86+88</t>
        </r>
        <r>
          <rPr>
            <sz val="9"/>
            <color indexed="81"/>
            <rFont val="ＭＳ Ｐゴシック"/>
            <family val="3"/>
            <charset val="128"/>
          </rPr>
          <t>）</t>
        </r>
      </text>
    </comment>
    <comment ref="E31" authorId="1" shapeId="0" xr:uid="{70A2175E-C11F-BB46-9BF5-6BC3EFC21C03}">
      <text>
        <r>
          <rPr>
            <sz val="10"/>
            <color indexed="81"/>
            <rFont val="Tahoma"/>
            <family val="2"/>
          </rPr>
          <t>minnade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H114+one time non-desig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E86+E88</t>
        </r>
      </text>
    </comment>
    <comment ref="J49" authorId="0" shapeId="0" xr:uid="{9EA23B06-0A75-4944-909A-AF01BCF34FA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1" authorId="2" shapeId="0" xr:uid="{CF892754-E541-174A-9D88-953EC9DECC6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E106
</t>
        </r>
      </text>
    </comment>
    <comment ref="E54" authorId="2" shapeId="0" xr:uid="{3DB07DD8-760C-5B41-BE38-252C4CCDF0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705E6B24-733F-1B48-A6FA-36493338CFB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A1E8F4BC-0391-BE4E-ACBC-C4178A65BAB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マンスリーE107÷115</t>
        </r>
      </text>
    </comment>
    <comment ref="E72" authorId="2" shapeId="0" xr:uid="{A316E5DC-9F86-644A-9EF5-F31DB0CB8C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82" authorId="0" shapeId="0" xr:uid="{3476AAA0-18A3-A54D-8539-7C4DD61F804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96" authorId="3" shapeId="0" xr:uid="{E15C259B-471C-B445-B408-193A263DA081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18" authorId="2" shapeId="0" xr:uid="{9B828370-4C3C-8843-BD0D-E94A4FA2D78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9367AFE5-616C-B24B-9EB3-8CA1A5AB86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6C07A240-5449-6143-85E7-F17F2124475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1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1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2" shapeId="0" xr:uid="{00000000-0006-0000-0D00-00000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1" shapeId="0" xr:uid="{00000000-0006-0000-0D00-000006000000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2" shapeId="0" xr:uid="{00000000-0006-0000-0D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J51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3" authorId="2" shapeId="0" xr:uid="{00000000-0006-0000-0D00-000009000000}">
      <text>
        <r>
          <rPr>
            <b/>
            <sz val="9"/>
            <color rgb="FF000000"/>
            <rFont val="MS P ゴシック"/>
            <family val="3"/>
            <charset val="128"/>
          </rPr>
          <t>細川もなみ</t>
        </r>
        <r>
          <rPr>
            <b/>
            <sz val="9"/>
            <color rgb="FF000000"/>
            <rFont val="Calibri"/>
            <family val="3"/>
            <charset val="128"/>
            <scheme val="minor"/>
          </rPr>
          <t>: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
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E103
</t>
        </r>
      </text>
    </comment>
    <comment ref="E54" authorId="2" shapeId="0" xr:uid="{00000000-0006-0000-0D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2" shapeId="0" xr:uid="{00000000-0006-0000-0D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7" authorId="2" shapeId="0" xr:uid="{00000000-0006-0000-0D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H112+H115)-E112</t>
        </r>
      </text>
    </comment>
    <comment ref="E71" authorId="2" shapeId="0" xr:uid="{00000000-0006-0000-0D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2" shapeId="0" xr:uid="{00000000-0006-0000-0D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96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113" authorId="3" shapeId="0" xr:uid="{00000000-0006-0000-0D00-000010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2" shapeId="0" xr:uid="{00000000-0006-0000-0D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2" shapeId="0" xr:uid="{00000000-0006-0000-0D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2" shapeId="0" xr:uid="{00000000-0006-0000-0D00-000013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</author>
  </authors>
  <commentList>
    <comment ref="E23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E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E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E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E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E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E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チャド定期＋奨学金＋「みんな」新規</t>
        </r>
      </text>
    </comment>
    <comment ref="E57" authorId="1" shapeId="0" xr:uid="{00000000-0006-0000-0E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チャド定期＋奨学金＋「みんな」)-E112</t>
        </r>
      </text>
    </comment>
    <comment ref="E71" authorId="1" shapeId="0" xr:uid="{00000000-0006-0000-0E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E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マンスリーチャド定期＋奨学金＋「みんな」÷115</t>
        </r>
      </text>
    </comment>
    <comment ref="J96" authorId="2" shapeId="0" xr:uid="{00000000-0006-0000-0E00-00000D000000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B113" authorId="3" shapeId="0" xr:uid="{00000000-0006-0000-0E00-00000E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1" shapeId="0" xr:uid="{00000000-0006-0000-0E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E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E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F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F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F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F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F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F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0F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(H110+112+114)-E110</t>
        </r>
      </text>
    </comment>
    <comment ref="E71" authorId="1" shapeId="0" xr:uid="{00000000-0006-0000-0F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F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マンスリーE111
÷115</t>
        </r>
      </text>
    </comment>
    <comment ref="B87" authorId="1" shapeId="0" xr:uid="{00000000-0006-0000-0F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0F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0F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0F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0F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0F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0F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F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F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0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0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0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0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0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0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0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0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0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0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0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0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10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10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0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0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10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0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0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1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1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1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1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1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1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1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1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1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1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1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1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1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1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1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1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1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1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1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1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2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2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2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2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2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2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2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2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2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2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2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2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2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2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2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2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2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2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2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2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3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3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3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3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3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3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3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3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3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3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3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3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3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3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3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3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3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3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3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3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4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00000000-0006-0000-14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4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4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4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4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4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4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4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4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4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4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4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4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4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00000000-0006-0000-14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4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4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4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4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EF86D3D-E931-468C-8634-BB88D2CD3F6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4A0747C-ABE9-4002-A947-99BD345A1D2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D19FA93C-F4D3-4638-B58B-9448EE0BAA7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51F23A15-F161-4733-A768-57626876354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AB5C0CF-3AF1-4658-8951-9F8F433A2CDA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8A64E2C6-B0E3-4ECC-B121-D1D20EFC619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6279A144-D2A2-47A9-97F2-810E96AAC6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2404057-76D0-48CA-A222-1B43261CDB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C60DE2F-99E3-4F6C-87BA-F6FB035FAB7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76D6F41D-A0E3-4CE9-8BAC-31BA0FD641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11EEFFF8-329A-402D-8925-3FCBDF8C41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D68DC352-7F07-41F9-A653-883893AF3A1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ED8F8EA-E609-40F1-BC1B-1791DD06C9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6768C346-D7A1-45A4-81DD-8CE3A28B9AD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F49CF5D5-CC5E-4B35-9C8A-75E8A2D79A7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1F126036-1508-46D4-9FFC-CEEAD8B981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69B68DA-8412-4AF0-860C-A961782580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3778A497-D0B2-4A60-9EDD-A056FB1974D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297C31FF-287B-49F3-8C96-730F8718C0E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A2951F5E-701F-4FB4-9316-FF2C39A4A6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9DC23EE5-1B1D-45BD-A7E3-362EBB6360A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A90B274-203B-4966-B371-B9F46D29AD1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A19DE1C9-64C1-49DC-9EE7-AAB343E2CA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DACC5EA-7907-428B-A683-4709F88A66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2AA99A5C-0F8C-4AF6-B3B6-4403BAD4422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CE7B3A03-C017-4526-9F99-CD87DBF574E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3B9DD453-CC57-4224-BC9D-0FC6C9A7F05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CB679F36-4FFE-4B23-A26B-1C38E70D1AF1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AE8A5EB-3981-43F7-B3C6-5B51801383F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999EB899-8583-4C35-8DD6-D3674851C5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A937763-6CCA-47D2-A111-D183FCC4730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A7C0C740-D239-4319-A868-A854B79EF6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9642AC1-E12F-407F-AF27-E504C273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1B0037A-0A95-4E07-9D86-447384905E4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333A604C-A7FD-4A08-9E27-7F24462D8BE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369EAFC6-AA79-4537-8A40-B23881CA383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4F71BE80-E29C-4DFE-B19A-F292FF63B9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BE72F1C2-AEF8-421A-A20C-391B5CF3CCE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B5BC078-E7F6-4749-86B0-4F0FF6A1F9E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33B7AAC-4D5F-4C07-AFA7-AD9A0611770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D9E4FA17-9C22-45F3-BD84-83CCD8DC15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
(Children ListのSponsorship statusが"N"の子ども数と一致)</t>
        </r>
      </text>
    </comment>
    <comment ref="J96" authorId="2" shapeId="0" xr:uid="{C806D81C-2978-4DB2-B22B-BC591F048F6E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CD4477-2FDB-47A6-B0CC-E6D0C1FC165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1AC75BC0-3286-4D2F-8FE6-86DC7F61415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626A9770-8FF7-4E19-877F-96119419E3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489396D2-947F-426C-8C18-86053E27B86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0B58AEA-6B94-48B6-8973-52EDCAD8912B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39D619E-C4A0-42EA-943F-4AE17C7C62D9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E59BF14-C850-40E8-A170-6BA797BE809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85CEAE3-236F-495E-8849-AA395F6E138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E763460E-4F1C-478D-908E-D9F1BBB7D149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5B03409-6C22-4B0A-ABF0-38242CC2EB0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869192-4ED1-4740-AE9E-467C62688E0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F87AC335-B43F-473B-8B29-8C67296C70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526CEB79-8BE2-4DCD-A0B6-8C8B8D65BA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BA2F8DFB-472F-487C-8E52-1B4CDDDE87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97A21A8B-8EBF-4D66-871A-4126CDFD53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2A1DA37-6A2D-4633-96E9-56675C4417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FF33CD98-FAA5-454E-AE18-06D8CBCA903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87C214A-594B-49DF-8D01-3A667934D33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FA2CA9E-4679-44F0-9D24-72312B6269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BF081B8-0DC0-4D7E-A7E3-1783719778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84FB361-A1B6-4B9F-8E5E-1167BF2648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E29ABB25-EA6E-4D6A-82A4-2AAD0FD41C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DFC356C5-D5BE-4850-9C0D-C34BF7EC96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1D5350E7-F456-4348-AE6B-DE25D7BCAEA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DF8641F-7AA2-43AE-88DD-D5F8887D67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7A76DD10-91A4-421D-90FA-9306E2DAD49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13305336-A421-47E9-9AAC-E55773E2D8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907AB82D-F5B8-4B11-9589-B671DDBE865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9A58C5F6-2948-4374-95F4-83059E96476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AFFB1772-F9A7-4596-992E-5BA0C994CEAE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5959AF40-694B-4941-9060-942220DA4C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3645D928-CDF1-47FE-BDF0-449EDD48DD5E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3B05FB72-8EFB-4A20-B4E2-47F7646348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5C7C2045-4D93-4C45-B969-A927B4723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17D4D39F-EC59-457F-BEEE-85452C0B3B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F3D90699-A011-48AE-9930-4348BF3ED9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5A8C1C6-7589-491A-B5A4-28C90EAD8C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78064DCF-BCDD-436B-BE66-726F5171E3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609E4A14-D215-4302-A907-40A2A8BBBA6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90BC3544-2F37-427B-BA7F-4C02F1967E2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23688D7-DE15-4C14-9A6D-56F7B055EEC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9BEB039E-16EF-4DA2-999E-869A7591AB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DC3704EA-06E6-4846-8FA2-906EBC6ACA3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B73A200-5E68-43BF-A29E-0B407365C6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A6546E8-852D-42E4-B7B7-6D5BDEFB43E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853202C-4C52-42E2-BA27-8FEB1261C5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FD5764A6-8821-400B-BBF7-7C146082BA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FAA1FDF-E387-4763-B7BE-5B606E2796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4FC53DC3-8D75-48AD-9CF2-DFDD514AE13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581C13A5-CFD5-439D-BA18-92414B94D2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8D376BF-E0C1-447B-AB7F-87D767B27E48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1DFB46A3-137E-43D9-9509-AB319A2893D8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8FD459BB-630A-4E93-AA77-EF979029800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FCBADB42-03F7-45C9-A314-7DE81E2A16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B2CAD93B-A0F5-4E9F-8F7B-B66560AACB42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1" shapeId="0" xr:uid="{3AB0EC07-8A00-4460-BDD6-2DA51A5523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263DEF5B-24F5-4509-A42B-B602F9912B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7147A8A-5A51-4E10-9D0A-C3DE2068E56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606EBEC-0452-4945-A3A4-1B0D6B7D0D7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166946F-D7D9-49F7-ACB9-D7E5B97735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E9EDBDE-0469-43AB-8DA6-ECDC5E94562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29C6DC9F-0C4A-4AF6-9F3B-553B28A6DB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CE29BC67-EB5B-4358-904E-CA8127FB2AB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5CC0F7DD-AF6D-4683-9FCF-B47FD3118E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A9E8131-F939-4A4D-A6EF-C4EE6C17205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85923FB5-C2C8-4EBF-9FE8-72C5B9FC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78AA941-A104-4BE1-A448-004A3B68EC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DE7FD7-02A1-4A1B-A228-FE27C78EB51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FCCE0BE9-4109-4CA6-AF5C-FA2AE5C8C7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DE3292-F8B2-4A95-B5CA-FA8986C697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7322CEEC-9091-4969-83D0-5AF50D6380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66EC8497-0EB4-4CBC-BE7C-94D89CDC37C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F8E045D-5E51-4466-A3EF-413C6CE1383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6B70B34C-833C-4B63-BA45-887CFAF91EC3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5016FB0-3D18-47C1-8E9D-8C53ED209907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5A795109-87BF-4E03-A228-3D8CC368B64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9647413-3DEB-4B1E-95ED-E3A0062DF2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77B476B0-9A52-482C-8FA1-480DBFD77AB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2E7AE610-C8EA-43B0-94C4-65572F7A1A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40D64AE6-5E3B-4365-BF8F-9FF1DB038AF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BBAA25DA-95E6-4685-BB9F-26FBA007594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49B23CE8-5C5A-45B6-A03B-1FB397C51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94B62D0-3331-4E71-B399-9F6FFE8CD8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77F1B32-AD38-4721-98D4-E46518497A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4681F504-5640-4985-804F-B2521D0BD8E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05FBC05-4780-401D-A161-BF6AFF84F9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996F3949-7524-4C3B-AE13-43316EDAA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9BB6FD3-362A-4B8B-A155-D7D1E73E780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875AE1A-E31A-4F53-AE8F-38DF4D2D5F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B56F522A-A72D-4C9A-A786-2E1472D94A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80C433F-B7AC-400C-9D6C-C911B04DBF6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276B108-755E-4AAF-ABDD-D904D79B707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98AF3C2A-F110-417F-AD6E-C49E2011E0A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6D7FD77-C593-4EAF-9B78-43E103A833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ABA2986B-A32E-4957-BE96-5236B6E0521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6BD171FD-22F1-4ECA-9A72-29336A0CF76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DACBCFBA-17D4-4339-8994-7B11A84355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8CABF3E7-8F56-40F0-99B7-168966CBBFAF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B2C1666A-E77E-47C4-8A6C-B066E2B11C6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B964D76-45E2-4D7A-B5C2-395928A46F5F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C5ED3E4A-E46F-4095-A513-1E695D669E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D0894EFB-E9AD-48DC-ADF3-07A01F296AF5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5CBEB466-B6D9-48EE-8316-550B9F93714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22C3B5-8821-4FC1-A898-CB49C476D6B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787227-51DD-463D-AA20-CB298D4531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DC044C08-FD5E-487A-8AA8-92184C1AFE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4A1D0C8-6111-4808-92E4-0E58DB5324E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B591AD4-7F2E-4B35-AC84-F70E923B5AA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960863D-EF86-4AFB-A596-0430365B6A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21EB5BA4-0437-40E1-A1D6-7372AF6C9E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6977497-3BED-4D4B-AF10-69372EB4A99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21A62F95-2B68-4F61-8DC5-5B1D30539D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6DA5662-FA10-4DE7-953F-844A8D114D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01F085E-A9D1-4764-A7A5-F4E23FFCAD0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BA435E4-A23E-46D3-B77F-E2FC7EC74D3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C8302E4-10AE-4A8E-8C77-5DDBBC69DB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49FB660A-3A6D-4C9C-BCB9-C4CE9294267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9C40CBE-033A-415C-9B08-9606E84C4CA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2278B07C-35BC-456B-83DB-F2B55FBBB3AD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42651F92-4175-4D96-A118-F128597280A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78163BA9-4978-47D3-9E70-4D73315CD7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7C767893-4F54-45B9-8526-6517365A9104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4883C17-E149-4153-934B-6FE549B1219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A7A7501-18D2-48DE-A7F7-5D8D62AB20F8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58EA347-D0BB-4CAD-A320-D9D00F4B85A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111A588B-4853-421E-AE23-45B137D0C26D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421DBBDF-0115-457A-A889-D918031B2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95F3685-E207-4839-B80C-326C539ADFE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FDAADDE-B5E2-48D5-A117-56B0F5A64B2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11D37137-CB30-45D9-BF27-E1414355899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ABC75B4-45DB-48C2-A882-55D244A3E4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EA56BDFF-43DC-4429-9078-C6069A1C04C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3BEDF1D-0E40-4F71-8571-0BC4D3D82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AE3D81A5-96D4-47A4-815A-0E90955E699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13F68A6-8D9F-4542-931E-2C4E5BFE67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C17E265B-ECD8-433D-9C74-D2576BFBD3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D92E029-D444-4212-979C-D61C3676E0A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AB2E99A-10F7-4270-8875-A7D9090B16E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5B1B4C1-CEC9-4DF2-BD51-D65E3EED40F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51732D35-8577-47C6-817A-8AF58F363E5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6DE0057A-055E-49AB-8783-40AA6701EA0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E1301025-6D42-420B-886B-F22CDEBDD6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532B9E1B-D1DE-4D6F-963E-20FF9504EE43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7FE06AB6-C374-4C9A-A4AA-1EF18EF353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28A377AA-48FA-489A-9836-C20BEE1297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1CCB5F94-1EE0-433A-896D-552B226242BA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EDBE0FFC-36F8-41B8-BBDF-1827A87C80AD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649BB4B-6A6B-4E90-A8E4-CA4EB4DB9044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0825365-473A-4D03-84F2-267A8DF3EE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F9016B52-3BED-4DE0-9F4C-ABE94C6D267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BC54471F-DE94-42B4-A3DC-38F783B10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CBE72197-6326-4FF2-AF32-100E970FA08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F84675-8050-45F8-9F56-96764D6ADFE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4F7EEAC-BBE7-4E79-ACEE-E586CCC2BB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DCB6503-594E-4BD4-AA1D-3F39D519C05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B22EFE40-F632-459E-A3F2-9B267B9A23E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CF7F32C3-8CA7-430A-B081-0F7512F5C5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78BF0407-98F6-4F9F-A4C4-20C03DDF1A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70EFD09D-0ECE-451C-9B4D-D5AB98ADEBD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38176D6-2578-4D17-B163-3F8307405A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7365F41-C2F0-4F84-8AE7-CBB7ADB9915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535ED90-E029-4E62-AF55-CFD566120F3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769CEE54-B86F-4A2C-BA6E-AA76F815D9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D92" authorId="1" shapeId="0" xr:uid="{CF659EB5-A215-49DD-A79F-FD25DFA9B5B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1人合わないためSFに合わせました
</t>
        </r>
      </text>
    </comment>
    <comment ref="J96" authorId="2" shapeId="0" xr:uid="{B73ABB42-65B9-46E4-BAC0-84EBFCC33EF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C8994ACA-519A-420F-8588-7DC7E4DE531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3016519B-C2C9-4ED9-8768-CB930B85F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09CBA9AE-344C-4F30-B2ED-94F411E422C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1B940FBC-E96F-4BBF-B479-917B3240AD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E8A580F-DDF6-4AD5-B342-866181C5DEC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C6FC0FB8-C3BA-47C2-9254-B8CDCC4DA23C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DBB4266-5551-4079-BAFB-73F02F23E9E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219D38A6-E069-4AF3-AE7C-415394FDF34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C694F47-96D3-4150-BB3F-86CB61758DC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9849660-DD25-48BF-BCF8-CD46EF9A922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C8A573F4-A078-42FB-A2D5-E7EC9A9055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F0A28386-1878-4384-91AC-FDE4372D2E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E588E59-E484-4B5A-A5C8-F362751625D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B59464A-181F-4CA5-94EE-7DBCC180C4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83FD1E0F-CF21-4A64-A3D0-3926440CE7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ADC28E8-8005-4FF0-9D11-BC7640673F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9AD5C53A-A390-480F-9D4E-7900591EC18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6915694-C69D-4C77-A7C7-AE2B4C2EF2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3F15091E-2E4B-4D34-9369-BA7CE7D0FC7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7A6FF1B5-3E88-41BD-B5A3-850DDCD126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94295CEA-7116-4D10-9B73-5681484F162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5ADE72B6-321A-431B-8DF5-C4D49CEB95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100292A0-FCB0-4765-9713-F0BC6D3D398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9A1D828-0442-458F-B10F-39E51078859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DC32CBFC-1374-447F-876C-C1119D2C9E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4E7A567C-F80F-478C-80DB-1397203FA1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1624454D-8097-4114-A1CC-A9A64C27A91E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E4C776B0-847B-44A2-AB80-2786384900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6DCEBE17-E162-4C22-A144-27EF34EDFA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sharedStrings.xml><?xml version="1.0" encoding="utf-8"?>
<sst xmlns="http://schemas.openxmlformats.org/spreadsheetml/2006/main" count="8235" uniqueCount="446">
  <si>
    <t xml:space="preserve">Monthly Report </t>
    <phoneticPr fontId="9" type="noConversion"/>
  </si>
  <si>
    <t>Good Neighbors</t>
    <phoneticPr fontId="9" type="noConversion"/>
  </si>
  <si>
    <t>JAPAN</t>
  </si>
  <si>
    <t xml:space="preserve">Authorized by </t>
    <phoneticPr fontId="9" type="noConversion"/>
  </si>
  <si>
    <t>Satoshi Koizumi</t>
    <phoneticPr fontId="9" type="noConversion"/>
  </si>
  <si>
    <t>Prepared by</t>
    <phoneticPr fontId="9" type="noConversion"/>
  </si>
  <si>
    <t xml:space="preserve">Date of Submission </t>
    <phoneticPr fontId="9" type="noConversion"/>
  </si>
  <si>
    <t xml:space="preserve">1. HR / Organization </t>
    <phoneticPr fontId="9" type="noConversion"/>
  </si>
  <si>
    <t>Category</t>
  </si>
  <si>
    <t>Current 
Condition</t>
    <phoneticPr fontId="9" type="noConversion"/>
  </si>
  <si>
    <t>Remarks</t>
    <phoneticPr fontId="9" type="noConversion"/>
  </si>
  <si>
    <t>Tokyo Office</t>
    <phoneticPr fontId="9" type="noConversion"/>
  </si>
  <si>
    <t>Dispatched</t>
    <phoneticPr fontId="9" type="noConversion"/>
  </si>
  <si>
    <t>Intern</t>
  </si>
  <si>
    <t>Total (Person)</t>
  </si>
  <si>
    <t>-</t>
    <phoneticPr fontId="9" type="noConversion"/>
  </si>
  <si>
    <t xml:space="preserve">2. Fundraising Activities &amp; Achievement </t>
    <phoneticPr fontId="9" type="noConversion"/>
  </si>
  <si>
    <t>USD1=JPY115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</si>
  <si>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</si>
  <si>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</si>
  <si>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Monthly Achievement </t>
    <phoneticPr fontId="9" type="noConversion"/>
  </si>
  <si>
    <t>Accumulated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</si>
  <si>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</si>
  <si>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</si>
  <si>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Achievement</t>
    <phoneticPr fontId="9" type="noConversion"/>
  </si>
  <si>
    <t>%</t>
    <phoneticPr fontId="9" type="noConversion"/>
  </si>
  <si>
    <t>Regular Sponsorhip / Donor Development</t>
    <phoneticPr fontId="9" type="noConversion"/>
  </si>
  <si>
    <t xml:space="preserve">Sponsorship </t>
    <phoneticPr fontId="9" type="noConversion"/>
  </si>
  <si>
    <t>Child Sponsorship</t>
    <phoneticPr fontId="9" type="noConversion"/>
  </si>
  <si>
    <t>Overseas</t>
    <phoneticPr fontId="9" type="noConversion"/>
  </si>
  <si>
    <t>Sub-total</t>
    <phoneticPr fontId="9" type="noConversion"/>
  </si>
  <si>
    <t xml:space="preserve">Project Sponsorship </t>
    <phoneticPr fontId="9" type="noConversion"/>
  </si>
  <si>
    <t>Domestic</t>
    <phoneticPr fontId="9" type="noConversion"/>
  </si>
  <si>
    <t xml:space="preserve">Fund/Resource Development </t>
    <phoneticPr fontId="9" type="noConversion"/>
  </si>
  <si>
    <t>Donation
(One-time)</t>
    <phoneticPr fontId="9" type="noConversion"/>
  </si>
  <si>
    <t>Designated
/Special</t>
    <phoneticPr fontId="9" type="noConversion"/>
  </si>
  <si>
    <t>Non-Designated
/General</t>
    <phoneticPr fontId="9" type="noConversion"/>
  </si>
  <si>
    <t>Grant</t>
    <phoneticPr fontId="9" type="noConversion"/>
  </si>
  <si>
    <t>Government</t>
    <phoneticPr fontId="9" type="noConversion"/>
  </si>
  <si>
    <t>JPF</t>
    <phoneticPr fontId="9" type="noConversion"/>
  </si>
  <si>
    <t>(Name)</t>
    <phoneticPr fontId="9" type="noConversion"/>
  </si>
  <si>
    <t>Foundation
&amp;Other Organization</t>
    <phoneticPr fontId="9" type="noConversion"/>
  </si>
  <si>
    <t>Gift-in-Kind</t>
    <phoneticPr fontId="9" type="noConversion"/>
  </si>
  <si>
    <t>Others</t>
    <phoneticPr fontId="9" type="noConversion"/>
  </si>
  <si>
    <t>=&gt; make a comment regarding income "Other"</t>
    <phoneticPr fontId="9" type="noConversion"/>
  </si>
  <si>
    <t>GNI Grant for Fundraising</t>
    <phoneticPr fontId="9" type="noConversion"/>
  </si>
  <si>
    <t>Total</t>
    <phoneticPr fontId="9" type="noConversion"/>
  </si>
  <si>
    <t>Total (Excluding Gift-in-Kind)</t>
    <phoneticPr fontId="9" type="noConversion"/>
  </si>
  <si>
    <t>Total (Excluding Gift-in-Kind, GNI Grant)</t>
    <phoneticPr fontId="9" type="noConversion"/>
  </si>
  <si>
    <t xml:space="preserve">3. Details of Membership </t>
    <phoneticPr fontId="9" type="noConversion"/>
  </si>
  <si>
    <t>Category</t>
    <phoneticPr fontId="9" type="noConversion"/>
  </si>
  <si>
    <t xml:space="preserve">Child Sponsorship No. </t>
    <phoneticPr fontId="9" type="noConversion"/>
  </si>
  <si>
    <t>of New Sponsors</t>
    <phoneticPr fontId="9" type="noConversion"/>
  </si>
  <si>
    <t>of Existing Sponsors</t>
    <phoneticPr fontId="9" type="noConversion"/>
  </si>
  <si>
    <t>Sub-Total</t>
    <phoneticPr fontId="9" type="noConversion"/>
  </si>
  <si>
    <t xml:space="preserve">Project 
Sponsorship No. </t>
    <phoneticPr fontId="9" type="noConversion"/>
  </si>
  <si>
    <t>Total (Person)</t>
    <phoneticPr fontId="9" type="noConversion"/>
  </si>
  <si>
    <t xml:space="preserve">Child 
Sponsorship Case
(1Case=$10) </t>
    <phoneticPr fontId="9" type="noConversion"/>
  </si>
  <si>
    <t xml:space="preserve">Project 
Sponsorship Case
(1Case=$10) </t>
    <phoneticPr fontId="9" type="noConversion"/>
  </si>
  <si>
    <t>Total (Case)</t>
    <phoneticPr fontId="9" type="noConversion"/>
  </si>
  <si>
    <t>Child 
Sponsorship Due($)</t>
    <phoneticPr fontId="9" type="noConversion"/>
  </si>
  <si>
    <t>Project 
Sponsorship Due($)</t>
    <phoneticPr fontId="9" type="noConversion"/>
  </si>
  <si>
    <t>Total ($)</t>
    <phoneticPr fontId="9" type="noConversion"/>
  </si>
  <si>
    <t xml:space="preserve">**The total should be same with the sub-total of sponsorship in part 2. </t>
    <phoneticPr fontId="9" type="noConversion"/>
  </si>
  <si>
    <t>4. Details of Sponsored Children</t>
    <phoneticPr fontId="9" type="noConversion"/>
  </si>
  <si>
    <t xml:space="preserve">Region </t>
    <phoneticPr fontId="9" type="noConversion"/>
  </si>
  <si>
    <t xml:space="preserve">Country </t>
    <phoneticPr fontId="9" type="noConversion"/>
  </si>
  <si>
    <t>Asia</t>
    <phoneticPr fontId="9" type="noConversion"/>
  </si>
  <si>
    <t>Indonesia</t>
    <phoneticPr fontId="9" type="noConversion"/>
  </si>
  <si>
    <t>No. of New Sponsored Children</t>
    <phoneticPr fontId="9" type="noConversion"/>
  </si>
  <si>
    <t xml:space="preserve">No. of Exsting Sponosred Children </t>
    <phoneticPr fontId="9" type="noConversion"/>
  </si>
  <si>
    <t>Sub Total</t>
    <phoneticPr fontId="9" type="noConversion"/>
  </si>
  <si>
    <t>India</t>
    <phoneticPr fontId="9" type="noConversion"/>
  </si>
  <si>
    <t>Bangladesh</t>
    <phoneticPr fontId="9" type="noConversion"/>
  </si>
  <si>
    <t>Nepal</t>
    <phoneticPr fontId="9" type="noConversion"/>
  </si>
  <si>
    <t>Africa</t>
    <phoneticPr fontId="9" type="noConversion"/>
  </si>
  <si>
    <t>Ethiopia</t>
    <phoneticPr fontId="9" type="noConversion"/>
  </si>
  <si>
    <t>Chad</t>
    <phoneticPr fontId="9" type="noConversion"/>
  </si>
  <si>
    <t>5. Major fundraising activities and campaign</t>
    <phoneticPr fontId="9" type="noConversion"/>
  </si>
  <si>
    <t>Name of event</t>
    <phoneticPr fontId="9" type="noConversion"/>
  </si>
  <si>
    <t>Recyfuku</t>
    <phoneticPr fontId="20"/>
  </si>
  <si>
    <t>GOODBOOKS</t>
    <phoneticPr fontId="9" type="noConversion"/>
  </si>
  <si>
    <t>Period</t>
    <phoneticPr fontId="9" type="noConversion"/>
  </si>
  <si>
    <t>through out the year</t>
    <phoneticPr fontId="9" type="noConversion"/>
  </si>
  <si>
    <t>through out the year</t>
    <phoneticPr fontId="20"/>
  </si>
  <si>
    <t>Method</t>
    <phoneticPr fontId="9" type="noConversion"/>
  </si>
  <si>
    <t>online and offline</t>
    <phoneticPr fontId="9" type="noConversion"/>
  </si>
  <si>
    <t>online (webpage, SNS)</t>
    <phoneticPr fontId="9" type="noConversion"/>
  </si>
  <si>
    <t>Cooperating organizations</t>
    <phoneticPr fontId="9" type="noConversion"/>
  </si>
  <si>
    <t>Vector</t>
    <phoneticPr fontId="9" type="noConversion"/>
  </si>
  <si>
    <t>Bookoff online Corp,</t>
    <phoneticPr fontId="9" type="noConversion"/>
  </si>
  <si>
    <t>No. of participant</t>
    <phoneticPr fontId="9" type="noConversion"/>
  </si>
  <si>
    <t>No. of participating organization</t>
    <phoneticPr fontId="9" type="noConversion"/>
  </si>
  <si>
    <t>NA</t>
    <phoneticPr fontId="20"/>
  </si>
  <si>
    <t>NA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</si>
  <si>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  <phoneticPr fontId="9" type="noConversion"/>
  </si>
  <si>
    <t>Child sponsorship</t>
    <phoneticPr fontId="9" type="noConversion"/>
  </si>
  <si>
    <t>Project support</t>
    <phoneticPr fontId="9" type="noConversion"/>
  </si>
  <si>
    <t>One time donation</t>
    <phoneticPr fontId="9" type="noConversion"/>
  </si>
  <si>
    <t>Gift in kind</t>
    <phoneticPr fontId="9" type="noConversion"/>
  </si>
  <si>
    <t>6. Progress of this month and plan for next month</t>
  </si>
  <si>
    <t xml:space="preserve">Category </t>
    <phoneticPr fontId="9" type="noConversion"/>
  </si>
  <si>
    <t>Feb</t>
    <phoneticPr fontId="9" type="noConversion"/>
  </si>
  <si>
    <t>Business Trip</t>
    <phoneticPr fontId="9" type="noConversion"/>
  </si>
  <si>
    <t xml:space="preserve">Network &amp; Partnership </t>
    <phoneticPr fontId="9" type="noConversion"/>
  </si>
  <si>
    <t xml:space="preserve">Fundraising </t>
    <phoneticPr fontId="9" type="noConversion"/>
  </si>
  <si>
    <t xml:space="preserve">Others </t>
    <phoneticPr fontId="9" type="noConversion"/>
  </si>
  <si>
    <t xml:space="preserve"> 1) Budget </t>
    <phoneticPr fontId="9" type="noConversion"/>
  </si>
  <si>
    <t xml:space="preserve">GNI Grant </t>
    <phoneticPr fontId="9" type="noConversion"/>
  </si>
  <si>
    <t xml:space="preserve">Carry over from last month </t>
    <phoneticPr fontId="9" type="noConversion"/>
  </si>
  <si>
    <t>Raised fund</t>
    <phoneticPr fontId="9" type="noConversion"/>
  </si>
  <si>
    <t>Expenditure</t>
    <phoneticPr fontId="9" type="noConversion"/>
  </si>
  <si>
    <t>Details of Expenditure</t>
    <phoneticPr fontId="9" type="noConversion"/>
  </si>
  <si>
    <t>Balance</t>
    <phoneticPr fontId="9" type="noConversion"/>
  </si>
  <si>
    <t>salary, rent, office supply, etc</t>
    <phoneticPr fontId="9" type="noConversion"/>
  </si>
  <si>
    <t xml:space="preserve"> 2) Request &amp; Plan </t>
    <phoneticPr fontId="9" type="noConversion"/>
  </si>
  <si>
    <t xml:space="preserve">Grant Request </t>
    <phoneticPr fontId="9" type="noConversion"/>
  </si>
  <si>
    <t xml:space="preserve">Expenditure Plan </t>
    <phoneticPr fontId="9" type="noConversion"/>
  </si>
  <si>
    <t>8. Others_Webpage Update</t>
    <phoneticPr fontId="9" type="noConversion"/>
  </si>
  <si>
    <t>#</t>
    <phoneticPr fontId="9" type="noConversion"/>
  </si>
  <si>
    <t>Webpage</t>
    <phoneticPr fontId="9" type="noConversion"/>
  </si>
  <si>
    <t>Times of Webpage Update (Related to Fundraising)</t>
    <phoneticPr fontId="9" type="noConversion"/>
  </si>
  <si>
    <t xml:space="preserve">No. of Visits to Webpage </t>
    <phoneticPr fontId="9" type="noConversion"/>
  </si>
  <si>
    <t>Facebook</t>
    <phoneticPr fontId="9" type="noConversion"/>
  </si>
  <si>
    <t>Times of Facebook Update (Related to Fundraising)</t>
    <phoneticPr fontId="9" type="noConversion"/>
  </si>
  <si>
    <t xml:space="preserve">No. of Facebook followers </t>
    <phoneticPr fontId="9" type="noConversion"/>
  </si>
  <si>
    <t>Twitter</t>
    <phoneticPr fontId="9" type="noConversion"/>
  </si>
  <si>
    <t>No. of Twitter followers</t>
    <phoneticPr fontId="9" type="noConversion"/>
  </si>
  <si>
    <t>AD</t>
    <phoneticPr fontId="9" type="noConversion"/>
  </si>
  <si>
    <t>Scale of Advertising (No.of people that saw or participated your publications)</t>
  </si>
  <si>
    <t>Yokomichi</t>
    <phoneticPr fontId="9" type="noConversion"/>
  </si>
  <si>
    <t>Feb</t>
  </si>
  <si>
    <t xml:space="preserve">Sub-Category </t>
    <phoneticPr fontId="9" type="noConversion"/>
  </si>
  <si>
    <t>Mar</t>
    <phoneticPr fontId="9" type="noConversion"/>
  </si>
  <si>
    <t xml:space="preserve">7. Expenditure &amp; Request of GNI Grant </t>
    <phoneticPr fontId="9" type="noConversion"/>
  </si>
  <si>
    <t>.</t>
    <phoneticPr fontId="9" type="noConversion"/>
  </si>
  <si>
    <t>Otakara Aid</t>
    <phoneticPr fontId="9" type="noConversion"/>
  </si>
  <si>
    <t>Apr</t>
    <phoneticPr fontId="9" type="noConversion"/>
  </si>
  <si>
    <t>TM communication</t>
    <phoneticPr fontId="9" type="noConversion"/>
  </si>
  <si>
    <t>March</t>
  </si>
  <si>
    <t>Jan</t>
  </si>
  <si>
    <t>April</t>
  </si>
  <si>
    <t>May</t>
  </si>
  <si>
    <t>June</t>
  </si>
  <si>
    <t>July</t>
  </si>
  <si>
    <t>Aug</t>
  </si>
  <si>
    <t>Oct</t>
    <phoneticPr fontId="20"/>
  </si>
  <si>
    <t>Good Gohan</t>
    <phoneticPr fontId="9" type="noConversion"/>
  </si>
  <si>
    <t>second harvest japan</t>
    <phoneticPr fontId="9" type="noConversion"/>
  </si>
  <si>
    <t>Nov</t>
    <phoneticPr fontId="9" type="noConversion"/>
  </si>
  <si>
    <t>Dec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</si>
  <si>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</si>
  <si>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Nov</t>
  </si>
  <si>
    <t>Dec</t>
  </si>
  <si>
    <t xml:space="preserve">1. HR / Organization 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</si>
  <si>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</si>
  <si>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</si>
  <si>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</si>
  <si>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</si>
  <si>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Child Sponsorship</t>
    <phoneticPr fontId="9" type="noConversion"/>
  </si>
  <si>
    <t>Donation
(One-time)</t>
    <phoneticPr fontId="9" type="noConversion"/>
  </si>
  <si>
    <t>Designated
/Special</t>
    <phoneticPr fontId="9" type="noConversion"/>
  </si>
  <si>
    <t>Overseas</t>
    <phoneticPr fontId="9" type="noConversion"/>
  </si>
  <si>
    <t>of Existing Sponsors</t>
    <phoneticPr fontId="9" type="noConversion"/>
  </si>
  <si>
    <t>Indonesia</t>
    <phoneticPr fontId="9" type="noConversion"/>
  </si>
  <si>
    <t>Cambodia</t>
    <phoneticPr fontId="20"/>
  </si>
  <si>
    <t>Sub Total</t>
    <phoneticPr fontId="20"/>
  </si>
  <si>
    <t xml:space="preserve">No. of Exsting Sponosred Children </t>
    <phoneticPr fontId="9" type="noConversion"/>
  </si>
  <si>
    <t>Sub Total</t>
    <phoneticPr fontId="9" type="noConversion"/>
  </si>
  <si>
    <t>Total</t>
    <phoneticPr fontId="9" type="noConversion"/>
  </si>
  <si>
    <t>Good Gohan</t>
    <phoneticPr fontId="9" type="noConversion"/>
  </si>
  <si>
    <t>NA</t>
    <phoneticPr fontId="20"/>
  </si>
  <si>
    <t>Dec</t>
    <phoneticPr fontId="20"/>
  </si>
  <si>
    <t>Jan</t>
    <phoneticPr fontId="9" type="noConversion"/>
  </si>
  <si>
    <t xml:space="preserve">GNI Grant </t>
    <phoneticPr fontId="9" type="noConversion"/>
  </si>
  <si>
    <t>Monami Hosokawa</t>
    <phoneticPr fontId="9" type="noConversion"/>
  </si>
  <si>
    <t>Regular-Full time</t>
    <phoneticPr fontId="20"/>
  </si>
  <si>
    <t>Regular-part time</t>
    <phoneticPr fontId="20"/>
  </si>
  <si>
    <t>Dispatched</t>
    <phoneticPr fontId="9" type="noConversion"/>
  </si>
  <si>
    <t>contract-full time</t>
    <phoneticPr fontId="9" type="noConversion"/>
  </si>
  <si>
    <t>contract-part time</t>
    <phoneticPr fontId="20"/>
  </si>
  <si>
    <t>2018 Goal</t>
    <phoneticPr fontId="9" type="noConversion"/>
  </si>
  <si>
    <t>Koizumi, Yaguchi</t>
    <phoneticPr fontId="9" type="noConversion"/>
  </si>
  <si>
    <t>Iijima, Takeyari</t>
    <phoneticPr fontId="20"/>
  </si>
  <si>
    <t>Hosokawa</t>
    <phoneticPr fontId="9" type="noConversion"/>
  </si>
  <si>
    <t>Feb</t>
    <phoneticPr fontId="20"/>
  </si>
  <si>
    <t>Apr</t>
    <phoneticPr fontId="9" type="noConversion"/>
  </si>
  <si>
    <t xml:space="preserve">Satoshi: Korea </t>
    <phoneticPr fontId="20"/>
  </si>
  <si>
    <t>1) Overall statistics of sponsored children</t>
  </si>
  <si>
    <t>Statistics</t>
  </si>
  <si>
    <t>Cumulative total</t>
  </si>
  <si>
    <t>Remark</t>
  </si>
  <si>
    <t>No.</t>
  </si>
  <si>
    <t>%</t>
  </si>
  <si>
    <t>Sponsored</t>
  </si>
  <si>
    <t>No.of Sponsored children at the beginning of this year</t>
  </si>
  <si>
    <t>Fixed number</t>
  </si>
  <si>
    <t>No.of Sponsored children in this month</t>
  </si>
  <si>
    <t>No.of Newly Sponsored children in this month</t>
  </si>
  <si>
    <t>No. of Drop-out children in this Month</t>
  </si>
  <si>
    <t>Non-sponsored</t>
  </si>
  <si>
    <t>No.of Non-Sponsored children in this month</t>
  </si>
  <si>
    <t>No.of Non-Sponsored children up to previous month</t>
  </si>
  <si>
    <t>Sum of No.of Non-Sponsored Children</t>
  </si>
  <si>
    <t>Feb</t>
    <phoneticPr fontId="20"/>
  </si>
  <si>
    <t>Jan</t>
    <phoneticPr fontId="20"/>
  </si>
  <si>
    <t>Mar</t>
    <phoneticPr fontId="20"/>
  </si>
  <si>
    <t>May</t>
    <phoneticPr fontId="9" type="noConversion"/>
  </si>
  <si>
    <t>Koizumi: USA, Korea
Hosokawa: Korea</t>
    <phoneticPr fontId="20"/>
  </si>
  <si>
    <t>Board MTG
General Assembly</t>
    <phoneticPr fontId="20"/>
  </si>
  <si>
    <t>Total No. of children</t>
    <phoneticPr fontId="20"/>
  </si>
  <si>
    <t>* Please attached Entire children list as of Feberaury 1st this year( Mark sponsorhip status on each child code)</t>
    <phoneticPr fontId="20"/>
  </si>
  <si>
    <t>Ochi</t>
    <phoneticPr fontId="9" type="noConversion"/>
  </si>
  <si>
    <t>Mar.</t>
    <phoneticPr fontId="20"/>
  </si>
  <si>
    <t>Matsumoto</t>
    <phoneticPr fontId="20"/>
  </si>
  <si>
    <t>June</t>
    <phoneticPr fontId="9" type="noConversion"/>
  </si>
  <si>
    <t>May</t>
    <phoneticPr fontId="20"/>
  </si>
  <si>
    <t>July</t>
    <phoneticPr fontId="9" type="noConversion"/>
  </si>
  <si>
    <t>Satoshi: Nepal</t>
    <phoneticPr fontId="20"/>
  </si>
  <si>
    <t>Manami: Bangkok, IFC-Asia
Satoshi: USA, Games for Change</t>
    <phoneticPr fontId="20"/>
  </si>
  <si>
    <t>Matsumoto,Justice</t>
    <phoneticPr fontId="20"/>
  </si>
  <si>
    <t>June</t>
    <phoneticPr fontId="20"/>
  </si>
  <si>
    <t>Aug</t>
    <phoneticPr fontId="9" type="noConversion"/>
  </si>
  <si>
    <t>Manami: Bangkok, IFC-Asia
Satoshi: USA, Games for Change</t>
    <phoneticPr fontId="20"/>
  </si>
  <si>
    <t>Satoshi: western Japana: Flood ER</t>
    <phoneticPr fontId="20"/>
  </si>
  <si>
    <t>West-Japan flood</t>
    <phoneticPr fontId="20"/>
  </si>
  <si>
    <t>N/A</t>
    <phoneticPr fontId="20"/>
  </si>
  <si>
    <t>July</t>
    <phoneticPr fontId="20"/>
  </si>
  <si>
    <t>Sep</t>
    <phoneticPr fontId="9" type="noConversion"/>
  </si>
  <si>
    <t>Satoshi:west-japan flood ER</t>
    <phoneticPr fontId="20"/>
  </si>
  <si>
    <t>Satoshi: western Japana: Flood ER/ Laos flood ER</t>
    <phoneticPr fontId="20"/>
  </si>
  <si>
    <t>Satoshi: western Japana: Flood ER/ laos flood ER</t>
    <phoneticPr fontId="20"/>
  </si>
  <si>
    <t>Justice (matsumoto)</t>
    <phoneticPr fontId="20"/>
  </si>
  <si>
    <t>Sakai (justice, matsumoto)</t>
    <phoneticPr fontId="20"/>
  </si>
  <si>
    <t>West-Japan flood 40,435. Laos 129,700.</t>
    <phoneticPr fontId="20"/>
  </si>
  <si>
    <t>Aug</t>
    <phoneticPr fontId="20"/>
  </si>
  <si>
    <t>Satoshi: western Japana: Flood ER/ Laos flood ER</t>
    <phoneticPr fontId="20"/>
  </si>
  <si>
    <t>Satoshi: western Japana: Flood ER/ laos flood ER</t>
    <phoneticPr fontId="20"/>
  </si>
  <si>
    <t>Hosokawa, Urushibara, Teshima, Kobayashi</t>
    <phoneticPr fontId="9" type="noConversion"/>
  </si>
  <si>
    <t>Hosokawa, Urushibara, Teshima, Kobayashi, Nakagawa</t>
    <phoneticPr fontId="9" type="noConversion"/>
  </si>
  <si>
    <t>Oct</t>
    <phoneticPr fontId="9" type="noConversion"/>
  </si>
  <si>
    <t>Satoshi: western Japana: Flood ER
Satoshi: Annual Conference BKK</t>
    <phoneticPr fontId="20"/>
  </si>
  <si>
    <t>Iijima, Takeyari,Suzuki</t>
    <phoneticPr fontId="20"/>
  </si>
  <si>
    <t>Hosokawa, Urushibara, Teshima, Kobayashi, Nakagawa, Ogawa, Endo</t>
    <phoneticPr fontId="9" type="noConversion"/>
  </si>
  <si>
    <t>West-Japan flood 40,435. Laos 129,700. West-Japan-II 108,397</t>
    <phoneticPr fontId="20"/>
  </si>
  <si>
    <t>Sep</t>
    <phoneticPr fontId="20"/>
  </si>
  <si>
    <t>Satoshi: western Japana: Flood ER
Satoshi: Annual Conference BKK
Satoshi: Sulawesi ER</t>
    <phoneticPr fontId="20"/>
  </si>
  <si>
    <t>Satoshi: western Japan: Flood ER
Satoshi: Laos flood ER</t>
    <phoneticPr fontId="20"/>
  </si>
  <si>
    <t>Satoshi: western Japana: Flood ER
Satoshi: Sulawesi ER</t>
    <phoneticPr fontId="20"/>
  </si>
  <si>
    <t>Oct</t>
  </si>
  <si>
    <t>Koizumi</t>
    <phoneticPr fontId="9" type="noConversion"/>
  </si>
  <si>
    <t>Sakai,Uchida (justice, matsumoto)</t>
    <phoneticPr fontId="20"/>
  </si>
  <si>
    <t>Sakai(justice, matsumoto)</t>
    <phoneticPr fontId="20"/>
  </si>
  <si>
    <t>West-Japan flood 40,435. Laos 129,700. West-Japan-II 108,397.  Sulawesi 173,269.</t>
    <phoneticPr fontId="20"/>
  </si>
  <si>
    <t>Fumie: western Japana: Flood ER
Satoshi: Sulawesi ER
Fukuro: Sulawesi ER</t>
    <phoneticPr fontId="20"/>
  </si>
  <si>
    <t>Fumie: western Japana: Flood ER
Satoshi: Annual Conference BKK
Satoshi: Sulawesi ER</t>
    <phoneticPr fontId="20"/>
  </si>
  <si>
    <t>Fumie: western Japana: Flood ER
Satoshi: Nepal 
Fukuro: Sulawesi ER</t>
    <phoneticPr fontId="20"/>
  </si>
  <si>
    <t>Hosokawa, Nakagawa, Endo,Kakizawa (Urushibara, Teshima, Kobayashi,Ogawa )</t>
    <phoneticPr fontId="9" type="noConversion"/>
  </si>
  <si>
    <t>Ochi, Suzuki</t>
    <phoneticPr fontId="9" type="noConversion"/>
  </si>
  <si>
    <t>Nov</t>
    <phoneticPr fontId="20"/>
  </si>
  <si>
    <t>Fumie: western Japana: Flood ER
Satoshi: Sulawesi ER
Fukuro: Sulawesi ER</t>
    <phoneticPr fontId="20"/>
  </si>
  <si>
    <t>Satoshi: Nepal 
Fukuro: Sulawesi ER</t>
    <phoneticPr fontId="20"/>
  </si>
  <si>
    <t xml:space="preserve">Fumie: western Japana: Flood ER
</t>
    <phoneticPr fontId="20"/>
  </si>
  <si>
    <t>Satoshi: Nepal 
Fukuro: Sulawesi ER</t>
    <phoneticPr fontId="20"/>
  </si>
  <si>
    <t xml:space="preserve">
</t>
    <phoneticPr fontId="20"/>
  </si>
  <si>
    <t>Fumie: western Japan: Flood ER</t>
    <phoneticPr fontId="20"/>
  </si>
  <si>
    <t>2019 Jan 10</t>
    <phoneticPr fontId="20"/>
  </si>
  <si>
    <t>Hosokawa, Nakagawa, Endo,Kakizawa</t>
    <phoneticPr fontId="9" type="noConversion"/>
  </si>
  <si>
    <t xml:space="preserve"> Suzuki</t>
    <phoneticPr fontId="9" type="noConversion"/>
  </si>
  <si>
    <t>Sakai,Uchida</t>
    <phoneticPr fontId="20"/>
  </si>
  <si>
    <t>Kyodobokin</t>
    <phoneticPr fontId="9" type="noConversion"/>
  </si>
  <si>
    <t>Kyodobokin: western Japan flood</t>
    <phoneticPr fontId="20"/>
  </si>
  <si>
    <t>Fumie Iiijima: western Japan: Flood ER</t>
    <phoneticPr fontId="20"/>
  </si>
  <si>
    <t>Fumie Takeyari: western Japan: Flood ER
Satoshi: USA AFP fundraising conference</t>
    <phoneticPr fontId="20"/>
  </si>
  <si>
    <t xml:space="preserve">Satoshi: USA AFP fundraising conference
</t>
    <phoneticPr fontId="20"/>
  </si>
  <si>
    <t>Satoshi Koizumi</t>
    <phoneticPr fontId="20"/>
  </si>
  <si>
    <t>Koizumi, Hosokawa</t>
    <phoneticPr fontId="9" type="noConversion"/>
  </si>
  <si>
    <t>Nakagawa, Endo,Kakizawa</t>
    <phoneticPr fontId="9" type="noConversion"/>
  </si>
  <si>
    <t>12Feb 120,000</t>
    <phoneticPr fontId="20"/>
  </si>
  <si>
    <t>MOFA</t>
    <phoneticPr fontId="9" type="noConversion"/>
  </si>
  <si>
    <t>15Feb 3,739 for west Japan flood</t>
    <phoneticPr fontId="20"/>
  </si>
  <si>
    <t>Fumie Takeyari: western Japan: Flood ER
Satoshi: USA AFP fundraising conference</t>
    <phoneticPr fontId="20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</si>
  <si>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</si>
  <si>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April</t>
    <phoneticPr fontId="9" type="noConversion"/>
  </si>
  <si>
    <t xml:space="preserve">Satoshi: USA AFP fundraising conference
Fukuro Kakizawa: Sulawesi research
Satoshi: Nepal, Japan embassy </t>
    <phoneticPr fontId="20"/>
  </si>
  <si>
    <t>Nakagawa, Endo,Kakizawa,Matsumoto</t>
    <phoneticPr fontId="9" type="noConversion"/>
  </si>
  <si>
    <t xml:space="preserve"> Suzuki,Sakai</t>
    <phoneticPr fontId="9" type="noConversion"/>
  </si>
  <si>
    <t>('Sakai),Uchida</t>
    <phoneticPr fontId="20"/>
  </si>
  <si>
    <t>April</t>
    <phoneticPr fontId="20"/>
  </si>
  <si>
    <t>Satoshi: USA AFP fundraising conference
Fukuro Kakizawa: Sulawesi research</t>
    <phoneticPr fontId="20"/>
  </si>
  <si>
    <t>Satoshi: Mozambique ER</t>
    <phoneticPr fontId="20"/>
  </si>
  <si>
    <t xml:space="preserve">Fukuro: Mozambique ER
</t>
    <phoneticPr fontId="20"/>
  </si>
  <si>
    <t>Kakizawa,Matsumoto,A.Suzuki</t>
    <phoneticPr fontId="9" type="noConversion"/>
  </si>
  <si>
    <t xml:space="preserve"> N.Suzuki,Sakai</t>
    <phoneticPr fontId="9" type="noConversion"/>
  </si>
  <si>
    <t>Uchida,Yamashiro</t>
    <phoneticPr fontId="20"/>
  </si>
  <si>
    <t>24Apr 170,351 for Mozambique</t>
    <phoneticPr fontId="20"/>
  </si>
  <si>
    <t>12Feb 120,000, 8 Apr 120,000</t>
    <phoneticPr fontId="20"/>
  </si>
  <si>
    <t xml:space="preserve">Satoshi: Mozambique ER
</t>
    <phoneticPr fontId="20"/>
  </si>
  <si>
    <t>Fukuro: Mozambique ER
A.Suzuki: Nepal research?</t>
    <phoneticPr fontId="20"/>
  </si>
  <si>
    <t xml:space="preserve">Fukuro: dispatch to Indonesia?
</t>
    <phoneticPr fontId="20"/>
  </si>
  <si>
    <t>Fukuro: dispatch to Indonesia</t>
    <phoneticPr fontId="20"/>
  </si>
  <si>
    <t xml:space="preserve">Fukuro: Mozambique ER
Satoshi: Support Countries Conference in Seoul
</t>
    <phoneticPr fontId="20"/>
  </si>
  <si>
    <t xml:space="preserve">Fukuro: dispatch to Indonesia
Satoshi: Indonesia Monitoring
</t>
    <phoneticPr fontId="20"/>
  </si>
  <si>
    <t>Uchida,Yamashiro,Victor</t>
    <phoneticPr fontId="20"/>
  </si>
  <si>
    <t>24Apr 170,351 for Mozambique
26 Jun 394,782 for Indonesia</t>
    <phoneticPr fontId="20"/>
  </si>
  <si>
    <t>2017 Goal</t>
    <phoneticPr fontId="9" type="noConversion"/>
  </si>
  <si>
    <t>Regular</t>
  </si>
  <si>
    <t>Koizumi, Yaguchi, (Iijima), (Takeyari)</t>
    <phoneticPr fontId="9" type="noConversion"/>
  </si>
  <si>
    <t>Kim</t>
    <phoneticPr fontId="9" type="noConversion"/>
  </si>
  <si>
    <t>Temporary</t>
  </si>
  <si>
    <t>Matsumoto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</si>
  <si>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</si>
  <si>
    <t>January</t>
    <phoneticPr fontId="9" type="noConversion"/>
  </si>
  <si>
    <t>Satoshi: Nepal JPF Monitoring: Feb1-Feb8</t>
    <phoneticPr fontId="9" type="noConversion"/>
  </si>
  <si>
    <r>
      <rPr>
        <sz val="10"/>
        <color theme="1"/>
        <rFont val="돋움"/>
        <family val="3"/>
        <charset val="129"/>
      </rPr>
      <t>愛の</t>
    </r>
    <r>
      <rPr>
        <sz val="10"/>
        <color theme="1"/>
        <rFont val="MS Gothic"/>
        <family val="3"/>
        <charset val="128"/>
      </rPr>
      <t>教会</t>
    </r>
    <r>
      <rPr>
        <sz val="10"/>
        <color theme="1"/>
        <rFont val="Arial"/>
        <family val="2"/>
      </rPr>
      <t>(</t>
    </r>
    <r>
      <rPr>
        <sz val="10"/>
        <color theme="1"/>
        <rFont val="돋움"/>
        <family val="3"/>
        <charset val="129"/>
      </rPr>
      <t>재일대한기독교회</t>
    </r>
    <r>
      <rPr>
        <sz val="10"/>
        <color theme="1"/>
        <rFont val="Arial"/>
        <family val="2"/>
      </rPr>
      <t xml:space="preserve"> '</t>
    </r>
    <r>
      <rPr>
        <sz val="10"/>
        <color theme="1"/>
        <rFont val="돋움"/>
        <family val="3"/>
        <charset val="129"/>
      </rPr>
      <t>사랑의교회</t>
    </r>
    <r>
      <rPr>
        <sz val="10"/>
        <color theme="1"/>
        <rFont val="Arial"/>
        <family val="2"/>
      </rPr>
      <t>')</t>
    </r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</si>
  <si>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Recyfuku campaign</t>
    </r>
  </si>
  <si>
    <t>・GOODBOOKS
・Recyfuku campaign</t>
  </si>
  <si>
    <t>Painting Hope Campaign</t>
    <phoneticPr fontId="9" type="noConversion"/>
  </si>
  <si>
    <t>Painting Hope Campaign ceremony</t>
    <phoneticPr fontId="9" type="noConversion"/>
  </si>
  <si>
    <t>GNJP board meeting and general assembly(Mar10)</t>
    <phoneticPr fontId="9" type="noConversion"/>
  </si>
  <si>
    <t>Koizumi, Yaguchi, Hosokawa (Iijima), (Takeyari)</t>
    <phoneticPr fontId="9" type="noConversion"/>
  </si>
  <si>
    <t>Satoshi: Nepal JPF Monitoring: Feb1-Feb8</t>
  </si>
  <si>
    <t>Satoshi: Strategy meeting in Korea(4/5-4/7)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</si>
  <si>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Otakara-aid</t>
    </r>
  </si>
  <si>
    <t>・GOODBOOKS
・Recyfuku campaign
・Otakara-aid</t>
  </si>
  <si>
    <t>Painting Hope Campaign ceremony(2/25)</t>
  </si>
  <si>
    <t>GNJP board meeting and general assembly(3/10)</t>
    <phoneticPr fontId="9" type="noConversion"/>
  </si>
  <si>
    <t>MAR</t>
    <phoneticPr fontId="9" type="noConversion"/>
  </si>
  <si>
    <t>APR</t>
    <phoneticPr fontId="9" type="noConversion"/>
  </si>
  <si>
    <t>MAY</t>
    <phoneticPr fontId="9" type="noConversion"/>
  </si>
  <si>
    <t>Intl' fundraising conference@Sanfrancisco
(4/29-5/2)</t>
    <phoneticPr fontId="9" type="noConversion"/>
  </si>
  <si>
    <t>GNJP board meeting and general assembly(3/10)</t>
  </si>
  <si>
    <t>Koizumi, Yaguchi, Hosokawa, Takeyari (Iijima)</t>
    <phoneticPr fontId="9" type="noConversion"/>
  </si>
  <si>
    <t>JUN</t>
    <phoneticPr fontId="9" type="noConversion"/>
  </si>
  <si>
    <t>Satoshi: Strategy meeting in Korea(4/5-4/7)</t>
  </si>
  <si>
    <t>Yaguchi: IFC Asia @Bangkok (6/26-28)</t>
    <phoneticPr fontId="9" type="noConversion"/>
  </si>
  <si>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>Otakara-aid</t>
    </r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</si>
  <si>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Otakara-aid</t>
    </r>
  </si>
  <si>
    <t>Hope letter Campaign in Tokyo Korean school (5/22~6/21)</t>
    <phoneticPr fontId="9" type="noConversion"/>
  </si>
  <si>
    <t>American Intern from Earlham college (6/12~8/9)</t>
    <phoneticPr fontId="9" type="noConversion"/>
  </si>
  <si>
    <t>JUL</t>
    <phoneticPr fontId="9" type="noConversion"/>
  </si>
  <si>
    <t>Intl' fundraising conference@Sanfrancisco
(4/29-5/2)</t>
  </si>
  <si>
    <t>Hope letter Campaign in Tokyo Korean school (5/22~6/21)</t>
  </si>
  <si>
    <t>Hope letter award ceremony (7/21)</t>
    <phoneticPr fontId="9" type="noConversion"/>
  </si>
  <si>
    <t>AUG</t>
    <phoneticPr fontId="9" type="noConversion"/>
  </si>
  <si>
    <t>Yaguchi, Satoshi: IFC Asia @Bangkok (6/26-28)</t>
    <phoneticPr fontId="9" type="noConversion"/>
  </si>
  <si>
    <t>- Second harvest Japan</t>
    <phoneticPr fontId="9" type="noConversion"/>
  </si>
  <si>
    <t>- Ota municipality office</t>
    <phoneticPr fontId="9" type="noConversion"/>
  </si>
  <si>
    <t>- AirBnB</t>
    <phoneticPr fontId="9" type="noConversion"/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</si>
  <si>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Facebook 1-step campaign</t>
    </r>
  </si>
  <si>
    <t>American Intern from Earlham college (6/12~8/9)</t>
  </si>
  <si>
    <t>2nd remit for Nepal school reconstruction</t>
    <phoneticPr fontId="9" type="noConversion"/>
  </si>
  <si>
    <t>SEP</t>
    <phoneticPr fontId="9" type="noConversion"/>
  </si>
  <si>
    <t>-</t>
  </si>
  <si>
    <t>- Ota municipality office</t>
  </si>
  <si>
    <t>・GOODBOOKS
・Recyfuku campaign
・Otakara-aid
・Facebook 1-step campaign</t>
  </si>
  <si>
    <t>Hope letter award ceremony (7/21)</t>
  </si>
  <si>
    <t>OCT</t>
    <phoneticPr fontId="9" type="noConversion"/>
  </si>
  <si>
    <t>- Satoshi: 2017 Annual conference in BKK (10/16~20)</t>
    <phoneticPr fontId="9" type="noConversion"/>
  </si>
  <si>
    <t>- AirBnB</t>
  </si>
  <si>
    <t>- global festa Japan 2017 (9/30~10/1)
- SCAJ 2017 (9/20~22)</t>
    <phoneticPr fontId="9" type="noConversion"/>
  </si>
  <si>
    <t>Sep</t>
  </si>
  <si>
    <t>Koizumi, Yaguchi, Hosokawa, Takeyari, Iijima</t>
    <phoneticPr fontId="9" type="noConversion"/>
  </si>
  <si>
    <t>SEP</t>
  </si>
  <si>
    <t>NOV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</si>
  <si>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</si>
  <si>
    <t>- Satoshi: 2017 Annual conference in BKK (10/16~20)</t>
    <phoneticPr fontId="20"/>
  </si>
  <si>
    <t>Sathoshi: Bangladesh/Rohingya ER</t>
    <phoneticPr fontId="20"/>
  </si>
  <si>
    <t>Country</t>
  </si>
  <si>
    <t>Year</t>
  </si>
  <si>
    <t>Month</t>
  </si>
  <si>
    <t>Regular_EMP</t>
  </si>
  <si>
    <t>Total_Person</t>
  </si>
  <si>
    <t>CS_Goal</t>
  </si>
  <si>
    <t>CS_Actual</t>
  </si>
  <si>
    <t>PS_Goal</t>
  </si>
  <si>
    <t>PS_Actual</t>
  </si>
  <si>
    <t>Sponsor_Goal</t>
  </si>
  <si>
    <t>Sponsor_Actual</t>
  </si>
  <si>
    <t>Designated_Goal</t>
  </si>
  <si>
    <t>Designated_Actual</t>
  </si>
  <si>
    <t>Nondesignated_Goal</t>
  </si>
  <si>
    <t>Nondesignated_Actual</t>
  </si>
  <si>
    <t>GG_Goal</t>
  </si>
  <si>
    <t>GG_Actual</t>
  </si>
  <si>
    <t>FG_Goal</t>
  </si>
  <si>
    <t>FG_Actual</t>
  </si>
  <si>
    <t>GIK_Goal</t>
  </si>
  <si>
    <t>GIK_Actual</t>
  </si>
  <si>
    <t>Others_Goal</t>
  </si>
  <si>
    <t>Others_Actual</t>
  </si>
  <si>
    <t>GNI_Goal</t>
  </si>
  <si>
    <t>GNI_Actual</t>
  </si>
  <si>
    <t>Total_Goal</t>
  </si>
  <si>
    <t>Total_Actual</t>
  </si>
  <si>
    <t>Total_EXGIK_Goal</t>
  </si>
  <si>
    <t>Total_EXGIK_Actual</t>
  </si>
  <si>
    <t>New_CS_No_Goal</t>
  </si>
  <si>
    <t>New_CS_No_Actual</t>
  </si>
  <si>
    <t>Total_CS_No_Goal</t>
  </si>
  <si>
    <t>Total_CS_No_Actual</t>
  </si>
  <si>
    <t>New_PS_No_Goal</t>
  </si>
  <si>
    <t>New_PS_No_Actual</t>
  </si>
  <si>
    <t>Total_PS_No_Goal</t>
  </si>
  <si>
    <t>Total_PS_No_Actual</t>
  </si>
  <si>
    <t>Total_Sponsor_Goal</t>
  </si>
  <si>
    <t>Total_Sponsor_Actual</t>
  </si>
  <si>
    <t>Report name</t>
  </si>
  <si>
    <t>2017JAN</t>
  </si>
  <si>
    <t>2017FEB</t>
  </si>
  <si>
    <t>2017MAR</t>
  </si>
  <si>
    <t>2017MAY</t>
  </si>
  <si>
    <t>2017JUN</t>
  </si>
  <si>
    <t>2017JUL</t>
  </si>
  <si>
    <t>2017AUG</t>
  </si>
  <si>
    <t>2017SEP</t>
  </si>
  <si>
    <t>2017OCT</t>
  </si>
  <si>
    <t>2017NOV</t>
  </si>
  <si>
    <t>2017DEC</t>
  </si>
  <si>
    <t>2018MAR</t>
  </si>
  <si>
    <t>2018APR</t>
  </si>
  <si>
    <t>2018JAN</t>
  </si>
  <si>
    <t>2018FEB</t>
  </si>
  <si>
    <t>2018MAY</t>
  </si>
  <si>
    <t>2018JUN</t>
  </si>
  <si>
    <t>2018JUL</t>
  </si>
  <si>
    <t>2018SEP</t>
  </si>
  <si>
    <t>2018OCT</t>
  </si>
  <si>
    <t>2018NOV</t>
  </si>
  <si>
    <t>2018DEC</t>
  </si>
  <si>
    <t>2019JAN</t>
  </si>
  <si>
    <t>2019FEB</t>
  </si>
  <si>
    <t>2019MAR</t>
  </si>
  <si>
    <t>2019APR</t>
  </si>
  <si>
    <t>2019MAY</t>
  </si>
  <si>
    <t>2018AUG</t>
  </si>
  <si>
    <t>GNI_Grant</t>
  </si>
  <si>
    <t>Carry_Over</t>
  </si>
  <si>
    <t>Raised_Fund</t>
  </si>
  <si>
    <t>Expenditure</t>
  </si>
  <si>
    <t>Balance</t>
  </si>
  <si>
    <t>2017APR</t>
  </si>
  <si>
    <t xml:space="preserve">Carry over from last month </t>
  </si>
  <si>
    <t xml:space="preserve">GNI Grant </t>
  </si>
  <si>
    <t>Raised fund</t>
  </si>
  <si>
    <t>2019JUN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</si>
</sst>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_ "/>
    <numFmt numFmtId="165" formatCode="\$#,##0.00"/>
    <numFmt numFmtId="166" formatCode="#,##0_ "/>
    <numFmt numFmtId="167" formatCode="\$#,##0.00;\-\$#,##0.00"/>
  </numFmts>
  <fonts count="62">
    <font>
      <sz val="11"/>
      <color theme="1"/>
      <name val="Calibri"/>
      <family val="2"/>
      <charset val="129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16"/>
      <color theme="1"/>
      <name val="Arial"/>
      <family val="2"/>
    </font>
    <font>
      <sz val="8"/>
      <name val="Calibri"/>
      <family val="2"/>
      <charset val="129"/>
      <scheme val="minor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Calibri"/>
      <family val="3"/>
      <charset val="129"/>
      <scheme val="minor"/>
    </font>
    <font>
      <sz val="9"/>
      <name val="Calibri"/>
      <family val="3"/>
      <charset val="129"/>
      <scheme val="minor"/>
    </font>
    <font>
      <sz val="6"/>
      <name val="Calibri"/>
      <family val="3"/>
      <charset val="128"/>
      <scheme val="minor"/>
    </font>
    <font>
      <sz val="9"/>
      <name val="Calibri"/>
      <family val="3"/>
      <charset val="128"/>
      <scheme val="minor"/>
    </font>
    <font>
      <sz val="9"/>
      <color theme="8" tint="-0.249977111117893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sz val="10"/>
      <color theme="1"/>
      <name val="ＭＳ Ｐゴシック"/>
      <family val="3"/>
      <charset val="128"/>
    </font>
    <font>
      <sz val="10"/>
      <name val="Arial"/>
      <family val="2"/>
    </font>
    <font>
      <sz val="10"/>
      <color theme="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theme="1"/>
      <name val="."/>
    </font>
    <font>
      <b/>
      <sz val="10"/>
      <color theme="1"/>
      <name val="."/>
      <family val="2"/>
    </font>
    <font>
      <sz val="10"/>
      <color theme="1"/>
      <name val="."/>
      <family val="2"/>
    </font>
    <font>
      <sz val="10"/>
      <color indexed="81"/>
      <name val="Tahoma"/>
      <family val="2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name val="Calibri"/>
      <family val="3"/>
      <scheme val="minor"/>
    </font>
    <font>
      <sz val="9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MS Gothic"/>
      <family val="3"/>
      <charset val="128"/>
    </font>
    <font>
      <sz val="9"/>
      <color indexed="81"/>
      <name val="돋움"/>
      <family val="3"/>
      <charset val="129"/>
    </font>
    <font>
      <sz val="9"/>
      <color indexed="81"/>
      <name val="MS Gothic"/>
      <family val="3"/>
      <charset val="128"/>
    </font>
    <font>
      <u/>
      <sz val="11"/>
      <color theme="10"/>
      <name val="Calibri"/>
      <family val="2"/>
      <charset val="129"/>
      <scheme val="minor"/>
    </font>
    <font>
      <sz val="10"/>
      <color theme="1"/>
      <name val="HGGothicE"/>
      <family val="3"/>
      <charset val="128"/>
    </font>
    <font>
      <sz val="10"/>
      <name val="Arial Unicode MS"/>
      <family val="3"/>
      <charset val="129"/>
    </font>
    <font>
      <sz val="10"/>
      <color theme="1"/>
      <name val="Arial Unicode MS"/>
      <family val="3"/>
      <charset val="129"/>
    </font>
    <font>
      <sz val="9"/>
      <color indexed="81"/>
      <name val="HGGothicE"/>
      <family val="3"/>
      <charset val="128"/>
    </font>
    <font>
      <sz val="11"/>
      <color rgb="FF000000"/>
      <name val="Calibri"/>
      <family val="2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MS Gothic"/>
      <family val="3"/>
      <charset val="128"/>
    </font>
    <font>
      <sz val="9"/>
      <color rgb="FF000000"/>
      <name val="돋움"/>
      <family val="3"/>
      <charset val="129"/>
    </font>
    <font>
      <sz val="10"/>
      <color rgb="FF000000"/>
      <name val="ＭＳ Ｐゴシック"/>
      <family val="3"/>
      <charset val="128"/>
    </font>
    <font>
      <sz val="10"/>
      <color rgb="FF000000"/>
      <name val="Tahoma"/>
      <family val="2"/>
    </font>
    <font>
      <b/>
      <sz val="9"/>
      <color rgb="FF000000"/>
      <name val="MS P ゴシック"/>
      <family val="3"/>
      <charset val="128"/>
    </font>
    <font>
      <b/>
      <sz val="9"/>
      <color rgb="FF000000"/>
      <name val="Calibri"/>
      <family val="3"/>
      <charset val="128"/>
      <scheme val="minor"/>
    </font>
    <font>
      <sz val="9"/>
      <color rgb="FF000000"/>
      <name val="Calibri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5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</cellStyleXfs>
  <cellXfs count="826">
    <xf numFmtId="0" fontId="0" fillId="0" borderId="0" xfId="0">
      <alignment vertical="center"/>
    </xf>
    <xf numFmtId="0" fontId="10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5" fillId="4" borderId="3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quotePrefix="1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1" xfId="0" applyFont="1" applyBorder="1">
      <alignment vertical="center"/>
    </xf>
    <xf numFmtId="9" fontId="12" fillId="0" borderId="1" xfId="1" applyFont="1" applyBorder="1" applyAlignment="1">
      <alignment horizontal="center" vertical="center"/>
    </xf>
    <xf numFmtId="0" fontId="15" fillId="7" borderId="1" xfId="0" applyFont="1" applyFill="1" applyBorder="1">
      <alignment vertical="center"/>
    </xf>
    <xf numFmtId="9" fontId="12" fillId="7" borderId="1" xfId="1" applyFont="1" applyFill="1" applyBorder="1" applyAlignment="1">
      <alignment horizontal="center" vertical="center"/>
    </xf>
    <xf numFmtId="9" fontId="15" fillId="4" borderId="13" xfId="1" applyFont="1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9" fontId="15" fillId="4" borderId="1" xfId="1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9" fontId="15" fillId="3" borderId="1" xfId="1" applyFont="1" applyFill="1" applyBorder="1" applyAlignment="1">
      <alignment horizontal="center" vertical="center"/>
    </xf>
    <xf numFmtId="9" fontId="17" fillId="8" borderId="1" xfId="1" applyFont="1" applyFill="1" applyBorder="1" applyAlignment="1">
      <alignment horizontal="center" vertical="center"/>
    </xf>
    <xf numFmtId="9" fontId="17" fillId="8" borderId="13" xfId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9" fontId="17" fillId="0" borderId="0" xfId="1" applyFont="1" applyFill="1" applyBorder="1" applyAlignment="1">
      <alignment horizontal="center" vertical="center"/>
    </xf>
    <xf numFmtId="0" fontId="17" fillId="0" borderId="0" xfId="0" quotePrefix="1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shrinkToFit="1"/>
    </xf>
    <xf numFmtId="9" fontId="12" fillId="0" borderId="1" xfId="0" applyNumberFormat="1" applyFont="1" applyBorder="1">
      <alignment vertical="center"/>
    </xf>
    <xf numFmtId="0" fontId="12" fillId="7" borderId="1" xfId="0" applyFont="1" applyFill="1" applyBorder="1" applyAlignment="1">
      <alignment vertical="center" shrinkToFit="1"/>
    </xf>
    <xf numFmtId="9" fontId="12" fillId="7" borderId="1" xfId="0" applyNumberFormat="1" applyFont="1" applyFill="1" applyBorder="1">
      <alignment vertical="center"/>
    </xf>
    <xf numFmtId="9" fontId="12" fillId="9" borderId="1" xfId="0" applyNumberFormat="1" applyFont="1" applyFill="1" applyBorder="1">
      <alignment vertical="center"/>
    </xf>
    <xf numFmtId="9" fontId="12" fillId="10" borderId="1" xfId="0" applyNumberFormat="1" applyFont="1" applyFill="1" applyBorder="1">
      <alignment vertical="center"/>
    </xf>
    <xf numFmtId="9" fontId="12" fillId="10" borderId="13" xfId="0" applyNumberFormat="1" applyFont="1" applyFill="1" applyBorder="1">
      <alignment vertical="center"/>
    </xf>
    <xf numFmtId="9" fontId="15" fillId="10" borderId="13" xfId="0" applyNumberFormat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>
      <alignment vertical="center"/>
    </xf>
    <xf numFmtId="9" fontId="12" fillId="0" borderId="1" xfId="1" applyNumberFormat="1" applyFont="1" applyBorder="1">
      <alignment vertical="center"/>
    </xf>
    <xf numFmtId="0" fontId="12" fillId="7" borderId="1" xfId="0" applyFont="1" applyFill="1" applyBorder="1">
      <alignment vertical="center"/>
    </xf>
    <xf numFmtId="0" fontId="12" fillId="9" borderId="1" xfId="0" applyFont="1" applyFill="1" applyBorder="1" applyAlignment="1">
      <alignment vertical="center" shrinkToFit="1"/>
    </xf>
    <xf numFmtId="0" fontId="12" fillId="9" borderId="13" xfId="0" applyFont="1" applyFill="1" applyBorder="1">
      <alignment vertical="center"/>
    </xf>
    <xf numFmtId="9" fontId="12" fillId="9" borderId="13" xfId="0" applyNumberFormat="1" applyFont="1" applyFill="1" applyBorder="1">
      <alignment vertical="center"/>
    </xf>
    <xf numFmtId="0" fontId="12" fillId="0" borderId="3" xfId="0" applyFont="1" applyBorder="1" applyAlignment="1">
      <alignment vertical="center" shrinkToFit="1"/>
    </xf>
    <xf numFmtId="9" fontId="12" fillId="0" borderId="3" xfId="1" applyNumberFormat="1" applyFont="1" applyBorder="1">
      <alignment vertical="center"/>
    </xf>
    <xf numFmtId="0" fontId="15" fillId="10" borderId="18" xfId="0" applyFont="1" applyFill="1" applyBorder="1" applyAlignment="1">
      <alignment vertical="center" shrinkToFit="1"/>
    </xf>
    <xf numFmtId="9" fontId="12" fillId="10" borderId="16" xfId="0" applyNumberFormat="1" applyFont="1" applyFill="1" applyBorder="1">
      <alignment vertical="center"/>
    </xf>
    <xf numFmtId="0" fontId="15" fillId="10" borderId="20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vertical="center" shrinkToFit="1"/>
    </xf>
    <xf numFmtId="0" fontId="15" fillId="10" borderId="1" xfId="0" applyFont="1" applyFill="1" applyBorder="1">
      <alignment vertical="center"/>
    </xf>
    <xf numFmtId="9" fontId="15" fillId="10" borderId="18" xfId="0" applyNumberFormat="1" applyFont="1" applyFill="1" applyBorder="1">
      <alignment vertical="center"/>
    </xf>
    <xf numFmtId="0" fontId="18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/>
    </xf>
    <xf numFmtId="166" fontId="12" fillId="0" borderId="24" xfId="0" applyNumberFormat="1" applyFont="1" applyBorder="1">
      <alignment vertical="center"/>
    </xf>
    <xf numFmtId="0" fontId="14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165" fontId="12" fillId="11" borderId="24" xfId="0" applyNumberFormat="1" applyFont="1" applyFill="1" applyBorder="1">
      <alignment vertical="center"/>
    </xf>
    <xf numFmtId="165" fontId="12" fillId="11" borderId="13" xfId="0" applyNumberFormat="1" applyFont="1" applyFill="1" applyBorder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165" fontId="12" fillId="0" borderId="14" xfId="0" applyNumberFormat="1" applyFont="1" applyFill="1" applyBorder="1">
      <alignment vertical="center"/>
    </xf>
    <xf numFmtId="165" fontId="12" fillId="0" borderId="13" xfId="0" applyNumberFormat="1" applyFont="1" applyFill="1" applyBorder="1">
      <alignment vertical="center"/>
    </xf>
    <xf numFmtId="3" fontId="26" fillId="6" borderId="1" xfId="0" applyNumberFormat="1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center" vertical="center"/>
    </xf>
    <xf numFmtId="166" fontId="30" fillId="0" borderId="1" xfId="0" applyNumberFormat="1" applyFont="1" applyFill="1" applyBorder="1" applyAlignment="1">
      <alignment horizontal="center" vertical="center"/>
    </xf>
    <xf numFmtId="166" fontId="15" fillId="13" borderId="1" xfId="0" applyNumberFormat="1" applyFont="1" applyFill="1" applyBorder="1" applyAlignment="1">
      <alignment horizontal="center" vertical="center"/>
    </xf>
    <xf numFmtId="166" fontId="17" fillId="8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5" fontId="12" fillId="13" borderId="13" xfId="0" applyNumberFormat="1" applyFont="1" applyFill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13" borderId="1" xfId="0" applyNumberFormat="1" applyFont="1" applyFill="1" applyBorder="1" applyAlignment="1">
      <alignment horizontal="right" vertical="center"/>
    </xf>
    <xf numFmtId="0" fontId="41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2" fillId="0" borderId="1" xfId="0" applyFont="1" applyBorder="1">
      <alignment vertical="center"/>
    </xf>
    <xf numFmtId="0" fontId="40" fillId="0" borderId="0" xfId="0" applyFont="1">
      <alignment vertical="center"/>
    </xf>
    <xf numFmtId="0" fontId="12" fillId="0" borderId="41" xfId="0" applyFont="1" applyBorder="1">
      <alignment vertical="center"/>
    </xf>
    <xf numFmtId="0" fontId="12" fillId="6" borderId="1" xfId="0" applyFont="1" applyFill="1" applyBorder="1">
      <alignment vertical="center"/>
    </xf>
    <xf numFmtId="0" fontId="12" fillId="6" borderId="0" xfId="0" applyFont="1" applyFill="1">
      <alignment vertical="center"/>
    </xf>
    <xf numFmtId="0" fontId="12" fillId="14" borderId="1" xfId="0" applyFont="1" applyFill="1" applyBorder="1">
      <alignment vertical="center"/>
    </xf>
    <xf numFmtId="0" fontId="12" fillId="13" borderId="1" xfId="0" applyFont="1" applyFill="1" applyBorder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" fontId="12" fillId="12" borderId="1" xfId="0" applyNumberFormat="1" applyFont="1" applyFill="1" applyBorder="1" applyAlignment="1">
      <alignment horizontal="center" vertical="center"/>
    </xf>
    <xf numFmtId="3" fontId="15" fillId="12" borderId="1" xfId="0" applyNumberFormat="1" applyFont="1" applyFill="1" applyBorder="1" applyAlignment="1">
      <alignment horizontal="center" vertical="center"/>
    </xf>
    <xf numFmtId="3" fontId="12" fillId="13" borderId="1" xfId="0" applyNumberFormat="1" applyFont="1" applyFill="1" applyBorder="1" applyAlignment="1">
      <alignment horizontal="center" vertical="center"/>
    </xf>
    <xf numFmtId="3" fontId="15" fillId="13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" fontId="15" fillId="6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8" fontId="15" fillId="12" borderId="1" xfId="2" applyFont="1" applyFill="1" applyBorder="1" applyAlignment="1">
      <alignment horizontal="center" vertical="center"/>
    </xf>
    <xf numFmtId="38" fontId="12" fillId="12" borderId="1" xfId="2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0" borderId="13" xfId="0" applyNumberFormat="1" applyFont="1" applyFill="1" applyBorder="1" applyAlignment="1">
      <alignment horizontal="right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8" fontId="12" fillId="12" borderId="1" xfId="0" applyNumberFormat="1" applyFont="1" applyFill="1" applyBorder="1" applyAlignment="1">
      <alignment horizontal="center" vertical="center"/>
    </xf>
    <xf numFmtId="38" fontId="12" fillId="6" borderId="1" xfId="0" applyNumberFormat="1" applyFont="1" applyFill="1" applyBorder="1" applyAlignment="1">
      <alignment horizontal="center" vertical="center"/>
    </xf>
    <xf numFmtId="38" fontId="12" fillId="7" borderId="1" xfId="0" applyNumberFormat="1" applyFont="1" applyFill="1" applyBorder="1" applyAlignment="1">
      <alignment horizontal="center" vertical="center"/>
    </xf>
    <xf numFmtId="38" fontId="15" fillId="4" borderId="13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38" fontId="12" fillId="0" borderId="1" xfId="0" applyNumberFormat="1" applyFont="1" applyBorder="1" applyAlignment="1">
      <alignment horizontal="center" vertical="center"/>
    </xf>
    <xf numFmtId="38" fontId="15" fillId="4" borderId="1" xfId="0" applyNumberFormat="1" applyFont="1" applyFill="1" applyBorder="1" applyAlignment="1">
      <alignment horizontal="center" vertical="center"/>
    </xf>
    <xf numFmtId="38" fontId="15" fillId="12" borderId="1" xfId="0" applyNumberFormat="1" applyFont="1" applyFill="1" applyBorder="1" applyAlignment="1">
      <alignment horizontal="center" vertical="center"/>
    </xf>
    <xf numFmtId="38" fontId="30" fillId="0" borderId="1" xfId="0" applyNumberFormat="1" applyFont="1" applyFill="1" applyBorder="1" applyAlignment="1">
      <alignment horizontal="center" vertical="center"/>
    </xf>
    <xf numFmtId="38" fontId="15" fillId="12" borderId="1" xfId="2" applyNumberFormat="1" applyFont="1" applyFill="1" applyBorder="1" applyAlignment="1">
      <alignment horizontal="center" vertical="center"/>
    </xf>
    <xf numFmtId="38" fontId="15" fillId="6" borderId="1" xfId="0" applyNumberFormat="1" applyFont="1" applyFill="1" applyBorder="1" applyAlignment="1">
      <alignment horizontal="center" vertical="center"/>
    </xf>
    <xf numFmtId="38" fontId="17" fillId="8" borderId="1" xfId="0" applyNumberFormat="1" applyFont="1" applyFill="1" applyBorder="1" applyAlignment="1">
      <alignment horizontal="center" vertical="center"/>
    </xf>
    <xf numFmtId="38" fontId="17" fillId="8" borderId="13" xfId="0" applyNumberFormat="1" applyFont="1" applyFill="1" applyBorder="1" applyAlignment="1">
      <alignment horizontal="center" vertical="center"/>
    </xf>
    <xf numFmtId="38" fontId="12" fillId="0" borderId="1" xfId="0" applyNumberFormat="1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9" fontId="17" fillId="0" borderId="0" xfId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9" fontId="12" fillId="0" borderId="1" xfId="1" applyFont="1" applyBorder="1">
      <alignment vertical="center"/>
    </xf>
    <xf numFmtId="9" fontId="12" fillId="0" borderId="3" xfId="1" applyFont="1" applyBorder="1">
      <alignment vertical="center"/>
    </xf>
    <xf numFmtId="0" fontId="12" fillId="0" borderId="4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5" fontId="12" fillId="6" borderId="13" xfId="0" applyNumberFormat="1" applyFont="1" applyFill="1" applyBorder="1">
      <alignment vertical="center"/>
    </xf>
    <xf numFmtId="165" fontId="12" fillId="6" borderId="14" xfId="0" applyNumberFormat="1" applyFont="1" applyFill="1" applyBorder="1">
      <alignment vertical="center"/>
    </xf>
    <xf numFmtId="0" fontId="26" fillId="0" borderId="1" xfId="0" applyFont="1" applyBorder="1" applyAlignment="1">
      <alignment horizontal="center" vertical="center"/>
    </xf>
    <xf numFmtId="3" fontId="26" fillId="15" borderId="1" xfId="0" applyNumberFormat="1" applyFont="1" applyFill="1" applyBorder="1" applyAlignment="1">
      <alignment horizontal="center" vertical="center"/>
    </xf>
    <xf numFmtId="3" fontId="12" fillId="15" borderId="1" xfId="0" applyNumberFormat="1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166" fontId="30" fillId="0" borderId="1" xfId="0" applyNumberFormat="1" applyFont="1" applyBorder="1" applyAlignment="1">
      <alignment horizontal="center" vertical="center"/>
    </xf>
    <xf numFmtId="165" fontId="12" fillId="0" borderId="13" xfId="0" applyNumberFormat="1" applyFont="1" applyBorder="1">
      <alignment vertical="center"/>
    </xf>
    <xf numFmtId="165" fontId="12" fillId="0" borderId="14" xfId="0" applyNumberFormat="1" applyFont="1" applyBorder="1">
      <alignment vertical="center"/>
    </xf>
    <xf numFmtId="0" fontId="6" fillId="0" borderId="0" xfId="4"/>
    <xf numFmtId="0" fontId="5" fillId="0" borderId="0" xfId="4" applyFont="1"/>
    <xf numFmtId="0" fontId="4" fillId="0" borderId="0" xfId="4" applyFont="1"/>
    <xf numFmtId="0" fontId="3" fillId="0" borderId="0" xfId="4" applyFont="1"/>
    <xf numFmtId="0" fontId="3" fillId="6" borderId="0" xfId="4" applyFont="1" applyFill="1"/>
    <xf numFmtId="1" fontId="6" fillId="0" borderId="0" xfId="4" applyNumberFormat="1"/>
    <xf numFmtId="0" fontId="4" fillId="6" borderId="0" xfId="4" applyFont="1" applyFill="1"/>
    <xf numFmtId="0" fontId="2" fillId="0" borderId="0" xfId="4" applyFont="1"/>
    <xf numFmtId="0" fontId="6" fillId="6" borderId="0" xfId="4" applyFill="1"/>
    <xf numFmtId="0" fontId="1" fillId="0" borderId="0" xfId="4" applyFont="1"/>
    <xf numFmtId="0" fontId="12" fillId="0" borderId="1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 wrapText="1"/>
    </xf>
    <xf numFmtId="0" fontId="27" fillId="0" borderId="36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6" borderId="25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0" borderId="7" xfId="0" quotePrefix="1" applyFont="1" applyBorder="1" applyAlignment="1">
      <alignment horizontal="center" vertical="center" wrapText="1"/>
    </xf>
    <xf numFmtId="0" fontId="12" fillId="0" borderId="8" xfId="0" quotePrefix="1" applyFont="1" applyBorder="1" applyAlignment="1">
      <alignment horizontal="center" vertical="center" wrapText="1"/>
    </xf>
    <xf numFmtId="0" fontId="12" fillId="0" borderId="21" xfId="0" quotePrefix="1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5" fillId="4" borderId="34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4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164" fontId="21" fillId="0" borderId="35" xfId="0" applyNumberFormat="1" applyFont="1" applyBorder="1" applyAlignment="1">
      <alignment horizontal="center" vertical="center" wrapText="1"/>
    </xf>
    <xf numFmtId="164" fontId="21" fillId="0" borderId="36" xfId="0" applyNumberFormat="1" applyFont="1" applyBorder="1" applyAlignment="1">
      <alignment horizontal="center" vertical="center" wrapText="1"/>
    </xf>
    <xf numFmtId="165" fontId="22" fillId="0" borderId="7" xfId="0" applyNumberFormat="1" applyFont="1" applyBorder="1" applyAlignment="1">
      <alignment horizontal="center" vertical="center" wrapText="1"/>
    </xf>
    <xf numFmtId="165" fontId="22" fillId="0" borderId="21" xfId="0" applyNumberFormat="1" applyFont="1" applyBorder="1" applyAlignment="1">
      <alignment horizontal="center" vertical="center" wrapText="1"/>
    </xf>
    <xf numFmtId="165" fontId="22" fillId="0" borderId="9" xfId="0" applyNumberFormat="1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166" fontId="21" fillId="6" borderId="1" xfId="0" applyNumberFormat="1" applyFont="1" applyFill="1" applyBorder="1" applyAlignment="1">
      <alignment horizontal="center" vertical="center" wrapText="1"/>
    </xf>
    <xf numFmtId="0" fontId="21" fillId="6" borderId="7" xfId="0" applyFont="1" applyFill="1" applyBorder="1" applyAlignment="1">
      <alignment horizontal="center" vertical="center" wrapText="1"/>
    </xf>
    <xf numFmtId="0" fontId="21" fillId="6" borderId="21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10" borderId="31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9" fillId="4" borderId="28" xfId="0" applyFont="1" applyFill="1" applyBorder="1" applyAlignment="1">
      <alignment horizontal="center" vertical="center" wrapText="1"/>
    </xf>
    <xf numFmtId="0" fontId="21" fillId="4" borderId="34" xfId="0" applyFont="1" applyFill="1" applyBorder="1" applyAlignment="1">
      <alignment horizontal="center" vertical="center" wrapText="1"/>
    </xf>
    <xf numFmtId="0" fontId="22" fillId="4" borderId="28" xfId="0" applyFont="1" applyFill="1" applyBorder="1" applyAlignment="1">
      <alignment horizontal="center" vertical="center" wrapText="1"/>
    </xf>
    <xf numFmtId="0" fontId="22" fillId="4" borderId="34" xfId="0" applyFont="1" applyFill="1" applyBorder="1" applyAlignment="1">
      <alignment horizontal="center" vertical="center" wrapText="1"/>
    </xf>
    <xf numFmtId="0" fontId="22" fillId="4" borderId="30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26" xfId="0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9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10" borderId="25" xfId="0" applyFont="1" applyFill="1" applyBorder="1" applyAlignment="1">
      <alignment horizontal="center" vertical="center"/>
    </xf>
    <xf numFmtId="0" fontId="15" fillId="10" borderId="11" xfId="0" applyFont="1" applyFill="1" applyBorder="1" applyAlignment="1">
      <alignment horizontal="center" vertical="center"/>
    </xf>
    <xf numFmtId="0" fontId="15" fillId="10" borderId="2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quotePrefix="1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7" fillId="8" borderId="23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17" fillId="8" borderId="21" xfId="0" applyFont="1" applyFill="1" applyBorder="1" applyAlignment="1">
      <alignment horizontal="center" vertical="center"/>
    </xf>
    <xf numFmtId="0" fontId="17" fillId="8" borderId="1" xfId="0" quotePrefix="1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/>
    </xf>
    <xf numFmtId="0" fontId="15" fillId="3" borderId="1" xfId="0" quotePrefix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left" vertical="center"/>
    </xf>
    <xf numFmtId="0" fontId="15" fillId="5" borderId="3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16" fontId="12" fillId="0" borderId="1" xfId="0" applyNumberFormat="1" applyFont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3" xfId="0" quotePrefix="1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9" xfId="0" quotePrefix="1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9" fillId="4" borderId="34" xfId="0" applyFont="1" applyFill="1" applyBorder="1" applyAlignment="1">
      <alignment horizontal="center" vertical="center" wrapText="1"/>
    </xf>
    <xf numFmtId="16" fontId="12" fillId="6" borderId="1" xfId="0" applyNumberFormat="1" applyFont="1" applyFill="1" applyBorder="1" applyAlignment="1">
      <alignment horizontal="center" vertical="center"/>
    </xf>
    <xf numFmtId="0" fontId="47" fillId="0" borderId="25" xfId="3" quotePrefix="1" applyBorder="1" applyAlignment="1">
      <alignment horizontal="center" vertical="center"/>
    </xf>
    <xf numFmtId="0" fontId="12" fillId="0" borderId="25" xfId="0" quotePrefix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7" xfId="0" quotePrefix="1" applyFont="1" applyBorder="1" applyAlignment="1">
      <alignment horizontal="center" vertical="center"/>
    </xf>
    <xf numFmtId="0" fontId="42" fillId="0" borderId="7" xfId="0" quotePrefix="1" applyFont="1" applyBorder="1" applyAlignment="1">
      <alignment horizontal="center" vertical="center"/>
    </xf>
    <xf numFmtId="0" fontId="12" fillId="0" borderId="31" xfId="0" quotePrefix="1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49" fillId="6" borderId="25" xfId="3" quotePrefix="1" applyFont="1" applyFill="1" applyBorder="1" applyAlignment="1">
      <alignment horizontal="center" vertical="center" wrapText="1"/>
    </xf>
    <xf numFmtId="0" fontId="50" fillId="6" borderId="11" xfId="0" applyFont="1" applyFill="1" applyBorder="1" applyAlignment="1">
      <alignment horizontal="center" vertical="center" wrapText="1"/>
    </xf>
    <xf numFmtId="0" fontId="50" fillId="6" borderId="12" xfId="0" applyFont="1" applyFill="1" applyBorder="1" applyAlignment="1">
      <alignment horizontal="center" vertical="center" wrapText="1"/>
    </xf>
    <xf numFmtId="0" fontId="33" fillId="6" borderId="25" xfId="0" quotePrefix="1" applyFont="1" applyFill="1" applyBorder="1" applyAlignment="1">
      <alignment horizontal="center" vertical="center" wrapText="1"/>
    </xf>
    <xf numFmtId="0" fontId="33" fillId="6" borderId="11" xfId="0" applyFont="1" applyFill="1" applyBorder="1" applyAlignment="1">
      <alignment horizontal="center" vertical="center" wrapText="1"/>
    </xf>
    <xf numFmtId="0" fontId="33" fillId="6" borderId="26" xfId="0" applyFont="1" applyFill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7" xfId="0" quotePrefix="1" applyFont="1" applyBorder="1" applyAlignment="1">
      <alignment horizontal="center" vertical="center" wrapText="1"/>
    </xf>
    <xf numFmtId="0" fontId="33" fillId="0" borderId="8" xfId="0" quotePrefix="1" applyFont="1" applyBorder="1" applyAlignment="1">
      <alignment horizontal="center" vertical="center" wrapText="1"/>
    </xf>
    <xf numFmtId="0" fontId="33" fillId="0" borderId="21" xfId="0" quotePrefix="1" applyFont="1" applyBorder="1" applyAlignment="1">
      <alignment horizontal="center" vertical="center" wrapText="1"/>
    </xf>
    <xf numFmtId="0" fontId="33" fillId="0" borderId="9" xfId="0" quotePrefix="1" applyFont="1" applyBorder="1" applyAlignment="1">
      <alignment horizontal="center" vertical="center" wrapText="1"/>
    </xf>
    <xf numFmtId="0" fontId="33" fillId="0" borderId="7" xfId="0" quotePrefix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6" borderId="8" xfId="0" applyFont="1" applyFill="1" applyBorder="1" applyAlignment="1">
      <alignment horizontal="center" vertical="center" wrapText="1"/>
    </xf>
    <xf numFmtId="0" fontId="33" fillId="6" borderId="9" xfId="0" applyFont="1" applyFill="1" applyBorder="1" applyAlignment="1">
      <alignment horizontal="center" vertical="center" wrapText="1"/>
    </xf>
    <xf numFmtId="0" fontId="33" fillId="0" borderId="31" xfId="0" quotePrefix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3" fillId="11" borderId="25" xfId="0" quotePrefix="1" applyFont="1" applyFill="1" applyBorder="1" applyAlignment="1">
      <alignment horizontal="center" vertical="center" wrapText="1"/>
    </xf>
    <xf numFmtId="0" fontId="33" fillId="11" borderId="11" xfId="0" applyFont="1" applyFill="1" applyBorder="1" applyAlignment="1">
      <alignment horizontal="center" vertical="center" wrapText="1"/>
    </xf>
    <xf numFmtId="0" fontId="33" fillId="11" borderId="12" xfId="0" applyFont="1" applyFill="1" applyBorder="1" applyAlignment="1">
      <alignment horizontal="center" vertical="center" wrapText="1"/>
    </xf>
    <xf numFmtId="0" fontId="33" fillId="6" borderId="11" xfId="0" quotePrefix="1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 wrapText="1"/>
    </xf>
    <xf numFmtId="0" fontId="33" fillId="11" borderId="8" xfId="0" quotePrefix="1" applyFont="1" applyFill="1" applyBorder="1" applyAlignment="1">
      <alignment horizontal="center" vertical="center" wrapText="1"/>
    </xf>
    <xf numFmtId="0" fontId="33" fillId="11" borderId="21" xfId="0" quotePrefix="1" applyFont="1" applyFill="1" applyBorder="1" applyAlignment="1">
      <alignment horizontal="center" vertical="center" wrapText="1"/>
    </xf>
    <xf numFmtId="0" fontId="33" fillId="11" borderId="7" xfId="0" applyFont="1" applyFill="1" applyBorder="1" applyAlignment="1">
      <alignment horizontal="center" vertical="center" wrapText="1"/>
    </xf>
    <xf numFmtId="0" fontId="33" fillId="11" borderId="8" xfId="0" applyFont="1" applyFill="1" applyBorder="1" applyAlignment="1">
      <alignment horizontal="center" vertical="center" wrapText="1"/>
    </xf>
    <xf numFmtId="0" fontId="33" fillId="11" borderId="21" xfId="0" applyFont="1" applyFill="1" applyBorder="1" applyAlignment="1">
      <alignment horizontal="center" vertical="center" wrapText="1"/>
    </xf>
    <xf numFmtId="0" fontId="33" fillId="11" borderId="9" xfId="0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/>
    </xf>
    <xf numFmtId="0" fontId="33" fillId="11" borderId="8" xfId="0" applyFont="1" applyFill="1" applyBorder="1" applyAlignment="1">
      <alignment horizontal="center" vertical="center"/>
    </xf>
    <xf numFmtId="0" fontId="33" fillId="11" borderId="21" xfId="0" applyFont="1" applyFill="1" applyBorder="1" applyAlignment="1">
      <alignment horizontal="center" vertical="center"/>
    </xf>
    <xf numFmtId="0" fontId="33" fillId="11" borderId="11" xfId="0" quotePrefix="1" applyFont="1" applyFill="1" applyBorder="1" applyAlignment="1">
      <alignment horizontal="center" vertical="center" wrapText="1"/>
    </xf>
    <xf numFmtId="0" fontId="33" fillId="11" borderId="26" xfId="0" applyFont="1" applyFill="1" applyBorder="1" applyAlignment="1">
      <alignment horizontal="center" vertical="center" wrapText="1"/>
    </xf>
    <xf numFmtId="0" fontId="33" fillId="6" borderId="7" xfId="0" quotePrefix="1" applyFont="1" applyFill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21" xfId="0" applyFont="1" applyFill="1" applyBorder="1" applyAlignment="1">
      <alignment horizontal="center" vertical="center"/>
    </xf>
    <xf numFmtId="0" fontId="33" fillId="6" borderId="31" xfId="0" quotePrefix="1" applyFont="1" applyFill="1" applyBorder="1" applyAlignment="1">
      <alignment horizontal="center" vertical="center"/>
    </xf>
    <xf numFmtId="0" fontId="33" fillId="6" borderId="32" xfId="0" applyFont="1" applyFill="1" applyBorder="1" applyAlignment="1">
      <alignment horizontal="center" vertical="center"/>
    </xf>
    <xf numFmtId="0" fontId="33" fillId="6" borderId="40" xfId="0" applyFont="1" applyFill="1" applyBorder="1" applyAlignment="1">
      <alignment horizontal="center" vertical="center"/>
    </xf>
    <xf numFmtId="0" fontId="33" fillId="11" borderId="9" xfId="0" quotePrefix="1" applyFont="1" applyFill="1" applyBorder="1" applyAlignment="1">
      <alignment horizontal="center" vertical="center" wrapText="1"/>
    </xf>
    <xf numFmtId="0" fontId="33" fillId="0" borderId="32" xfId="0" quotePrefix="1" applyFont="1" applyBorder="1" applyAlignment="1">
      <alignment horizontal="center" vertical="center"/>
    </xf>
    <xf numFmtId="0" fontId="12" fillId="6" borderId="1" xfId="0" quotePrefix="1" applyFont="1" applyFill="1" applyBorder="1" applyAlignment="1">
      <alignment horizontal="center" vertical="center"/>
    </xf>
    <xf numFmtId="0" fontId="33" fillId="0" borderId="25" xfId="0" quotePrefix="1" applyFont="1" applyBorder="1" applyAlignment="1">
      <alignment horizontal="center" vertical="center" wrapText="1"/>
    </xf>
    <xf numFmtId="166" fontId="21" fillId="6" borderId="7" xfId="0" applyNumberFormat="1" applyFont="1" applyFill="1" applyBorder="1" applyAlignment="1">
      <alignment horizontal="center" vertical="center" wrapText="1"/>
    </xf>
    <xf numFmtId="166" fontId="21" fillId="6" borderId="21" xfId="0" applyNumberFormat="1" applyFont="1" applyFill="1" applyBorder="1" applyAlignment="1">
      <alignment horizontal="center" vertical="center" wrapText="1"/>
    </xf>
    <xf numFmtId="0" fontId="37" fillId="4" borderId="28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27" fillId="0" borderId="35" xfId="0" applyFont="1" applyFill="1" applyBorder="1" applyAlignment="1">
      <alignment horizontal="center" vertical="center" wrapText="1"/>
    </xf>
    <xf numFmtId="0" fontId="27" fillId="0" borderId="39" xfId="0" applyFont="1" applyFill="1" applyBorder="1" applyAlignment="1">
      <alignment horizontal="center" vertical="center" wrapText="1"/>
    </xf>
    <xf numFmtId="0" fontId="27" fillId="0" borderId="36" xfId="0" applyFont="1" applyFill="1" applyBorder="1" applyAlignment="1">
      <alignment horizontal="center" vertical="center" wrapText="1"/>
    </xf>
    <xf numFmtId="0" fontId="27" fillId="0" borderId="31" xfId="0" applyFont="1" applyFill="1" applyBorder="1" applyAlignment="1">
      <alignment horizontal="center" vertical="center" wrapText="1"/>
    </xf>
    <xf numFmtId="0" fontId="27" fillId="0" borderId="32" xfId="0" applyFont="1" applyFill="1" applyBorder="1" applyAlignment="1">
      <alignment horizontal="center" vertical="center" wrapText="1"/>
    </xf>
    <xf numFmtId="0" fontId="27" fillId="0" borderId="33" xfId="0" applyFont="1" applyFill="1" applyBorder="1" applyAlignment="1">
      <alignment horizontal="center" vertical="center" wrapText="1"/>
    </xf>
    <xf numFmtId="0" fontId="33" fillId="0" borderId="7" xfId="0" quotePrefix="1" applyFont="1" applyFill="1" applyBorder="1" applyAlignment="1">
      <alignment horizontal="center" vertical="center"/>
    </xf>
    <xf numFmtId="0" fontId="33" fillId="0" borderId="8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0" fontId="33" fillId="0" borderId="32" xfId="0" quotePrefix="1" applyFont="1" applyFill="1" applyBorder="1" applyAlignment="1">
      <alignment horizontal="center" vertical="center"/>
    </xf>
    <xf numFmtId="0" fontId="33" fillId="0" borderId="32" xfId="0" applyFont="1" applyFill="1" applyBorder="1" applyAlignment="1">
      <alignment horizontal="center" vertical="center"/>
    </xf>
    <xf numFmtId="0" fontId="33" fillId="0" borderId="40" xfId="0" applyFont="1" applyFill="1" applyBorder="1" applyAlignment="1">
      <alignment horizontal="center" vertical="center"/>
    </xf>
    <xf numFmtId="164" fontId="21" fillId="0" borderId="35" xfId="0" applyNumberFormat="1" applyFont="1" applyFill="1" applyBorder="1" applyAlignment="1">
      <alignment horizontal="center" vertical="center" wrapText="1"/>
    </xf>
    <xf numFmtId="164" fontId="21" fillId="0" borderId="36" xfId="0" applyNumberFormat="1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26" fillId="6" borderId="7" xfId="0" applyFont="1" applyFill="1" applyBorder="1" applyAlignment="1">
      <alignment horizontal="center" vertical="center"/>
    </xf>
    <xf numFmtId="0" fontId="12" fillId="6" borderId="1" xfId="0" quotePrefix="1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0" borderId="47" xfId="0" applyBorder="1">
      <alignment vertical="center"/>
    </xf>
    <xf numFmtId="0" fontId="0" fillId="0" borderId="48" xfId="0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</cellXfs>
  <cellStyles count="5">
    <cellStyle name="Comma [0]" xfId="2" builtinId="6"/>
    <cellStyle name="Hyperlink" xfId="3" builtinId="8"/>
    <cellStyle name="Normal" xfId="0" builtinId="0"/>
    <cellStyle name="Normal 2" xfId="4" xr:uid="{EE9ED668-83DF-614E-AFFD-9260014BDA3C}"/>
    <cellStyle name="Percent" xfId="1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38100</xdr:rowOff>
        </xdr:from>
        <xdr:to>
          <xdr:col>0</xdr:col>
          <xdr:colOff>1524000</xdr:colOff>
          <xdr:row>40</xdr:row>
          <xdr:rowOff>12700</xdr:rowOff>
        </xdr:to>
        <xdr:sp macro="" textlink="">
          <xdr:nvSpPr>
            <xdr:cNvPr id="66561" name="Button 1" descr="Button_4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-127"/>
                  <a:cs typeface="Calibri" pitchFamily="2" charset="-127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75.546004629628" createdVersion="6" refreshedVersion="6" minRefreshableVersion="3" recordCount="30" xr:uid="{332DAC3C-715F-4D41-870E-5DDA3C880186}">
  <cacheSource type="worksheet">
    <worksheetSource name="Data"/>
  </cacheSource>
  <cacheFields count="45">
    <cacheField name="Report name" numFmtId="0">
      <sharedItems/>
    </cacheField>
    <cacheField name="Country" numFmtId="0">
      <sharedItems/>
    </cacheField>
    <cacheField name="Year" numFmtId="1">
      <sharedItems containsSemiMixedTypes="0" containsString="0" containsNumber="1" containsInteger="1" minValue="2017" maxValue="2019"/>
    </cacheField>
    <cacheField name="Month" numFmtId="0">
      <sharedItems/>
    </cacheField>
    <cacheField name="Regular_EMP" numFmtId="1">
      <sharedItems containsSemiMixedTypes="0" containsString="0" containsNumber="1" containsInteger="1" minValue="1" maxValue="5"/>
    </cacheField>
    <cacheField name="Total_Person" numFmtId="1">
      <sharedItems containsSemiMixedTypes="0" containsString="0" containsNumber="1" containsInteger="1" minValue="5" maxValue="14"/>
    </cacheField>
    <cacheField name="CS_Goal" numFmtId="0">
      <sharedItems containsSemiMixedTypes="0" containsString="0" containsNumber="1" minValue="10718" maxValue="19309"/>
    </cacheField>
    <cacheField name="CS_Actual" numFmtId="0">
      <sharedItems containsSemiMixedTypes="0" containsString="0" containsNumber="1" containsInteger="1" minValue="9043" maxValue="18296"/>
    </cacheField>
    <cacheField name="PS_Goal" numFmtId="0">
      <sharedItems containsSemiMixedTypes="0" containsString="0" containsNumber="1" containsInteger="1" minValue="4547" maxValue="23819"/>
    </cacheField>
    <cacheField name="PS_Actual" numFmtId="0">
      <sharedItems containsSemiMixedTypes="0" containsString="0" containsNumber="1" containsInteger="1" minValue="2735" maxValue="21018"/>
    </cacheField>
    <cacheField name="Sponsor_Goal" numFmtId="0">
      <sharedItems containsSemiMixedTypes="0" containsString="0" containsNumber="1" minValue="18605" maxValue="43128"/>
    </cacheField>
    <cacheField name="Sponsor_Actual" numFmtId="0">
      <sharedItems containsSemiMixedTypes="0" containsString="0" containsNumber="1" containsInteger="1" minValue="11830" maxValue="39314"/>
    </cacheField>
    <cacheField name="Designated_Goal" numFmtId="0">
      <sharedItems containsSemiMixedTypes="0" containsString="0" containsNumber="1" containsInteger="1" minValue="200" maxValue="2900"/>
    </cacheField>
    <cacheField name="Designated_Actual" numFmtId="0">
      <sharedItems containsSemiMixedTypes="0" containsString="0" containsNumber="1" containsInteger="1" minValue="201" maxValue="21650"/>
    </cacheField>
    <cacheField name="Nondesignated_Goal" numFmtId="0">
      <sharedItems containsSemiMixedTypes="0" containsString="0" containsNumber="1" containsInteger="1" minValue="0" maxValue="8700"/>
    </cacheField>
    <cacheField name="Nondesignated_Actual" numFmtId="0">
      <sharedItems containsSemiMixedTypes="0" containsString="0" containsNumber="1" containsInteger="1" minValue="9" maxValue="13167"/>
    </cacheField>
    <cacheField name="GG_Goal" numFmtId="0">
      <sharedItems containsSemiMixedTypes="0" containsString="0" containsNumber="1" containsInteger="1" minValue="35000" maxValue="36232"/>
    </cacheField>
    <cacheField name="GG_Actual" numFmtId="0">
      <sharedItems containsSemiMixedTypes="0" containsString="0" containsNumber="1" containsInteger="1" minValue="0" maxValue="394782"/>
    </cacheField>
    <cacheField name="FG_Goal" numFmtId="0">
      <sharedItems containsSemiMixedTypes="0" containsString="0" containsNumber="1" containsInteger="1" minValue="0" maxValue="2222"/>
    </cacheField>
    <cacheField name="FG_Actual" numFmtId="0">
      <sharedItems containsSemiMixedTypes="0" containsString="0" containsNumber="1" containsInteger="1" minValue="0" maxValue="28435"/>
    </cacheField>
    <cacheField name="GIK_Goal" numFmtId="0">
      <sharedItems containsSemiMixedTypes="0" containsString="0" containsNumber="1" containsInteger="1" minValue="300" maxValue="13000"/>
    </cacheField>
    <cacheField name="GIK_Actual" numFmtId="0">
      <sharedItems containsSemiMixedTypes="0" containsString="0" containsNumber="1" minValue="492" maxValue="34798"/>
    </cacheField>
    <cacheField name="Others_Goal" numFmtId="0">
      <sharedItems containsSemiMixedTypes="0" containsString="0" containsNumber="1" containsInteger="1" minValue="0" maxValue="20000"/>
    </cacheField>
    <cacheField name="Others_Actual" numFmtId="0">
      <sharedItems containsSemiMixedTypes="0" containsString="0" containsNumber="1" containsInteger="1" minValue="0" maxValue="1220"/>
    </cacheField>
    <cacheField name="GNI_Goal" numFmtId="0">
      <sharedItems containsSemiMixedTypes="0" containsString="0" containsNumber="1" containsInteger="1" minValue="13000" maxValue="40000"/>
    </cacheField>
    <cacheField name="GNI_Actual" numFmtId="0">
      <sharedItems containsSemiMixedTypes="0" containsString="0" containsNumber="1" containsInteger="1" minValue="0" maxValue="189145"/>
    </cacheField>
    <cacheField name="Total_Goal" numFmtId="0">
      <sharedItems containsSemiMixedTypes="0" containsString="0" containsNumber="1" minValue="74555" maxValue="140024"/>
    </cacheField>
    <cacheField name="Total_Actual" numFmtId="0">
      <sharedItems containsSemiMixedTypes="0" containsString="0" containsNumber="1" minValue="17568" maxValue="445590"/>
    </cacheField>
    <cacheField name="Total_EXGIK_Goal" numFmtId="0">
      <sharedItems containsSemiMixedTypes="0" containsString="0" containsNumber="1" minValue="74255" maxValue="127524"/>
    </cacheField>
    <cacheField name="Total_EXGIK_Actual" numFmtId="0">
      <sharedItems containsSemiMixedTypes="0" containsString="0" containsNumber="1" containsInteger="1" minValue="16769" maxValue="440486"/>
    </cacheField>
    <cacheField name="New_CS_No_Goal" numFmtId="0">
      <sharedItems containsSemiMixedTypes="0" containsString="0" containsNumber="1" containsInteger="1" minValue="5" maxValue="20"/>
    </cacheField>
    <cacheField name="New_CS_No_Actual" numFmtId="0">
      <sharedItems containsSemiMixedTypes="0" containsString="0" containsNumber="1" containsInteger="1" minValue="1" maxValue="44"/>
    </cacheField>
    <cacheField name="Total_CS_No_Goal" numFmtId="0">
      <sharedItems containsSemiMixedTypes="0" containsString="0" containsNumber="1" containsInteger="1" minValue="308" maxValue="489"/>
    </cacheField>
    <cacheField name="Total_CS_No_Actual" numFmtId="0">
      <sharedItems containsSemiMixedTypes="0" containsString="0" containsNumber="1" containsInteger="1" minValue="269" maxValue="526"/>
    </cacheField>
    <cacheField name="New_PS_No_Goal" numFmtId="0">
      <sharedItems containsSemiMixedTypes="0" containsString="0" containsNumber="1" containsInteger="1" minValue="2" maxValue="83"/>
    </cacheField>
    <cacheField name="New_PS_No_Actual" numFmtId="0">
      <sharedItems containsSemiMixedTypes="0" containsString="0" containsNumber="1" containsInteger="1" minValue="0" maxValue="208"/>
    </cacheField>
    <cacheField name="Total_PS_No_Goal" numFmtId="0">
      <sharedItems containsSemiMixedTypes="0" containsString="0" containsNumber="1" containsInteger="1" minValue="679" maxValue="1759"/>
    </cacheField>
    <cacheField name="Total_PS_No_Actual" numFmtId="0">
      <sharedItems containsSemiMixedTypes="0" containsString="0" containsNumber="1" containsInteger="1" minValue="476" maxValue="1990"/>
    </cacheField>
    <cacheField name="Total_Sponsor_Goal" numFmtId="0">
      <sharedItems containsSemiMixedTypes="0" containsString="0" containsNumber="1" minValue="18605" maxValue="43128"/>
    </cacheField>
    <cacheField name="Total_Sponsor_Actual" numFmtId="0">
      <sharedItems containsSemiMixedTypes="0" containsString="0" containsNumber="1" containsInteger="1" minValue="11830" maxValue="39314"/>
    </cacheField>
    <cacheField name="GNI_Grant" numFmtId="0">
      <sharedItems containsSemiMixedTypes="0" containsString="0" containsNumber="1" containsInteger="1" minValue="0" maxValue="0"/>
    </cacheField>
    <cacheField name="Carry_Over" numFmtId="0">
      <sharedItems containsSemiMixedTypes="0" containsString="0" containsNumber="1" minValue="-93191" maxValue="132132.4"/>
    </cacheField>
    <cacheField name="Raised_Fund" numFmtId="0">
      <sharedItems containsSemiMixedTypes="0" containsString="0" containsNumber="1" minValue="17568" maxValue="445590"/>
    </cacheField>
    <cacheField name="Expenditure" numFmtId="0">
      <sharedItems containsSemiMixedTypes="0" containsString="0" containsNumber="1" containsInteger="1" minValue="37911" maxValue="400000"/>
    </cacheField>
    <cacheField name="Balance" numFmtId="0">
      <sharedItems containsSemiMixedTypes="0" containsString="0" containsNumber="1" minValue="-93191" maxValue="209230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2017JAN"/>
    <s v="JAPAN"/>
    <n v="2017"/>
    <s v="Jan"/>
    <n v="2"/>
    <n v="5"/>
    <n v="13890"/>
    <n v="11683"/>
    <n v="4715"/>
    <n v="4222"/>
    <n v="18605"/>
    <n v="15905"/>
    <n v="200"/>
    <n v="2472"/>
    <n v="1200"/>
    <n v="2754"/>
    <n v="35000"/>
    <n v="0"/>
    <n v="0"/>
    <n v="0"/>
    <n v="300"/>
    <n v="550"/>
    <n v="2250"/>
    <n v="0"/>
    <n v="17000"/>
    <n v="0"/>
    <n v="74555"/>
    <n v="21681"/>
    <n v="74255"/>
    <n v="21131"/>
    <n v="5"/>
    <n v="2"/>
    <n v="425"/>
    <n v="412"/>
    <n v="2"/>
    <n v="0"/>
    <n v="740"/>
    <n v="773"/>
    <n v="18605"/>
    <n v="15905"/>
    <n v="0"/>
    <n v="0"/>
    <n v="21681"/>
    <n v="37911"/>
    <n v="-16230"/>
  </r>
  <r>
    <s v="2017FEB"/>
    <s v="JAPAN"/>
    <n v="2017"/>
    <s v="Feb"/>
    <n v="3"/>
    <n v="6"/>
    <n v="13938"/>
    <n v="11557"/>
    <n v="4699"/>
    <n v="4161"/>
    <n v="18637"/>
    <n v="15718"/>
    <n v="200"/>
    <n v="539"/>
    <n v="1700"/>
    <n v="1177"/>
    <n v="35000"/>
    <n v="0"/>
    <n v="0"/>
    <n v="0"/>
    <n v="300"/>
    <n v="998"/>
    <n v="2250"/>
    <n v="0"/>
    <n v="17000"/>
    <n v="51000"/>
    <n v="75087"/>
    <n v="69432"/>
    <n v="74787"/>
    <n v="68434"/>
    <n v="5"/>
    <n v="1"/>
    <n v="422"/>
    <n v="406"/>
    <n v="2"/>
    <n v="3"/>
    <n v="735"/>
    <n v="766"/>
    <n v="18637"/>
    <n v="15718"/>
    <n v="0"/>
    <n v="-16230"/>
    <n v="18432"/>
    <n v="38591"/>
    <n v="14611"/>
  </r>
  <r>
    <s v="2017MAR"/>
    <s v="JAPAN"/>
    <n v="2017"/>
    <s v="March"/>
    <n v="3"/>
    <n v="6"/>
    <n v="13986"/>
    <n v="11504"/>
    <n v="4682"/>
    <n v="4143"/>
    <n v="18668"/>
    <n v="15647"/>
    <n v="200"/>
    <n v="832"/>
    <n v="2200"/>
    <n v="12468"/>
    <n v="35000"/>
    <n v="0"/>
    <n v="0"/>
    <n v="0"/>
    <n v="300"/>
    <n v="492"/>
    <n v="2250"/>
    <n v="0"/>
    <n v="17000"/>
    <n v="0"/>
    <n v="75618"/>
    <n v="29439"/>
    <n v="75318"/>
    <n v="28947"/>
    <n v="5"/>
    <n v="1"/>
    <n v="418"/>
    <n v="403"/>
    <n v="2"/>
    <n v="0"/>
    <n v="728"/>
    <n v="756"/>
    <n v="18668"/>
    <n v="15647"/>
    <n v="0"/>
    <n v="14611"/>
    <n v="29439"/>
    <n v="38591"/>
    <n v="5459"/>
  </r>
  <r>
    <s v="2017APR"/>
    <s v="JAPAN"/>
    <n v="2017"/>
    <s v="April"/>
    <n v="4"/>
    <n v="7"/>
    <n v="14035"/>
    <n v="11382"/>
    <n v="4666"/>
    <n v="4104"/>
    <n v="18701"/>
    <n v="15486"/>
    <n v="200"/>
    <n v="1164"/>
    <n v="2700"/>
    <n v="2459"/>
    <n v="35000"/>
    <n v="0"/>
    <n v="2222"/>
    <n v="0"/>
    <n v="300"/>
    <n v="1303"/>
    <n v="3750"/>
    <n v="0"/>
    <n v="17000"/>
    <n v="51000"/>
    <n v="79873"/>
    <n v="71412"/>
    <n v="79573"/>
    <n v="70109"/>
    <n v="5"/>
    <n v="1"/>
    <n v="415"/>
    <n v="398"/>
    <n v="2"/>
    <n v="0"/>
    <n v="723"/>
    <n v="748"/>
    <n v="18701"/>
    <n v="15486"/>
    <n v="0"/>
    <n v="5459"/>
    <n v="20412"/>
    <n v="48161"/>
    <n v="28710"/>
  </r>
  <r>
    <s v="2017MAY"/>
    <s v="JAPAN"/>
    <n v="2017"/>
    <s v="May"/>
    <n v="4"/>
    <n v="7"/>
    <n v="14085"/>
    <n v="11109"/>
    <n v="4650"/>
    <n v="4070"/>
    <n v="18735"/>
    <n v="15179"/>
    <n v="200"/>
    <n v="201"/>
    <n v="3200"/>
    <n v="1389"/>
    <n v="35000"/>
    <n v="0"/>
    <n v="2222"/>
    <n v="0"/>
    <n v="300"/>
    <n v="799"/>
    <n v="3750"/>
    <n v="0"/>
    <n v="17000"/>
    <n v="0"/>
    <n v="80407"/>
    <n v="17568"/>
    <n v="80107"/>
    <n v="16769"/>
    <n v="5"/>
    <n v="8"/>
    <n v="412"/>
    <n v="393"/>
    <n v="2"/>
    <n v="0"/>
    <n v="717"/>
    <n v="739"/>
    <n v="18735"/>
    <n v="15179"/>
    <n v="0"/>
    <n v="28710"/>
    <n v="17568"/>
    <n v="49321"/>
    <n v="-3043"/>
  </r>
  <r>
    <s v="2017JUN"/>
    <s v="JAPAN"/>
    <n v="2017"/>
    <s v="June"/>
    <n v="4"/>
    <n v="7"/>
    <n v="14136"/>
    <n v="11343"/>
    <n v="4634"/>
    <n v="4035"/>
    <n v="18770"/>
    <n v="15378"/>
    <n v="200"/>
    <n v="613"/>
    <n v="3700"/>
    <n v="2750"/>
    <n v="35000"/>
    <n v="0"/>
    <n v="2222"/>
    <n v="0"/>
    <n v="300"/>
    <n v="1241"/>
    <n v="3750"/>
    <n v="0"/>
    <n v="17000"/>
    <n v="0"/>
    <n v="80942"/>
    <n v="19982"/>
    <n v="80642"/>
    <n v="18741"/>
    <n v="5"/>
    <n v="12"/>
    <n v="409"/>
    <n v="403"/>
    <n v="2"/>
    <n v="0"/>
    <n v="712"/>
    <n v="746"/>
    <n v="18770"/>
    <n v="15378"/>
    <n v="0"/>
    <n v="-3043"/>
    <n v="19982"/>
    <n v="48501"/>
    <n v="-31562"/>
  </r>
  <r>
    <s v="2017JUL"/>
    <s v="JAPAN"/>
    <n v="2017"/>
    <s v="July"/>
    <n v="4"/>
    <n v="7"/>
    <n v="14188"/>
    <n v="12209"/>
    <n v="4619"/>
    <n v="3791"/>
    <n v="18807"/>
    <n v="16000"/>
    <n v="200"/>
    <n v="241"/>
    <n v="3700"/>
    <n v="4985"/>
    <n v="35000"/>
    <n v="0"/>
    <n v="2222"/>
    <n v="28435"/>
    <n v="300"/>
    <n v="799"/>
    <n v="5250"/>
    <n v="0"/>
    <n v="17000"/>
    <n v="51000"/>
    <n v="82479"/>
    <n v="101460"/>
    <n v="82179"/>
    <n v="100661"/>
    <n v="5"/>
    <n v="32"/>
    <n v="406"/>
    <n v="443"/>
    <n v="2"/>
    <n v="9"/>
    <n v="707"/>
    <n v="793"/>
    <n v="18807"/>
    <n v="16000"/>
    <n v="0"/>
    <n v="-31562"/>
    <n v="50460"/>
    <n v="71436"/>
    <n v="-1538"/>
  </r>
  <r>
    <s v="2017AUG"/>
    <s v="JAPAN"/>
    <n v="2017"/>
    <s v="Aug"/>
    <n v="4"/>
    <n v="6"/>
    <n v="14240"/>
    <n v="9043"/>
    <n v="4604"/>
    <n v="2787"/>
    <n v="18844"/>
    <n v="11830"/>
    <n v="200"/>
    <n v="364"/>
    <n v="3700"/>
    <n v="10543"/>
    <n v="35000"/>
    <n v="0"/>
    <n v="2222"/>
    <n v="0"/>
    <n v="300"/>
    <n v="762"/>
    <n v="5250"/>
    <n v="0"/>
    <n v="17000"/>
    <n v="0"/>
    <n v="82516"/>
    <n v="23499"/>
    <n v="82216"/>
    <n v="22737"/>
    <n v="5"/>
    <n v="44"/>
    <n v="403"/>
    <n v="304"/>
    <n v="2"/>
    <n v="208"/>
    <n v="701"/>
    <n v="720"/>
    <n v="18844"/>
    <n v="11830"/>
    <n v="0"/>
    <n v="-1538"/>
    <n v="23499"/>
    <n v="47921"/>
    <n v="-25960"/>
  </r>
  <r>
    <s v="2017SEP"/>
    <s v="JAPAN"/>
    <n v="2017"/>
    <s v="Sep"/>
    <n v="5"/>
    <n v="7"/>
    <n v="14293"/>
    <n v="9357"/>
    <n v="4589"/>
    <n v="2778"/>
    <n v="18882"/>
    <n v="12135"/>
    <n v="200"/>
    <n v="338"/>
    <n v="3700"/>
    <n v="12480"/>
    <n v="35000"/>
    <n v="0"/>
    <n v="2222"/>
    <n v="0"/>
    <n v="300"/>
    <n v="5107"/>
    <n v="5250"/>
    <n v="0"/>
    <n v="17000"/>
    <n v="0"/>
    <n v="82554"/>
    <n v="30060"/>
    <n v="82254"/>
    <n v="24953"/>
    <n v="5"/>
    <n v="12"/>
    <n v="399"/>
    <n v="269"/>
    <n v="2"/>
    <n v="0"/>
    <n v="695"/>
    <n v="476"/>
    <n v="18882"/>
    <n v="12135"/>
    <n v="0"/>
    <n v="-25960"/>
    <n v="30060"/>
    <n v="48301"/>
    <n v="-44201"/>
  </r>
  <r>
    <s v="2017OCT"/>
    <s v="JAPAN"/>
    <n v="2017"/>
    <s v="Oct"/>
    <n v="5"/>
    <n v="7"/>
    <n v="14347"/>
    <n v="9635"/>
    <n v="4575"/>
    <n v="2778"/>
    <n v="18922"/>
    <n v="12413"/>
    <n v="200"/>
    <n v="1959"/>
    <n v="3700"/>
    <n v="13145"/>
    <n v="35000"/>
    <n v="0"/>
    <n v="2222"/>
    <n v="0"/>
    <n v="300"/>
    <n v="7972.4"/>
    <n v="6750"/>
    <n v="0"/>
    <n v="17000"/>
    <n v="189145"/>
    <n v="84094"/>
    <n v="224634.4"/>
    <n v="83794"/>
    <n v="216662"/>
    <n v="5"/>
    <n v="9"/>
    <n v="396"/>
    <n v="277"/>
    <n v="2"/>
    <n v="1"/>
    <n v="690"/>
    <n v="483"/>
    <n v="18922"/>
    <n v="12413"/>
    <n v="0"/>
    <n v="-44201"/>
    <n v="35489.399999999994"/>
    <n v="48301"/>
    <n v="132132.4"/>
  </r>
  <r>
    <s v="2017NOV"/>
    <s v="JAPAN"/>
    <n v="2017"/>
    <s v="Nov"/>
    <n v="5"/>
    <n v="6"/>
    <n v="14402"/>
    <n v="9843"/>
    <n v="4560"/>
    <n v="2778"/>
    <n v="18962"/>
    <n v="12621"/>
    <n v="200"/>
    <n v="3711"/>
    <n v="3700"/>
    <n v="11682"/>
    <n v="35000"/>
    <n v="86945"/>
    <n v="2222"/>
    <n v="0"/>
    <n v="300"/>
    <n v="10440"/>
    <n v="6750"/>
    <n v="0"/>
    <n v="17000"/>
    <n v="0"/>
    <n v="84134"/>
    <n v="125399"/>
    <n v="83834"/>
    <n v="114959"/>
    <n v="5"/>
    <n v="25"/>
    <n v="393"/>
    <n v="283"/>
    <n v="2"/>
    <n v="0"/>
    <n v="684"/>
    <n v="489"/>
    <n v="18962"/>
    <n v="12621"/>
    <n v="0"/>
    <n v="132132.4"/>
    <n v="125399"/>
    <n v="48301"/>
    <n v="209230.4"/>
  </r>
  <r>
    <s v="2017DEC"/>
    <s v="JAPAN"/>
    <n v="2017"/>
    <s v="Dec"/>
    <n v="5"/>
    <n v="6"/>
    <n v="14458"/>
    <n v="10922"/>
    <n v="4547"/>
    <n v="2735"/>
    <n v="19005"/>
    <n v="13657"/>
    <n v="200"/>
    <n v="7940"/>
    <n v="8700"/>
    <n v="13167"/>
    <n v="35000"/>
    <n v="86945"/>
    <n v="2222"/>
    <n v="0"/>
    <n v="300"/>
    <n v="29728"/>
    <n v="6750"/>
    <n v="0"/>
    <n v="13000"/>
    <n v="0"/>
    <n v="85177"/>
    <n v="151437"/>
    <n v="84877"/>
    <n v="121709"/>
    <n v="5"/>
    <n v="35"/>
    <n v="390"/>
    <n v="314"/>
    <n v="2"/>
    <n v="0"/>
    <n v="679"/>
    <n v="517"/>
    <n v="19004"/>
    <n v="13657"/>
    <n v="0"/>
    <n v="-44201"/>
    <n v="151437"/>
    <n v="48301"/>
    <n v="58935"/>
  </r>
  <r>
    <s v="2018JAN"/>
    <s v="JAPAN"/>
    <n v="2018"/>
    <s v="Jan"/>
    <n v="2"/>
    <n v="5"/>
    <n v="10718"/>
    <n v="11652"/>
    <n v="10240"/>
    <n v="11323"/>
    <n v="20958"/>
    <n v="22975"/>
    <n v="1000"/>
    <n v="12363"/>
    <n v="650"/>
    <n v="652"/>
    <n v="36232"/>
    <n v="0"/>
    <n v="1100"/>
    <n v="0"/>
    <n v="11000"/>
    <n v="34798"/>
    <n v="0"/>
    <n v="0"/>
    <n v="33500"/>
    <n v="0"/>
    <n v="104440"/>
    <n v="70788"/>
    <n v="93440"/>
    <n v="35990"/>
    <n v="8"/>
    <n v="24"/>
    <n v="308"/>
    <n v="335"/>
    <n v="40"/>
    <n v="46"/>
    <n v="948"/>
    <n v="1047"/>
    <n v="20958"/>
    <n v="22975"/>
    <n v="0"/>
    <n v="0"/>
    <n v="70788"/>
    <n v="63551"/>
    <n v="7237"/>
  </r>
  <r>
    <s v="2018FEB"/>
    <s v="JAPAN"/>
    <n v="2018"/>
    <s v="Feb"/>
    <n v="2"/>
    <n v="6"/>
    <n v="11136"/>
    <n v="12209"/>
    <n v="10880"/>
    <n v="12053"/>
    <n v="22016"/>
    <n v="24262"/>
    <n v="1000"/>
    <n v="2850"/>
    <n v="650"/>
    <n v="632"/>
    <n v="36232"/>
    <n v="0"/>
    <n v="1100"/>
    <n v="0"/>
    <n v="11000"/>
    <n v="5121"/>
    <n v="0"/>
    <n v="0"/>
    <n v="33500"/>
    <n v="99970"/>
    <n v="105498"/>
    <n v="132835"/>
    <n v="94498"/>
    <n v="127714"/>
    <n v="12"/>
    <n v="21"/>
    <n v="312"/>
    <n v="351"/>
    <n v="40"/>
    <n v="58"/>
    <n v="952"/>
    <n v="1113"/>
    <n v="22016"/>
    <n v="24262"/>
    <n v="0"/>
    <n v="7237"/>
    <n v="32865"/>
    <n v="75267"/>
    <n v="64805"/>
  </r>
  <r>
    <s v="2018MAR"/>
    <s v="JAPAN"/>
    <n v="2018"/>
    <s v="March"/>
    <n v="2"/>
    <n v="6"/>
    <n v="11554"/>
    <n v="12313"/>
    <n v="11520"/>
    <n v="12601"/>
    <n v="23074"/>
    <n v="24914"/>
    <n v="1000"/>
    <n v="2134"/>
    <n v="650"/>
    <n v="1165"/>
    <n v="36232"/>
    <n v="0"/>
    <n v="1100"/>
    <n v="0"/>
    <n v="11000"/>
    <n v="30744"/>
    <n v="0"/>
    <n v="0"/>
    <n v="33500"/>
    <n v="0"/>
    <n v="106556"/>
    <n v="58957"/>
    <n v="95556"/>
    <n v="28213"/>
    <n v="12"/>
    <n v="7"/>
    <n v="312"/>
    <n v="354"/>
    <n v="40"/>
    <n v="64"/>
    <n v="952"/>
    <n v="1170"/>
    <n v="23074"/>
    <n v="24914"/>
    <n v="0"/>
    <n v="64805"/>
    <n v="58957"/>
    <n v="73423"/>
    <n v="50339"/>
  </r>
  <r>
    <s v="2018APR"/>
    <s v="JAPAN"/>
    <n v="2018"/>
    <s v="April"/>
    <n v="2"/>
    <n v="6"/>
    <n v="11971"/>
    <n v="12452"/>
    <n v="12160"/>
    <n v="12857"/>
    <n v="24131"/>
    <n v="25309"/>
    <n v="1000"/>
    <n v="4333"/>
    <n v="650"/>
    <n v="1724"/>
    <n v="36232"/>
    <n v="0"/>
    <n v="1100"/>
    <n v="0"/>
    <n v="11500"/>
    <n v="5047"/>
    <n v="4000"/>
    <n v="0"/>
    <n v="33500"/>
    <n v="0"/>
    <n v="112113"/>
    <n v="36413"/>
    <n v="100613"/>
    <n v="31366"/>
    <n v="12"/>
    <n v="12"/>
    <n v="312"/>
    <n v="358"/>
    <n v="40"/>
    <n v="37"/>
    <n v="952"/>
    <n v="1198"/>
    <n v="24131"/>
    <n v="25309"/>
    <n v="0"/>
    <n v="50339"/>
    <n v="36413"/>
    <n v="76039"/>
    <n v="10713"/>
  </r>
  <r>
    <s v="2018MAY"/>
    <s v="JAPAN"/>
    <n v="2018"/>
    <s v="May"/>
    <n v="2"/>
    <n v="7"/>
    <n v="12388.8"/>
    <n v="12557"/>
    <n v="12800"/>
    <n v="12983"/>
    <n v="25188.799999999999"/>
    <n v="25540"/>
    <n v="1000"/>
    <n v="5789"/>
    <n v="650"/>
    <n v="524"/>
    <n v="36232"/>
    <n v="0"/>
    <n v="1100"/>
    <n v="0"/>
    <n v="11500"/>
    <n v="17146"/>
    <n v="8000"/>
    <n v="0"/>
    <n v="33500"/>
    <n v="100000"/>
    <n v="117170.8"/>
    <n v="148999"/>
    <n v="105670.8"/>
    <n v="131853"/>
    <n v="12"/>
    <n v="7"/>
    <n v="312"/>
    <n v="361"/>
    <n v="40"/>
    <n v="22"/>
    <n v="952"/>
    <n v="1209"/>
    <n v="25188.799999999999"/>
    <n v="25540"/>
    <n v="0"/>
    <n v="10713"/>
    <n v="48999"/>
    <n v="78719"/>
    <n v="80993"/>
  </r>
  <r>
    <s v="2018JUN"/>
    <s v="JAPAN"/>
    <n v="2018"/>
    <s v="June"/>
    <n v="2"/>
    <n v="8"/>
    <n v="12806.4"/>
    <n v="12487"/>
    <n v="13440"/>
    <n v="13083"/>
    <n v="26246.400000000001"/>
    <n v="25570"/>
    <n v="1000"/>
    <n v="4044"/>
    <n v="650"/>
    <n v="35"/>
    <n v="36232"/>
    <n v="0"/>
    <n v="1100"/>
    <n v="0"/>
    <n v="11500"/>
    <n v="5850"/>
    <n v="12000"/>
    <n v="0"/>
    <n v="33500"/>
    <n v="0"/>
    <n v="122228.4"/>
    <n v="35499"/>
    <n v="110728.4"/>
    <n v="29649"/>
    <n v="12"/>
    <n v="3"/>
    <n v="312"/>
    <n v="359"/>
    <n v="40"/>
    <n v="18"/>
    <n v="952"/>
    <n v="1214"/>
    <n v="26246.400000000001"/>
    <n v="25570"/>
    <n v="0"/>
    <n v="80993"/>
    <n v="35499"/>
    <n v="81072"/>
    <n v="35420"/>
  </r>
  <r>
    <s v="2018JUL"/>
    <s v="JAPAN"/>
    <n v="2018"/>
    <s v="July"/>
    <n v="2"/>
    <n v="11"/>
    <n v="13224"/>
    <n v="12417"/>
    <n v="14080"/>
    <n v="13114"/>
    <n v="27304"/>
    <n v="25531"/>
    <n v="1000"/>
    <n v="6994"/>
    <n v="650"/>
    <n v="244"/>
    <n v="36232"/>
    <n v="40435"/>
    <n v="1100"/>
    <n v="0"/>
    <n v="12000"/>
    <n v="26227"/>
    <n v="6000"/>
    <n v="870"/>
    <n v="33500"/>
    <n v="100000"/>
    <n v="117786"/>
    <n v="200301"/>
    <n v="105786"/>
    <n v="174074"/>
    <n v="12"/>
    <n v="2"/>
    <n v="312"/>
    <n v="357"/>
    <n v="40"/>
    <n v="17"/>
    <n v="952"/>
    <n v="1217"/>
    <n v="27304"/>
    <n v="25531"/>
    <n v="0"/>
    <n v="35420"/>
    <n v="100301"/>
    <n v="121072"/>
    <n v="114649"/>
  </r>
  <r>
    <s v="2018AUG"/>
    <s v="JAPAN"/>
    <n v="2018"/>
    <s v="Aug"/>
    <n v="2"/>
    <n v="12"/>
    <n v="13641.599999999999"/>
    <n v="13322"/>
    <n v="14720"/>
    <n v="14410"/>
    <n v="28361.599999999999"/>
    <n v="27732"/>
    <n v="1000"/>
    <n v="7491"/>
    <n v="650"/>
    <n v="566"/>
    <n v="36232"/>
    <n v="129700"/>
    <n v="1100"/>
    <n v="0"/>
    <n v="12000"/>
    <n v="16866"/>
    <n v="6000"/>
    <n v="0"/>
    <n v="33500"/>
    <n v="0"/>
    <n v="118843.6"/>
    <n v="182355"/>
    <n v="106843.6"/>
    <n v="165489"/>
    <n v="12"/>
    <n v="30"/>
    <n v="312"/>
    <n v="383"/>
    <n v="40"/>
    <n v="120"/>
    <n v="952"/>
    <n v="1347"/>
    <n v="28361.599999999999"/>
    <n v="27732"/>
    <n v="0"/>
    <n v="114649"/>
    <n v="182355"/>
    <n v="210337"/>
    <n v="86667"/>
  </r>
  <r>
    <s v="2018SEP"/>
    <s v="JAPAN"/>
    <n v="2018"/>
    <s v="Oct"/>
    <n v="2"/>
    <n v="14"/>
    <n v="14059.199999999999"/>
    <n v="13948"/>
    <n v="15360"/>
    <n v="15210"/>
    <n v="29419.199999999997"/>
    <n v="29158"/>
    <n v="1000"/>
    <n v="21650"/>
    <n v="650"/>
    <n v="9"/>
    <n v="36232"/>
    <n v="108397"/>
    <n v="1100"/>
    <n v="0"/>
    <n v="12000"/>
    <n v="4569"/>
    <n v="6000"/>
    <n v="0"/>
    <n v="33500"/>
    <n v="0"/>
    <n v="119901.2"/>
    <n v="163783"/>
    <n v="107901.2"/>
    <n v="159214"/>
    <n v="12"/>
    <n v="21"/>
    <n v="312"/>
    <n v="401"/>
    <n v="40"/>
    <n v="63"/>
    <n v="952"/>
    <n v="1418"/>
    <n v="29419.199999999997"/>
    <n v="29158"/>
    <n v="0"/>
    <n v="86667"/>
    <n v="163783"/>
    <n v="222818"/>
    <n v="27632"/>
  </r>
  <r>
    <s v="2018OCT"/>
    <s v="JAPAN"/>
    <n v="2018"/>
    <s v="Oct"/>
    <n v="1"/>
    <n v="13"/>
    <n v="14476.8"/>
    <n v="14713"/>
    <n v="16000"/>
    <n v="15879"/>
    <n v="30476.799999999999"/>
    <n v="30592"/>
    <n v="1000"/>
    <n v="7011"/>
    <n v="650"/>
    <n v="749"/>
    <n v="36232"/>
    <n v="173269"/>
    <n v="1100"/>
    <n v="0"/>
    <n v="12500"/>
    <n v="14195"/>
    <n v="12000"/>
    <n v="1220"/>
    <n v="33500"/>
    <n v="100000"/>
    <n v="127458.8"/>
    <n v="327036"/>
    <n v="114958.8"/>
    <n v="312841"/>
    <n v="12"/>
    <n v="27"/>
    <n v="312"/>
    <n v="423"/>
    <n v="40"/>
    <n v="69"/>
    <n v="952"/>
    <n v="1493"/>
    <n v="30476.799999999999"/>
    <n v="30592"/>
    <n v="0"/>
    <n v="27632"/>
    <n v="227036"/>
    <n v="337690"/>
    <n v="16978"/>
  </r>
  <r>
    <s v="2018NOV"/>
    <s v="JAPAN"/>
    <n v="2018"/>
    <s v="Nov"/>
    <n v="1"/>
    <n v="10"/>
    <n v="14894.4"/>
    <n v="15235"/>
    <n v="16640"/>
    <n v="16575"/>
    <n v="31534.400000000001"/>
    <n v="31810"/>
    <n v="1000"/>
    <n v="9478"/>
    <n v="650"/>
    <n v="452"/>
    <n v="36232"/>
    <n v="0"/>
    <n v="1100"/>
    <n v="0"/>
    <n v="12500"/>
    <n v="15832"/>
    <n v="16000"/>
    <n v="321"/>
    <n v="33500"/>
    <n v="0"/>
    <n v="132516.4"/>
    <n v="57893"/>
    <n v="120016.4"/>
    <n v="42061"/>
    <n v="12"/>
    <n v="37"/>
    <n v="312"/>
    <n v="438"/>
    <n v="40"/>
    <n v="66"/>
    <n v="952"/>
    <n v="1561"/>
    <n v="31534.400000000001"/>
    <n v="31810"/>
    <n v="0"/>
    <n v="16978"/>
    <n v="57893"/>
    <n v="72452"/>
    <n v="2419"/>
  </r>
  <r>
    <s v="2018DEC"/>
    <s v="JAPAN"/>
    <n v="2018"/>
    <s v="Dec"/>
    <n v="1"/>
    <n v="10"/>
    <n v="15312"/>
    <n v="15791"/>
    <n v="17280"/>
    <n v="17983"/>
    <n v="32592"/>
    <n v="33774"/>
    <n v="1000"/>
    <n v="13045"/>
    <n v="5100"/>
    <n v="786"/>
    <n v="36232"/>
    <n v="0"/>
    <n v="1100"/>
    <n v="0"/>
    <n v="12500"/>
    <n v="26909"/>
    <n v="20000"/>
    <n v="451"/>
    <n v="31500"/>
    <n v="0"/>
    <n v="140024"/>
    <n v="74965"/>
    <n v="127524"/>
    <n v="48056"/>
    <n v="12"/>
    <n v="31"/>
    <n v="312"/>
    <n v="454"/>
    <n v="40"/>
    <n v="121"/>
    <n v="952"/>
    <n v="1685"/>
    <n v="32592"/>
    <n v="33774"/>
    <n v="0"/>
    <n v="2419"/>
    <n v="74965"/>
    <n v="74452"/>
    <n v="2932"/>
  </r>
  <r>
    <s v="2019JAN"/>
    <s v="JAPAN"/>
    <n v="2018"/>
    <s v="Jan"/>
    <n v="1"/>
    <n v="10"/>
    <n v="17017"/>
    <n v="16000"/>
    <n v="18923"/>
    <n v="18388"/>
    <n v="35940"/>
    <n v="34388"/>
    <n v="2900"/>
    <n v="7883"/>
    <n v="0"/>
    <n v="757"/>
    <n v="36232"/>
    <n v="0"/>
    <n v="0"/>
    <n v="11478"/>
    <n v="12500"/>
    <n v="10209"/>
    <n v="2000"/>
    <n v="451"/>
    <n v="40000"/>
    <n v="0"/>
    <n v="129572"/>
    <n v="65166"/>
    <n v="117072"/>
    <n v="54957"/>
    <n v="20"/>
    <n v="14"/>
    <n v="489"/>
    <n v="460"/>
    <n v="83"/>
    <n v="47"/>
    <n v="1759"/>
    <n v="1721"/>
    <n v="35940"/>
    <n v="34388"/>
    <n v="0"/>
    <n v="0"/>
    <n v="65166"/>
    <n v="135747"/>
    <n v="-70581"/>
  </r>
  <r>
    <s v="2019FEB"/>
    <s v="JAPAN"/>
    <n v="2018"/>
    <s v="Feb"/>
    <n v="2"/>
    <n v="10"/>
    <n v="17468"/>
    <n v="16243"/>
    <n v="19894"/>
    <n v="18470"/>
    <n v="37362"/>
    <n v="34713"/>
    <n v="2900"/>
    <n v="3585"/>
    <n v="0"/>
    <n v="452"/>
    <n v="36232"/>
    <n v="0"/>
    <n v="0"/>
    <n v="3739"/>
    <n v="12500"/>
    <n v="32709"/>
    <n v="2000"/>
    <n v="0"/>
    <n v="40000"/>
    <n v="120000"/>
    <n v="130994"/>
    <n v="195198"/>
    <n v="118494"/>
    <n v="162489"/>
    <n v="20"/>
    <n v="8"/>
    <n v="482"/>
    <n v="467"/>
    <n v="83"/>
    <n v="29"/>
    <n v="1734"/>
    <n v="1739"/>
    <n v="37362"/>
    <n v="34713"/>
    <n v="0"/>
    <n v="-70581"/>
    <n v="75198"/>
    <n v="133773"/>
    <n v="-9156"/>
  </r>
  <r>
    <s v="2019MAR"/>
    <s v="JAPAN"/>
    <n v="2018"/>
    <s v="March"/>
    <n v="2"/>
    <n v="11"/>
    <n v="17923"/>
    <n v="16800"/>
    <n v="20870"/>
    <n v="19366"/>
    <n v="38793"/>
    <n v="36166"/>
    <n v="2900"/>
    <n v="4282"/>
    <n v="0"/>
    <n v="3335"/>
    <n v="36232"/>
    <n v="0"/>
    <n v="0"/>
    <n v="0"/>
    <n v="12500"/>
    <n v="5955"/>
    <n v="2000"/>
    <n v="0"/>
    <n v="40000"/>
    <n v="0"/>
    <n v="132425"/>
    <n v="49738"/>
    <n v="119925"/>
    <n v="43783"/>
    <n v="20"/>
    <n v="18"/>
    <n v="475"/>
    <n v="483"/>
    <n v="83"/>
    <n v="97"/>
    <n v="1710"/>
    <n v="1822"/>
    <n v="38793"/>
    <n v="36166"/>
    <n v="0"/>
    <n v="-9156"/>
    <n v="49738"/>
    <n v="133773"/>
    <n v="-93191"/>
  </r>
  <r>
    <s v="2019APR"/>
    <s v="JAPAN"/>
    <n v="2019"/>
    <s v="April"/>
    <n v="2"/>
    <n v="11"/>
    <n v="18382"/>
    <n v="17357"/>
    <n v="21849"/>
    <n v="20257"/>
    <n v="40231"/>
    <n v="37614"/>
    <n v="2900"/>
    <n v="4287"/>
    <n v="0"/>
    <n v="696"/>
    <n v="36232"/>
    <n v="170351"/>
    <n v="0"/>
    <n v="0"/>
    <n v="13000"/>
    <n v="14106"/>
    <n v="2000"/>
    <n v="0"/>
    <n v="40000"/>
    <n v="120000"/>
    <n v="134363"/>
    <n v="347054"/>
    <n v="121363"/>
    <n v="332948"/>
    <n v="20"/>
    <n v="27"/>
    <n v="468"/>
    <n v="499"/>
    <n v="83"/>
    <n v="65"/>
    <n v="1685"/>
    <n v="1894"/>
    <n v="40231"/>
    <n v="37614"/>
    <n v="0"/>
    <n v="-93191"/>
    <n v="227054"/>
    <n v="133773"/>
    <n v="90"/>
  </r>
  <r>
    <s v="2019MAY"/>
    <s v="JAPAN"/>
    <n v="2019"/>
    <s v="May"/>
    <n v="2"/>
    <n v="11"/>
    <n v="18844"/>
    <n v="18122"/>
    <n v="22832"/>
    <n v="20701"/>
    <n v="41676"/>
    <n v="38823"/>
    <n v="2900"/>
    <n v="2982"/>
    <n v="0"/>
    <n v="2865"/>
    <n v="36232"/>
    <n v="0"/>
    <n v="0"/>
    <n v="0"/>
    <n v="13000"/>
    <n v="20773"/>
    <n v="2000"/>
    <n v="0"/>
    <n v="40000"/>
    <n v="0"/>
    <n v="135808"/>
    <n v="65443"/>
    <n v="122808"/>
    <n v="44670"/>
    <n v="20"/>
    <n v="29"/>
    <n v="461"/>
    <n v="521"/>
    <n v="83"/>
    <n v="59"/>
    <n v="1661"/>
    <n v="1958"/>
    <n v="41677"/>
    <n v="38823"/>
    <n v="0"/>
    <n v="90"/>
    <n v="65443"/>
    <n v="100000"/>
    <n v="-34467"/>
  </r>
  <r>
    <s v="2019JUN"/>
    <s v="JAPAN"/>
    <n v="2019"/>
    <s v="June"/>
    <n v="2"/>
    <n v="11"/>
    <n v="19309"/>
    <n v="18296"/>
    <n v="23819"/>
    <n v="21018"/>
    <n v="43128"/>
    <n v="39314"/>
    <n v="2900"/>
    <n v="5143"/>
    <n v="0"/>
    <n v="1247"/>
    <n v="36232"/>
    <n v="394782"/>
    <n v="0"/>
    <n v="0"/>
    <n v="13000"/>
    <n v="5104"/>
    <n v="2000"/>
    <n v="0"/>
    <n v="40000"/>
    <n v="0"/>
    <n v="137260"/>
    <n v="445590"/>
    <n v="124260"/>
    <n v="440486"/>
    <n v="20"/>
    <n v="14"/>
    <n v="455"/>
    <n v="526"/>
    <n v="83"/>
    <n v="40"/>
    <n v="1639"/>
    <n v="1990"/>
    <n v="43128"/>
    <n v="39314"/>
    <n v="0"/>
    <n v="-34467"/>
    <n v="445590"/>
    <n v="400000"/>
    <n v="111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0022C6-0C28-2D4F-B300-9C1206BDA181}" name="PivotTabl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45">
    <pivotField showAll="0"/>
    <pivotField showAll="0"/>
    <pivotField numFmtId="1"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53B656-5517-D443-8736-CC8B39717E21}" name="Data" displayName="Data" ref="A1:AS31" totalsRowShown="0" headerRowDxfId="0" headerRowCellStyle="Normal 2" dataCellStyle="Normal 2">
  <autoFilter ref="A1:AS31" xr:uid="{2A5F0E90-813D-8F46-AB9D-A9E94AA8072F}"/>
  <tableColumns count="45">
    <tableColumn id="1" xr3:uid="{8CBD9661-A57E-B744-8208-B8E21A4D0410}" name="Report name" dataDxfId="9" dataCellStyle="Normal 2"/>
    <tableColumn id="2" xr3:uid="{23914DE1-E6C0-C94D-ABA6-40A8AE49BB30}" name="Country" dataCellStyle="Normal 2">
      <calculatedColumnFormula>IFERROR(INDIRECT($A2&amp;"!L3"),"")</calculatedColumnFormula>
    </tableColumn>
    <tableColumn id="3" xr3:uid="{879ACDE7-8966-CD4A-900B-E220C8FB3B34}" name="Year" dataDxfId="8" dataCellStyle="Normal 2">
      <calculatedColumnFormula>IFERROR(INDIRECT($A2&amp;"!H1"),"")</calculatedColumnFormula>
    </tableColumn>
    <tableColumn id="4" xr3:uid="{A2E82BC5-3BD7-2747-B00C-04689FEB69C1}" name="Month" dataCellStyle="Normal 2">
      <calculatedColumnFormula>IFERROR(INDIRECT($A2&amp;"!G1"),"")</calculatedColumnFormula>
    </tableColumn>
    <tableColumn id="5" xr3:uid="{164669E9-8531-594D-B3FC-AE4F18D35653}" name="Regular_EMP" dataDxfId="7" dataCellStyle="Normal 2">
      <calculatedColumnFormula>IFERROR(INDIRECT($A2&amp;"!D10"),"")</calculatedColumnFormula>
    </tableColumn>
    <tableColumn id="6" xr3:uid="{CB54F4D0-5E0F-7548-9B2B-A4BCDCAFE9BB}" name="Total_Person" dataDxfId="6" dataCellStyle="Normal 2">
      <calculatedColumnFormula>IFERROR(INDIRECT($A2&amp;"!D16"),"")</calculatedColumnFormula>
    </tableColumn>
    <tableColumn id="7" xr3:uid="{C4A7A492-FAF8-B04B-A0C7-F65C94F130A5}" name="CS_Goal" dataCellStyle="Normal 2">
      <calculatedColumnFormula>IFERROR(INDIRECT($A2&amp;"!D24"),"")</calculatedColumnFormula>
    </tableColumn>
    <tableColumn id="8" xr3:uid="{F675948F-7FDA-174F-BA25-E2F40D71C2B1}" name="CS_Actual" dataCellStyle="Normal 2">
      <calculatedColumnFormula>IFERROR(INDIRECT($A2&amp;"!E24"),"")</calculatedColumnFormula>
    </tableColumn>
    <tableColumn id="9" xr3:uid="{0F7EED34-219F-214E-AC7D-2ADCD68D1AF5}" name="PS_Goal" dataCellStyle="Normal 2">
      <calculatedColumnFormula>IFERROR(INDIRECT($A2&amp;"!D27"),"")</calculatedColumnFormula>
    </tableColumn>
    <tableColumn id="10" xr3:uid="{90541D75-1FC2-6D4A-A61E-09A7F9C17633}" name="PS_Actual" dataCellStyle="Normal 2">
      <calculatedColumnFormula>IFERROR(INDIRECT($A2&amp;"!E27"),"")</calculatedColumnFormula>
    </tableColumn>
    <tableColumn id="11" xr3:uid="{D30C58E0-1785-7E43-B6B4-FA2BAEA21C2A}" name="Sponsor_Goal" dataCellStyle="Normal 2">
      <calculatedColumnFormula>IFERROR(INDIRECT($A2&amp;"!D28"),"")</calculatedColumnFormula>
    </tableColumn>
    <tableColumn id="12" xr3:uid="{D892D810-7E62-DC4A-9F8B-F4E1078CE84D}" name="Sponsor_Actual" dataCellStyle="Normal 2">
      <calculatedColumnFormula>IFERROR(INDIRECT($A2&amp;"!E28"),"")</calculatedColumnFormula>
    </tableColumn>
    <tableColumn id="13" xr3:uid="{174B5D28-32B5-8A44-82CC-C860E3AFF1BC}" name="Designated_Goal" dataCellStyle="Normal 2">
      <calculatedColumnFormula>IFERROR(INDIRECT($A2&amp;"!D32"),"")</calculatedColumnFormula>
    </tableColumn>
    <tableColumn id="14" xr3:uid="{49AB3347-AB9A-0D42-84EA-02127B4BB326}" name="Designated_Actual" dataCellStyle="Normal 2">
      <calculatedColumnFormula>IFERROR(INDIRECT($A2&amp;"!E32"),"")</calculatedColumnFormula>
    </tableColumn>
    <tableColumn id="15" xr3:uid="{132ACAE5-E9D1-6D45-A8D0-4D2E8DB3D6EA}" name="Nondesignated_Goal" dataCellStyle="Normal 2">
      <calculatedColumnFormula>IFERROR(INDIRECT($A2&amp;"!D33"),"")</calculatedColumnFormula>
    </tableColumn>
    <tableColumn id="16" xr3:uid="{C4D5FB93-6183-3342-A17F-98C46A6250F7}" name="Nondesignated_Actual" dataCellStyle="Normal 2">
      <calculatedColumnFormula>IFERROR(INDIRECT($A2&amp;"!E33"),"")</calculatedColumnFormula>
    </tableColumn>
    <tableColumn id="17" xr3:uid="{118267E4-4DAE-9649-98B5-C37C802E1D5E}" name="GG_Goal" dataCellStyle="Normal 2">
      <calculatedColumnFormula>IFERROR(INDIRECT($A2&amp;"!D37"),"")</calculatedColumnFormula>
    </tableColumn>
    <tableColumn id="18" xr3:uid="{39F5A8B0-09D9-4E4D-90C9-68049C15D6DF}" name="GG_Actual" dataCellStyle="Normal 2">
      <calculatedColumnFormula>IFERROR(INDIRECT($A2&amp;"!E37"),"")</calculatedColumnFormula>
    </tableColumn>
    <tableColumn id="19" xr3:uid="{3F65562C-DA33-0643-856C-80C441631E0C}" name="FG_Goal" dataCellStyle="Normal 2">
      <calculatedColumnFormula>IFERROR(INDIRECT($A2&amp;"!D40"),"")</calculatedColumnFormula>
    </tableColumn>
    <tableColumn id="20" xr3:uid="{580A9BAD-231B-014F-85B0-A1C9C9881626}" name="FG_Actual" dataCellStyle="Normal 2">
      <calculatedColumnFormula>IFERROR(INDIRECT($A2&amp;"!E40"),"")</calculatedColumnFormula>
    </tableColumn>
    <tableColumn id="21" xr3:uid="{7FF5519B-B046-2A47-861C-A72E87F04E48}" name="GIK_Goal" dataCellStyle="Normal 2">
      <calculatedColumnFormula>IFERROR(INDIRECT($A2&amp;"!D42"),"")</calculatedColumnFormula>
    </tableColumn>
    <tableColumn id="22" xr3:uid="{7548114B-6FE2-454A-8450-CF144E5E83BC}" name="GIK_Actual" dataCellStyle="Normal 2">
      <calculatedColumnFormula>IFERROR(INDIRECT($A2&amp;"!E42"),"")</calculatedColumnFormula>
    </tableColumn>
    <tableColumn id="23" xr3:uid="{2FD741B6-59BF-8948-899D-1351D49B65E6}" name="Others_Goal" dataCellStyle="Normal 2">
      <calculatedColumnFormula>IFERROR(INDIRECT($A2&amp;"!D43"),"")</calculatedColumnFormula>
    </tableColumn>
    <tableColumn id="24" xr3:uid="{1A621B18-816E-9E47-B8C8-8935B596BC8B}" name="Others_Actual" dataCellStyle="Normal 2">
      <calculatedColumnFormula>IFERROR(INDIRECT($A2&amp;"!E43"),"")</calculatedColumnFormula>
    </tableColumn>
    <tableColumn id="25" xr3:uid="{2AEB2796-348B-8646-9A66-DA88B9A10359}" name="GNI_Goal" dataCellStyle="Normal 2">
      <calculatedColumnFormula>IFERROR(INDIRECT($A2&amp;"!D44"),"")</calculatedColumnFormula>
    </tableColumn>
    <tableColumn id="26" xr3:uid="{D5C3C72C-6F79-394E-B942-D7178D9CCB77}" name="GNI_Actual" dataCellStyle="Normal 2">
      <calculatedColumnFormula>IFERROR(INDIRECT($A2&amp;"!E44"),"")</calculatedColumnFormula>
    </tableColumn>
    <tableColumn id="27" xr3:uid="{AD13E456-78DF-1242-B03D-3470C30744A8}" name="Total_Goal" dataCellStyle="Normal 2">
      <calculatedColumnFormula>IFERROR(INDIRECT($A2&amp;"!D45"),"")</calculatedColumnFormula>
    </tableColumn>
    <tableColumn id="28" xr3:uid="{A11CEB6D-316A-1547-8FC4-23CB19A89714}" name="Total_Actual" dataCellStyle="Normal 2">
      <calculatedColumnFormula>IFERROR(INDIRECT($A2&amp;"!E45"),"")</calculatedColumnFormula>
    </tableColumn>
    <tableColumn id="29" xr3:uid="{F14E1F28-1282-EE40-9BCD-CAB97CFF792B}" name="Total_EXGIK_Goal" dataCellStyle="Normal 2">
      <calculatedColumnFormula>IFERROR(INDIRECT($A2&amp;"!D46"),"")</calculatedColumnFormula>
    </tableColumn>
    <tableColumn id="30" xr3:uid="{C634EA7E-47CF-9F45-84E1-1D23F7A606BB}" name="Total_EXGIK_Actual" dataCellStyle="Normal 2">
      <calculatedColumnFormula>IFERROR(INDIRECT($A2&amp;"!E46"),"")</calculatedColumnFormula>
    </tableColumn>
    <tableColumn id="31" xr3:uid="{A2D408A8-A2A8-8A46-BBCE-DD4F55097AD0}" name="New_CS_No_Goal" dataCellStyle="Normal 2">
      <calculatedColumnFormula>IFERROR(INDIRECT($A2&amp;"!D53"),"")</calculatedColumnFormula>
    </tableColumn>
    <tableColumn id="32" xr3:uid="{FDF58326-5F5E-A242-B4A7-915B11FA1B24}" name="New_CS_No_Actual" dataCellStyle="Normal 2">
      <calculatedColumnFormula>IFERROR(INDIRECT($A2&amp;"!E53"),"")</calculatedColumnFormula>
    </tableColumn>
    <tableColumn id="33" xr3:uid="{F19C5D79-6E2D-4D41-9C9A-793A061F7C74}" name="Total_CS_No_Goal" dataCellStyle="Normal 2">
      <calculatedColumnFormula>IFERROR(INDIRECT($A2&amp;"!D55"),"")</calculatedColumnFormula>
    </tableColumn>
    <tableColumn id="34" xr3:uid="{A2D152F4-3F22-6240-85AA-6A1F157F0CD4}" name="Total_CS_No_Actual" dataCellStyle="Normal 2">
      <calculatedColumnFormula>IFERROR(INDIRECT($A2&amp;"!E55"),"")</calculatedColumnFormula>
    </tableColumn>
    <tableColumn id="35" xr3:uid="{11785AB4-9C09-FA43-A0B0-33157C0527ED}" name="New_PS_No_Goal" dataCellStyle="Normal 2">
      <calculatedColumnFormula>IFERROR(INDIRECT($A2&amp;"!D56"),"")</calculatedColumnFormula>
    </tableColumn>
    <tableColumn id="36" xr3:uid="{85EF16FA-D7DE-6948-B544-B758A65393AE}" name="New_PS_No_Actual" dataCellStyle="Normal 2">
      <calculatedColumnFormula>IFERROR(INDIRECT($A2&amp;"!E56"),"")</calculatedColumnFormula>
    </tableColumn>
    <tableColumn id="37" xr3:uid="{C77AF400-4159-854F-B597-AFAADEB5A0AB}" name="Total_PS_No_Goal" dataCellStyle="Normal 2">
      <calculatedColumnFormula>IFERROR(INDIRECT($A2&amp;"!D61"),"")</calculatedColumnFormula>
    </tableColumn>
    <tableColumn id="38" xr3:uid="{871C5B4E-F6BC-B846-BB56-0BB6685F247A}" name="Total_PS_No_Actual" dataCellStyle="Normal 2">
      <calculatedColumnFormula>IFERROR(INDIRECT($A2&amp;"!E61"),"")</calculatedColumnFormula>
    </tableColumn>
    <tableColumn id="39" xr3:uid="{F625F213-B189-A14B-819C-49A873C66092}" name="Total_Sponsor_Goal" dataCellStyle="Normal 2">
      <calculatedColumnFormula>IFERROR(INDIRECT($A2&amp;"!D79"),"")</calculatedColumnFormula>
    </tableColumn>
    <tableColumn id="40" xr3:uid="{D2DFA8C5-4D80-3942-A7D5-07BC5FEC1C2F}" name="Total_Sponsor_Actual" dataCellStyle="Normal 2">
      <calculatedColumnFormula>IFERROR(INDIRECT($A2&amp;"!E79"),"")</calculatedColumnFormula>
    </tableColumn>
    <tableColumn id="41" xr3:uid="{3DD5B029-1C19-864C-B83F-F289D6947C38}" name="GNI_Grant" dataDxfId="5" dataCellStyle="Normal 2">
      <calculatedColumnFormula>INDEX( INDIRECT($A2&amp;"!A:A"), MATCH("GNI Grant",INDIRECT($A2&amp;"!A:A"))+1)</calculatedColumnFormula>
    </tableColumn>
    <tableColumn id="42" xr3:uid="{0110F373-B7F7-2548-99D3-028AB770DDE6}" name="Carry_Over" dataDxfId="4" dataCellStyle="Normal 2">
      <calculatedColumnFormula>IFERROR(INDIRECT($A2&amp;"!B155"),"")</calculatedColumnFormula>
    </tableColumn>
    <tableColumn id="43" xr3:uid="{5B719251-C31B-F347-8DC0-6E2A6E4493BB}" name="Raised_Fund" dataDxfId="3" dataCellStyle="Normal 2">
      <calculatedColumnFormula>IFERROR(INDIRECT($A2&amp;"!C155"),"")</calculatedColumnFormula>
    </tableColumn>
    <tableColumn id="44" xr3:uid="{BC472570-65F0-E244-AA82-86A32014B97D}" name="Expenditure" dataDxfId="2" dataCellStyle="Normal 2">
      <calculatedColumnFormula>INDEX( INDIRECT($A2&amp;"!D:D"), MATCH("Expenditure",INDIRECT($A2&amp;"!D:D"))+1)</calculatedColumnFormula>
    </tableColumn>
    <tableColumn id="45" xr3:uid="{58794997-0DE0-2C4A-A869-F767537AAE8E}" name="Balance" dataDxfId="1" dataCellStyle="Normal 2">
      <calculatedColumnFormula>INDEX( INDIRECT($A2&amp;"!H:H"), MATCH("Balance",INDIRECT($A2&amp;"!H:H"))+1)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A54EE-7A1A-4E4D-8312-4B1C58C444B6}">
  <dimension ref="A3:C20"/>
  <sheetViews>
    <sheetView tabSelected="1" workbookViewId="0">
      <selection activeCell="A3" sqref="A3"/>
    </sheetView>
  </sheetViews>
  <sheetFormatPr baseColWidth="10" defaultRowHeight="15"/>
  <sheetData>
    <row r="3" spans="1:3">
      <c r="A3" s="817"/>
      <c r="B3" s="818"/>
      <c r="C3" s="819"/>
    </row>
    <row r="4" spans="1:3">
      <c r="A4" s="820"/>
      <c r="B4" s="821"/>
      <c r="C4" s="822"/>
    </row>
    <row r="5" spans="1:3">
      <c r="A5" s="820"/>
      <c r="B5" s="821"/>
      <c r="C5" s="822"/>
    </row>
    <row r="6" spans="1:3">
      <c r="A6" s="820"/>
      <c r="B6" s="821"/>
      <c r="C6" s="822"/>
    </row>
    <row r="7" spans="1:3">
      <c r="A7" s="820"/>
      <c r="B7" s="821"/>
      <c r="C7" s="822"/>
    </row>
    <row r="8" spans="1:3">
      <c r="A8" s="820"/>
      <c r="B8" s="821"/>
      <c r="C8" s="822"/>
    </row>
    <row r="9" spans="1:3">
      <c r="A9" s="820"/>
      <c r="B9" s="821"/>
      <c r="C9" s="822"/>
    </row>
    <row r="10" spans="1:3">
      <c r="A10" s="820"/>
      <c r="B10" s="821"/>
      <c r="C10" s="822"/>
    </row>
    <row r="11" spans="1:3">
      <c r="A11" s="820"/>
      <c r="B11" s="821"/>
      <c r="C11" s="822"/>
    </row>
    <row r="12" spans="1:3">
      <c r="A12" s="820"/>
      <c r="B12" s="821"/>
      <c r="C12" s="822"/>
    </row>
    <row r="13" spans="1:3">
      <c r="A13" s="820"/>
      <c r="B13" s="821"/>
      <c r="C13" s="822"/>
    </row>
    <row r="14" spans="1:3">
      <c r="A14" s="820"/>
      <c r="B14" s="821"/>
      <c r="C14" s="822"/>
    </row>
    <row r="15" spans="1:3">
      <c r="A15" s="820"/>
      <c r="B15" s="821"/>
      <c r="C15" s="822"/>
    </row>
    <row r="16" spans="1:3">
      <c r="A16" s="820"/>
      <c r="B16" s="821"/>
      <c r="C16" s="822"/>
    </row>
    <row r="17" spans="1:3">
      <c r="A17" s="820"/>
      <c r="B17" s="821"/>
      <c r="C17" s="822"/>
    </row>
    <row r="18" spans="1:3">
      <c r="A18" s="820"/>
      <c r="B18" s="821"/>
      <c r="C18" s="822"/>
    </row>
    <row r="19" spans="1:3">
      <c r="A19" s="820"/>
      <c r="B19" s="821"/>
      <c r="C19" s="822"/>
    </row>
    <row r="20" spans="1:3">
      <c r="A20" s="823"/>
      <c r="B20" s="824"/>
      <c r="C20" s="8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F308-A7FA-9E44-A5CF-0B41F1EEC7CC}">
  <sheetPr codeName="Sheet1"/>
  <dimension ref="A1:AS37"/>
  <sheetViews>
    <sheetView workbookViewId="0">
      <pane xSplit="1" topLeftCell="AI1" activePane="topRight" state="frozen"/>
      <selection pane="topRight" sqref="A1:AS31"/>
    </sheetView>
  </sheetViews>
  <sheetFormatPr baseColWidth="10" defaultRowHeight="16"/>
  <cols>
    <col min="1" max="1" width="20.1640625" style="514" customWidth="1"/>
    <col min="2" max="2" width="18.83203125" style="514" customWidth="1"/>
    <col min="3" max="3" width="10.83203125" style="519"/>
    <col min="4" max="4" width="10.83203125" style="514" customWidth="1"/>
    <col min="5" max="5" width="14.5" style="519" customWidth="1"/>
    <col min="6" max="6" width="14.1640625" style="519" customWidth="1"/>
    <col min="7" max="7" width="10.83203125" style="514"/>
    <col min="8" max="8" width="11.6640625" style="514" customWidth="1"/>
    <col min="9" max="9" width="10.83203125" style="514"/>
    <col min="10" max="10" width="11.6640625" style="514" customWidth="1"/>
    <col min="11" max="11" width="14.83203125" style="514" customWidth="1"/>
    <col min="12" max="12" width="16.1640625" style="514" customWidth="1"/>
    <col min="13" max="13" width="17.6640625" style="514" customWidth="1"/>
    <col min="14" max="14" width="19" style="514" customWidth="1"/>
    <col min="15" max="15" width="20.6640625" style="514" customWidth="1"/>
    <col min="16" max="16" width="22" style="514" customWidth="1"/>
    <col min="17" max="22" width="17.83203125" style="514" customWidth="1"/>
    <col min="23" max="23" width="15.33203125" style="514" customWidth="1"/>
    <col min="24" max="24" width="16.83203125" style="514" customWidth="1"/>
    <col min="25" max="26" width="18.1640625" style="514" customWidth="1"/>
    <col min="27" max="27" width="19.33203125" style="514" customWidth="1"/>
    <col min="28" max="28" width="18.5" style="514" customWidth="1"/>
    <col min="29" max="29" width="20.5" style="514" customWidth="1"/>
    <col min="30" max="30" width="21" style="514" customWidth="1"/>
    <col min="31" max="31" width="18.5" style="514" customWidth="1"/>
    <col min="32" max="32" width="19.83203125" style="514" customWidth="1"/>
    <col min="33" max="33" width="18.83203125" style="514" customWidth="1"/>
    <col min="34" max="34" width="20.1640625" style="514" customWidth="1"/>
    <col min="35" max="35" width="18.5" style="514" customWidth="1"/>
    <col min="36" max="36" width="19.83203125" style="514" customWidth="1"/>
    <col min="37" max="37" width="18.83203125" style="514" customWidth="1"/>
    <col min="38" max="38" width="20.1640625" style="514" customWidth="1"/>
    <col min="39" max="39" width="20" style="514" customWidth="1"/>
    <col min="40" max="40" width="21.33203125" style="514" customWidth="1"/>
    <col min="41" max="41" width="17.33203125" style="514" customWidth="1"/>
    <col min="42" max="42" width="15.5" style="514" customWidth="1"/>
    <col min="43" max="44" width="16.83203125" style="514" customWidth="1"/>
    <col min="45" max="45" width="15.33203125" style="514" customWidth="1"/>
    <col min="46" max="16384" width="10.83203125" style="514"/>
  </cols>
  <sheetData>
    <row r="1" spans="1:45">
      <c r="A1" s="516" t="s">
        <v>407</v>
      </c>
      <c r="B1" s="514" t="s">
        <v>368</v>
      </c>
      <c r="C1" s="519" t="s">
        <v>369</v>
      </c>
      <c r="D1" s="514" t="s">
        <v>370</v>
      </c>
      <c r="E1" s="519" t="s">
        <v>371</v>
      </c>
      <c r="F1" s="519" t="s">
        <v>372</v>
      </c>
      <c r="G1" s="514" t="s">
        <v>373</v>
      </c>
      <c r="H1" s="522" t="s">
        <v>374</v>
      </c>
      <c r="I1" s="514" t="s">
        <v>375</v>
      </c>
      <c r="J1" s="522" t="s">
        <v>376</v>
      </c>
      <c r="K1" s="521" t="s">
        <v>377</v>
      </c>
      <c r="L1" s="522" t="s">
        <v>378</v>
      </c>
      <c r="M1" s="514" t="s">
        <v>379</v>
      </c>
      <c r="N1" s="522" t="s">
        <v>380</v>
      </c>
      <c r="O1" s="514" t="s">
        <v>381</v>
      </c>
      <c r="P1" s="522" t="s">
        <v>382</v>
      </c>
      <c r="Q1" s="514" t="s">
        <v>383</v>
      </c>
      <c r="R1" s="522" t="s">
        <v>384</v>
      </c>
      <c r="S1" s="514" t="s">
        <v>385</v>
      </c>
      <c r="T1" s="522" t="s">
        <v>386</v>
      </c>
      <c r="U1" s="514" t="s">
        <v>387</v>
      </c>
      <c r="V1" s="522" t="s">
        <v>388</v>
      </c>
      <c r="W1" s="514" t="s">
        <v>389</v>
      </c>
      <c r="X1" s="522" t="s">
        <v>390</v>
      </c>
      <c r="Y1" s="514" t="s">
        <v>391</v>
      </c>
      <c r="Z1" s="522" t="s">
        <v>392</v>
      </c>
      <c r="AA1" s="514" t="s">
        <v>393</v>
      </c>
      <c r="AB1" s="514" t="s">
        <v>394</v>
      </c>
      <c r="AC1" s="514" t="s">
        <v>395</v>
      </c>
      <c r="AD1" s="514" t="s">
        <v>396</v>
      </c>
      <c r="AE1" s="514" t="s">
        <v>397</v>
      </c>
      <c r="AF1" s="514" t="s">
        <v>398</v>
      </c>
      <c r="AG1" s="514" t="s">
        <v>399</v>
      </c>
      <c r="AH1" s="514" t="s">
        <v>400</v>
      </c>
      <c r="AI1" s="515" t="s">
        <v>401</v>
      </c>
      <c r="AJ1" s="515" t="s">
        <v>402</v>
      </c>
      <c r="AK1" s="515" t="s">
        <v>403</v>
      </c>
      <c r="AL1" s="515" t="s">
        <v>404</v>
      </c>
      <c r="AM1" s="515" t="s">
        <v>405</v>
      </c>
      <c r="AN1" s="515" t="s">
        <v>406</v>
      </c>
      <c r="AO1" s="518" t="s">
        <v>436</v>
      </c>
      <c r="AP1" s="518" t="s">
        <v>437</v>
      </c>
      <c r="AQ1" s="518" t="s">
        <v>438</v>
      </c>
      <c r="AR1" s="518" t="s">
        <v>439</v>
      </c>
      <c r="AS1" s="518" t="s">
        <v>440</v>
      </c>
    </row>
    <row r="2" spans="1:45">
      <c r="A2" s="516" t="s">
        <v>408</v>
      </c>
      <c r="B2" s="514" t="str">
        <f ca="1">IFERROR(INDIRECT($A2&amp;"!L3"),"")</f>
        <v>JAPAN</v>
      </c>
      <c r="C2" s="519">
        <f ca="1">IFERROR(INDIRECT($A2&amp;"!H1"),"")</f>
        <v>2017</v>
      </c>
      <c r="D2" s="514" t="str">
        <f ca="1">IFERROR(INDIRECT($A2&amp;"!G1"),"")</f>
        <v>Jan</v>
      </c>
      <c r="E2" s="519">
        <f ca="1">IFERROR(INDIRECT($A2&amp;"!D10"),"")</f>
        <v>2</v>
      </c>
      <c r="F2" s="519">
        <f ca="1">IFERROR(INDIRECT($A2&amp;"!D14"),"")</f>
        <v>5</v>
      </c>
      <c r="G2" s="514">
        <f ca="1">IFERROR(INDIRECT($A2&amp;"!D22"),"")</f>
        <v>13890</v>
      </c>
      <c r="H2" s="514">
        <f ca="1">IFERROR(INDIRECT($A2&amp;"!E22"),"")</f>
        <v>11683</v>
      </c>
      <c r="I2" s="514">
        <f ca="1">IFERROR(INDIRECT($A2&amp;"!D25"),"")</f>
        <v>4715</v>
      </c>
      <c r="J2" s="514">
        <f ca="1">IFERROR(INDIRECT($A2&amp;"!e25"),"")</f>
        <v>4222</v>
      </c>
      <c r="K2" s="514">
        <f ca="1">IFERROR(INDIRECT($A2&amp;"!D26"),"")</f>
        <v>18605</v>
      </c>
      <c r="L2" s="514">
        <f ca="1">IFERROR(INDIRECT($A2&amp;"!E26"),"")</f>
        <v>15905</v>
      </c>
      <c r="M2" s="514">
        <f ca="1">IFERROR(INDIRECT($A2&amp;"!D30"),"")</f>
        <v>200</v>
      </c>
      <c r="N2" s="514">
        <f ca="1">IFERROR(INDIRECT($A2&amp;"!E30"),"")</f>
        <v>2472</v>
      </c>
      <c r="O2" s="514">
        <f ca="1">IFERROR(INDIRECT($A2&amp;"!D31"),"")</f>
        <v>1200</v>
      </c>
      <c r="P2" s="514">
        <f ca="1">IFERROR(INDIRECT($A2&amp;"!E31"),"")</f>
        <v>2754</v>
      </c>
      <c r="Q2" s="514">
        <f ca="1">IFERROR(INDIRECT($A2&amp;"!D35"),"")</f>
        <v>35000</v>
      </c>
      <c r="R2" s="514">
        <f ca="1">IFERROR(INDIRECT($A2&amp;"!E35"),"")</f>
        <v>0</v>
      </c>
      <c r="S2" s="514">
        <f ca="1">IFERROR(INDIRECT($A2&amp;"!D38"),"")</f>
        <v>0</v>
      </c>
      <c r="T2" s="514">
        <f ca="1">IFERROR(INDIRECT($A2&amp;"!E38"),"")</f>
        <v>0</v>
      </c>
      <c r="U2" s="514">
        <f ca="1">IFERROR(INDIRECT($A2&amp;"!D40"),"")</f>
        <v>300</v>
      </c>
      <c r="V2" s="514">
        <f ca="1">IFERROR(INDIRECT($A2&amp;"!E40"),"")</f>
        <v>550</v>
      </c>
      <c r="W2" s="514">
        <f ca="1">IFERROR(INDIRECT($A2&amp;"!D41"),"")</f>
        <v>2250</v>
      </c>
      <c r="X2" s="514">
        <f ca="1">IFERROR(INDIRECT($A2&amp;"!E41"),"")</f>
        <v>0</v>
      </c>
      <c r="Y2" s="514">
        <f ca="1">IFERROR(INDIRECT($A2&amp;"!D42"),"")</f>
        <v>17000</v>
      </c>
      <c r="Z2" s="514">
        <f ca="1">IFERROR(INDIRECT($A2&amp;"!E42"),"")</f>
        <v>0</v>
      </c>
      <c r="AA2" s="514">
        <f ca="1">IFERROR(INDIRECT($A2&amp;"!D43"),"")</f>
        <v>74555</v>
      </c>
      <c r="AB2" s="514">
        <f ca="1">IFERROR(INDIRECT($A2&amp;"!E43"),"")</f>
        <v>21681</v>
      </c>
      <c r="AC2" s="514">
        <f ca="1">IFERROR(INDIRECT($A2&amp;"!D44"),"")</f>
        <v>74255</v>
      </c>
      <c r="AD2" s="514">
        <f ca="1">IFERROR(INDIRECT($A2&amp;"!E44"),"")</f>
        <v>21131</v>
      </c>
      <c r="AE2" s="514">
        <f ca="1">IFERROR(INDIRECT($A2&amp;"!D51"),"")</f>
        <v>5</v>
      </c>
      <c r="AF2" s="514">
        <f ca="1">IFERROR(INDIRECT($A2&amp;"!E51"),"")</f>
        <v>2</v>
      </c>
      <c r="AG2" s="514">
        <f ca="1">IFERROR(INDIRECT($A2&amp;"!D53"),"")</f>
        <v>425</v>
      </c>
      <c r="AH2" s="514">
        <f ca="1">IFERROR(INDIRECT($A2&amp;"!E53"),"")</f>
        <v>412</v>
      </c>
      <c r="AI2" s="514">
        <f ca="1">IFERROR(INDIRECT($A2&amp;"!D54"),"")</f>
        <v>2</v>
      </c>
      <c r="AJ2" s="514">
        <f ca="1">IFERROR(INDIRECT($A2&amp;"!E54"),"")</f>
        <v>0</v>
      </c>
      <c r="AK2" s="514">
        <f ca="1">IFERROR(INDIRECT($A2&amp;"!D59"),"")</f>
        <v>740</v>
      </c>
      <c r="AL2" s="514">
        <f ca="1">IFERROR(INDIRECT($A2&amp;"!E59"),"")</f>
        <v>773</v>
      </c>
      <c r="AM2" s="514">
        <f ca="1">IFERROR(INDIRECT($A2&amp;"!D77"),"")</f>
        <v>18605</v>
      </c>
      <c r="AN2" s="514">
        <f ca="1">IFERROR(INDIRECT($A2&amp;"!E77"),"")</f>
        <v>15905</v>
      </c>
      <c r="AO2" s="519">
        <f ca="1">INDEX( INDIRECT($A2&amp;"!A:A"), MATCH("GNI Grant",INDIRECT($A2&amp;"!A:A"))+1)</f>
        <v>0</v>
      </c>
      <c r="AP2" s="519">
        <f ca="1">INDEX( INDIRECT($A2&amp;"!B:B"), MATCH("Carry over from last month ",INDIRECT($A2&amp;"!B:B"))+1)</f>
        <v>0</v>
      </c>
      <c r="AQ2" s="519">
        <f ca="1">INDEX( INDIRECT($A2&amp;"!C:C"), MATCH("Raised Fund",INDIRECT($A2&amp;"!C:C"))+1)</f>
        <v>21681</v>
      </c>
      <c r="AR2" s="519">
        <f ca="1">INDEX( INDIRECT($A2&amp;"!D:D"), MATCH("Expenditure",INDIRECT($A2&amp;"!D:D"))+1)</f>
        <v>37911</v>
      </c>
      <c r="AS2" s="519">
        <f ca="1">INDEX( INDIRECT($A2&amp;"!H:H"), MATCH("Balance",INDIRECT($A2&amp;"!H:H"))+1)</f>
        <v>-16230</v>
      </c>
    </row>
    <row r="3" spans="1:45">
      <c r="A3" s="516" t="s">
        <v>409</v>
      </c>
      <c r="B3" s="514" t="str">
        <f t="shared" ref="B3:B37" ca="1" si="0">IFERROR(INDIRECT($A3&amp;"!L3"),"")</f>
        <v>JAPAN</v>
      </c>
      <c r="C3" s="519">
        <f t="shared" ref="C3:C31" ca="1" si="1">IFERROR(INDIRECT($A3&amp;"!H1"),"")</f>
        <v>2017</v>
      </c>
      <c r="D3" s="514" t="str">
        <f t="shared" ref="D3:D31" ca="1" si="2">IFERROR(INDIRECT($A3&amp;"!G1"),"")</f>
        <v>Feb</v>
      </c>
      <c r="E3" s="519">
        <f t="shared" ref="E3:E31" ca="1" si="3">IFERROR(INDIRECT($A3&amp;"!D10"),"")</f>
        <v>3</v>
      </c>
      <c r="F3" s="519">
        <f t="shared" ref="F3:F13" ca="1" si="4">IFERROR(INDIRECT($A3&amp;"!D14"),"")</f>
        <v>6</v>
      </c>
      <c r="G3" s="514">
        <f t="shared" ref="G3:G13" ca="1" si="5">IFERROR(INDIRECT($A3&amp;"!D22"),"")</f>
        <v>13938</v>
      </c>
      <c r="H3" s="514">
        <f ca="1">IFERROR(INDIRECT($A3&amp;"!E22"),"")</f>
        <v>11557</v>
      </c>
      <c r="I3" s="514">
        <f t="shared" ref="I3:I13" ca="1" si="6">IFERROR(INDIRECT($A3&amp;"!D25"),"")</f>
        <v>4699</v>
      </c>
      <c r="J3" s="514">
        <f t="shared" ref="J3:J13" ca="1" si="7">IFERROR(INDIRECT($A3&amp;"!e25"),"")</f>
        <v>4161</v>
      </c>
      <c r="K3" s="514">
        <f t="shared" ref="K3:K13" ca="1" si="8">IFERROR(INDIRECT($A3&amp;"!D26"),"")</f>
        <v>18637</v>
      </c>
      <c r="L3" s="514">
        <f t="shared" ref="L3:L13" ca="1" si="9">IFERROR(INDIRECT($A3&amp;"!E26"),"")</f>
        <v>15718</v>
      </c>
      <c r="M3" s="514">
        <f t="shared" ref="M3:M13" ca="1" si="10">IFERROR(INDIRECT($A3&amp;"!D30"),"")</f>
        <v>200</v>
      </c>
      <c r="N3" s="514">
        <f t="shared" ref="N3:N13" ca="1" si="11">IFERROR(INDIRECT($A3&amp;"!E30"),"")</f>
        <v>539</v>
      </c>
      <c r="O3" s="514">
        <f t="shared" ref="O3:O13" ca="1" si="12">IFERROR(INDIRECT($A3&amp;"!D31"),"")</f>
        <v>1700</v>
      </c>
      <c r="P3" s="514">
        <f t="shared" ref="P3:P13" ca="1" si="13">IFERROR(INDIRECT($A3&amp;"!E31"),"")</f>
        <v>1177</v>
      </c>
      <c r="Q3" s="514">
        <f t="shared" ref="Q3:Q13" ca="1" si="14">IFERROR(INDIRECT($A3&amp;"!D35"),"")</f>
        <v>35000</v>
      </c>
      <c r="R3" s="514">
        <f t="shared" ref="R3:R13" ca="1" si="15">IFERROR(INDIRECT($A3&amp;"!E35"),"")</f>
        <v>0</v>
      </c>
      <c r="S3" s="514">
        <f t="shared" ref="S3:S13" ca="1" si="16">IFERROR(INDIRECT($A3&amp;"!D38"),"")</f>
        <v>0</v>
      </c>
      <c r="T3" s="514">
        <f t="shared" ref="T3:T13" ca="1" si="17">IFERROR(INDIRECT($A3&amp;"!E38"),"")</f>
        <v>0</v>
      </c>
      <c r="U3" s="514">
        <f t="shared" ref="U3:U13" ca="1" si="18">IFERROR(INDIRECT($A3&amp;"!D40"),"")</f>
        <v>300</v>
      </c>
      <c r="V3" s="514">
        <f t="shared" ref="V3:V13" ca="1" si="19">IFERROR(INDIRECT($A3&amp;"!E40"),"")</f>
        <v>998</v>
      </c>
      <c r="W3" s="514">
        <f t="shared" ref="W3:W13" ca="1" si="20">IFERROR(INDIRECT($A3&amp;"!D41"),"")</f>
        <v>2250</v>
      </c>
      <c r="X3" s="514">
        <f t="shared" ref="X3:X13" ca="1" si="21">IFERROR(INDIRECT($A3&amp;"!E41"),"")</f>
        <v>0</v>
      </c>
      <c r="Y3" s="514">
        <f t="shared" ref="Y3:Y13" ca="1" si="22">IFERROR(INDIRECT($A3&amp;"!D42"),"")</f>
        <v>17000</v>
      </c>
      <c r="Z3" s="514">
        <f t="shared" ref="Z3:Z13" ca="1" si="23">IFERROR(INDIRECT($A3&amp;"!E42"),"")</f>
        <v>51000</v>
      </c>
      <c r="AA3" s="514">
        <f t="shared" ref="AA3:AA13" ca="1" si="24">IFERROR(INDIRECT($A3&amp;"!D43"),"")</f>
        <v>75087</v>
      </c>
      <c r="AB3" s="514">
        <f t="shared" ref="AB3:AB13" ca="1" si="25">IFERROR(INDIRECT($A3&amp;"!E43"),"")</f>
        <v>69432</v>
      </c>
      <c r="AC3" s="514">
        <f t="shared" ref="AC3:AC13" ca="1" si="26">IFERROR(INDIRECT($A3&amp;"!D44"),"")</f>
        <v>74787</v>
      </c>
      <c r="AD3" s="514">
        <f t="shared" ref="AD3:AD13" ca="1" si="27">IFERROR(INDIRECT($A3&amp;"!E44"),"")</f>
        <v>68434</v>
      </c>
      <c r="AE3" s="514">
        <f t="shared" ref="AE3:AE13" ca="1" si="28">IFERROR(INDIRECT($A3&amp;"!D51"),"")</f>
        <v>5</v>
      </c>
      <c r="AF3" s="514">
        <f t="shared" ref="AF3:AF13" ca="1" si="29">IFERROR(INDIRECT($A3&amp;"!E51"),"")</f>
        <v>1</v>
      </c>
      <c r="AG3" s="514">
        <f t="shared" ref="AG3:AG13" ca="1" si="30">IFERROR(INDIRECT($A3&amp;"!D53"),"")</f>
        <v>422</v>
      </c>
      <c r="AH3" s="514">
        <f t="shared" ref="AH3:AH13" ca="1" si="31">IFERROR(INDIRECT($A3&amp;"!E53"),"")</f>
        <v>406</v>
      </c>
      <c r="AI3" s="514">
        <f t="shared" ref="AI3:AI13" ca="1" si="32">IFERROR(INDIRECT($A3&amp;"!D54"),"")</f>
        <v>2</v>
      </c>
      <c r="AJ3" s="514">
        <f t="shared" ref="AJ3:AJ13" ca="1" si="33">IFERROR(INDIRECT($A3&amp;"!E54"),"")</f>
        <v>3</v>
      </c>
      <c r="AK3" s="514">
        <f t="shared" ref="AK3:AK13" ca="1" si="34">IFERROR(INDIRECT($A3&amp;"!D59"),"")</f>
        <v>735</v>
      </c>
      <c r="AL3" s="514">
        <f t="shared" ref="AL3:AL13" ca="1" si="35">IFERROR(INDIRECT($A3&amp;"!E59"),"")</f>
        <v>766</v>
      </c>
      <c r="AM3" s="514">
        <f t="shared" ref="AM3:AM13" ca="1" si="36">IFERROR(INDIRECT($A3&amp;"!D77"),"")</f>
        <v>18637</v>
      </c>
      <c r="AN3" s="514">
        <f t="shared" ref="AN3:AN13" ca="1" si="37">IFERROR(INDIRECT($A3&amp;"!E77"),"")</f>
        <v>15718</v>
      </c>
      <c r="AO3" s="519">
        <f t="shared" ref="AO3:AO31" ca="1" si="38">INDEX( INDIRECT($A3&amp;"!A:A"), MATCH("GNI Grant",INDIRECT($A3&amp;"!A:A"))+1)</f>
        <v>0</v>
      </c>
      <c r="AP3" s="519">
        <f t="shared" ref="AP3:AP12" ca="1" si="39">INDEX( INDIRECT($A3&amp;"!B:B"), MATCH("Carry over from last month ",INDIRECT($A3&amp;"!B:B"))+1)</f>
        <v>-16230</v>
      </c>
      <c r="AQ3" s="519">
        <f t="shared" ref="AQ3:AQ13" ca="1" si="40">INDEX( INDIRECT($A3&amp;"!C:C"), MATCH("Raised Fund",INDIRECT($A3&amp;"!C:C"))+1)</f>
        <v>18432</v>
      </c>
      <c r="AR3" s="519">
        <f t="shared" ref="AR3:AR31" ca="1" si="41">INDEX( INDIRECT($A3&amp;"!D:D"), MATCH("Expenditure",INDIRECT($A3&amp;"!D:D"))+1)</f>
        <v>38591</v>
      </c>
      <c r="AS3" s="519">
        <f t="shared" ref="AS3:AS31" ca="1" si="42">INDEX( INDIRECT($A3&amp;"!H:H"), MATCH("Balance",INDIRECT($A3&amp;"!H:H"))+1)</f>
        <v>14611</v>
      </c>
    </row>
    <row r="4" spans="1:45">
      <c r="A4" s="516" t="s">
        <v>410</v>
      </c>
      <c r="B4" s="514" t="str">
        <f t="shared" ca="1" si="0"/>
        <v>JAPAN</v>
      </c>
      <c r="C4" s="519">
        <f t="shared" ca="1" si="1"/>
        <v>2017</v>
      </c>
      <c r="D4" s="514" t="str">
        <f ca="1">IFERROR(INDIRECT($A4&amp;"!G1"),"")</f>
        <v>March</v>
      </c>
      <c r="E4" s="519">
        <f t="shared" ca="1" si="3"/>
        <v>3</v>
      </c>
      <c r="F4" s="519">
        <f t="shared" ca="1" si="4"/>
        <v>6</v>
      </c>
      <c r="G4" s="514">
        <f t="shared" ca="1" si="5"/>
        <v>13986</v>
      </c>
      <c r="H4" s="514">
        <f t="shared" ref="H4:H13" ca="1" si="43">IFERROR(INDIRECT($A4&amp;"!E22"),"")</f>
        <v>11504</v>
      </c>
      <c r="I4" s="514">
        <f t="shared" ca="1" si="6"/>
        <v>4682</v>
      </c>
      <c r="J4" s="514">
        <f t="shared" ca="1" si="7"/>
        <v>4143</v>
      </c>
      <c r="K4" s="514">
        <f t="shared" ca="1" si="8"/>
        <v>18668</v>
      </c>
      <c r="L4" s="514">
        <f t="shared" ca="1" si="9"/>
        <v>15647</v>
      </c>
      <c r="M4" s="514">
        <f t="shared" ca="1" si="10"/>
        <v>200</v>
      </c>
      <c r="N4" s="514">
        <f t="shared" ca="1" si="11"/>
        <v>832</v>
      </c>
      <c r="O4" s="514">
        <f t="shared" ca="1" si="12"/>
        <v>2200</v>
      </c>
      <c r="P4" s="514">
        <f t="shared" ca="1" si="13"/>
        <v>12468</v>
      </c>
      <c r="Q4" s="514">
        <f t="shared" ca="1" si="14"/>
        <v>35000</v>
      </c>
      <c r="R4" s="514">
        <f t="shared" ca="1" si="15"/>
        <v>0</v>
      </c>
      <c r="S4" s="514">
        <f t="shared" ca="1" si="16"/>
        <v>0</v>
      </c>
      <c r="T4" s="514">
        <f t="shared" ca="1" si="17"/>
        <v>0</v>
      </c>
      <c r="U4" s="514">
        <f t="shared" ca="1" si="18"/>
        <v>300</v>
      </c>
      <c r="V4" s="514">
        <f t="shared" ca="1" si="19"/>
        <v>492</v>
      </c>
      <c r="W4" s="514">
        <f t="shared" ca="1" si="20"/>
        <v>2250</v>
      </c>
      <c r="X4" s="514">
        <f t="shared" ca="1" si="21"/>
        <v>0</v>
      </c>
      <c r="Y4" s="514">
        <f t="shared" ca="1" si="22"/>
        <v>17000</v>
      </c>
      <c r="Z4" s="514">
        <f t="shared" ca="1" si="23"/>
        <v>0</v>
      </c>
      <c r="AA4" s="514">
        <f t="shared" ca="1" si="24"/>
        <v>75618</v>
      </c>
      <c r="AB4" s="514">
        <f t="shared" ca="1" si="25"/>
        <v>29439</v>
      </c>
      <c r="AC4" s="514">
        <f t="shared" ca="1" si="26"/>
        <v>75318</v>
      </c>
      <c r="AD4" s="514">
        <f t="shared" ca="1" si="27"/>
        <v>28947</v>
      </c>
      <c r="AE4" s="514">
        <f t="shared" ca="1" si="28"/>
        <v>5</v>
      </c>
      <c r="AF4" s="514">
        <f t="shared" ca="1" si="29"/>
        <v>1</v>
      </c>
      <c r="AG4" s="514">
        <f t="shared" ca="1" si="30"/>
        <v>418</v>
      </c>
      <c r="AH4" s="514">
        <f t="shared" ca="1" si="31"/>
        <v>403</v>
      </c>
      <c r="AI4" s="514">
        <f t="shared" ca="1" si="32"/>
        <v>2</v>
      </c>
      <c r="AJ4" s="514">
        <f t="shared" ca="1" si="33"/>
        <v>0</v>
      </c>
      <c r="AK4" s="514">
        <f t="shared" ca="1" si="34"/>
        <v>728</v>
      </c>
      <c r="AL4" s="514">
        <f t="shared" ca="1" si="35"/>
        <v>756</v>
      </c>
      <c r="AM4" s="514">
        <f t="shared" ca="1" si="36"/>
        <v>18668</v>
      </c>
      <c r="AN4" s="514">
        <f t="shared" ca="1" si="37"/>
        <v>15647</v>
      </c>
      <c r="AO4" s="519">
        <f t="shared" ca="1" si="38"/>
        <v>0</v>
      </c>
      <c r="AP4" s="519">
        <f t="shared" ca="1" si="39"/>
        <v>14611</v>
      </c>
      <c r="AQ4" s="519">
        <f t="shared" ca="1" si="40"/>
        <v>29439</v>
      </c>
      <c r="AR4" s="519">
        <f t="shared" ca="1" si="41"/>
        <v>38591</v>
      </c>
      <c r="AS4" s="519">
        <f t="shared" ca="1" si="42"/>
        <v>5459</v>
      </c>
    </row>
    <row r="5" spans="1:45">
      <c r="A5" s="517" t="s">
        <v>441</v>
      </c>
      <c r="B5" s="514" t="str">
        <f t="shared" ca="1" si="0"/>
        <v>JAPAN</v>
      </c>
      <c r="C5" s="519">
        <f t="shared" ca="1" si="1"/>
        <v>2017</v>
      </c>
      <c r="D5" s="514" t="str">
        <f t="shared" ca="1" si="2"/>
        <v>April</v>
      </c>
      <c r="E5" s="519">
        <f t="shared" ca="1" si="3"/>
        <v>4</v>
      </c>
      <c r="F5" s="519">
        <f t="shared" ca="1" si="4"/>
        <v>7</v>
      </c>
      <c r="G5" s="514">
        <f t="shared" ca="1" si="5"/>
        <v>14035</v>
      </c>
      <c r="H5" s="514">
        <f t="shared" ca="1" si="43"/>
        <v>11382</v>
      </c>
      <c r="I5" s="514">
        <f t="shared" ca="1" si="6"/>
        <v>4666</v>
      </c>
      <c r="J5" s="514">
        <f t="shared" ca="1" si="7"/>
        <v>4104</v>
      </c>
      <c r="K5" s="514">
        <f t="shared" ca="1" si="8"/>
        <v>18701</v>
      </c>
      <c r="L5" s="514">
        <f t="shared" ca="1" si="9"/>
        <v>15486</v>
      </c>
      <c r="M5" s="514">
        <f t="shared" ca="1" si="10"/>
        <v>200</v>
      </c>
      <c r="N5" s="514">
        <f t="shared" ca="1" si="11"/>
        <v>1164</v>
      </c>
      <c r="O5" s="514">
        <f t="shared" ca="1" si="12"/>
        <v>2700</v>
      </c>
      <c r="P5" s="514">
        <f t="shared" ca="1" si="13"/>
        <v>2459</v>
      </c>
      <c r="Q5" s="514">
        <f t="shared" ca="1" si="14"/>
        <v>35000</v>
      </c>
      <c r="R5" s="514">
        <f t="shared" ca="1" si="15"/>
        <v>0</v>
      </c>
      <c r="S5" s="514">
        <f t="shared" ca="1" si="16"/>
        <v>2222</v>
      </c>
      <c r="T5" s="514">
        <f t="shared" ca="1" si="17"/>
        <v>0</v>
      </c>
      <c r="U5" s="514">
        <f t="shared" ca="1" si="18"/>
        <v>300</v>
      </c>
      <c r="V5" s="514">
        <f t="shared" ca="1" si="19"/>
        <v>1303</v>
      </c>
      <c r="W5" s="514">
        <f t="shared" ca="1" si="20"/>
        <v>3750</v>
      </c>
      <c r="X5" s="514">
        <f t="shared" ca="1" si="21"/>
        <v>0</v>
      </c>
      <c r="Y5" s="514">
        <f t="shared" ca="1" si="22"/>
        <v>17000</v>
      </c>
      <c r="Z5" s="514">
        <f t="shared" ca="1" si="23"/>
        <v>51000</v>
      </c>
      <c r="AA5" s="514">
        <f t="shared" ca="1" si="24"/>
        <v>79873</v>
      </c>
      <c r="AB5" s="514">
        <f t="shared" ca="1" si="25"/>
        <v>71412</v>
      </c>
      <c r="AC5" s="514">
        <f t="shared" ca="1" si="26"/>
        <v>79573</v>
      </c>
      <c r="AD5" s="514">
        <f t="shared" ca="1" si="27"/>
        <v>70109</v>
      </c>
      <c r="AE5" s="514">
        <f t="shared" ca="1" si="28"/>
        <v>5</v>
      </c>
      <c r="AF5" s="514">
        <f t="shared" ca="1" si="29"/>
        <v>1</v>
      </c>
      <c r="AG5" s="514">
        <f t="shared" ca="1" si="30"/>
        <v>415</v>
      </c>
      <c r="AH5" s="514">
        <f t="shared" ca="1" si="31"/>
        <v>398</v>
      </c>
      <c r="AI5" s="514">
        <f t="shared" ca="1" si="32"/>
        <v>2</v>
      </c>
      <c r="AJ5" s="514">
        <f t="shared" ca="1" si="33"/>
        <v>0</v>
      </c>
      <c r="AK5" s="514">
        <f t="shared" ca="1" si="34"/>
        <v>723</v>
      </c>
      <c r="AL5" s="514">
        <f t="shared" ca="1" si="35"/>
        <v>748</v>
      </c>
      <c r="AM5" s="514">
        <f t="shared" ca="1" si="36"/>
        <v>18701</v>
      </c>
      <c r="AN5" s="514">
        <f t="shared" ca="1" si="37"/>
        <v>15486</v>
      </c>
      <c r="AO5" s="519">
        <f t="shared" ca="1" si="38"/>
        <v>0</v>
      </c>
      <c r="AP5" s="519">
        <f t="shared" ca="1" si="39"/>
        <v>5459</v>
      </c>
      <c r="AQ5" s="519">
        <f t="shared" ca="1" si="40"/>
        <v>20412</v>
      </c>
      <c r="AR5" s="519">
        <f t="shared" ca="1" si="41"/>
        <v>48161</v>
      </c>
      <c r="AS5" s="519">
        <f t="shared" ca="1" si="42"/>
        <v>28710</v>
      </c>
    </row>
    <row r="6" spans="1:45">
      <c r="A6" s="516" t="s">
        <v>411</v>
      </c>
      <c r="B6" s="514" t="str">
        <f t="shared" ca="1" si="0"/>
        <v>JAPAN</v>
      </c>
      <c r="C6" s="519">
        <f t="shared" ca="1" si="1"/>
        <v>2017</v>
      </c>
      <c r="D6" s="514" t="str">
        <f t="shared" ca="1" si="2"/>
        <v>May</v>
      </c>
      <c r="E6" s="519">
        <f t="shared" ca="1" si="3"/>
        <v>4</v>
      </c>
      <c r="F6" s="519">
        <f t="shared" ca="1" si="4"/>
        <v>7</v>
      </c>
      <c r="G6" s="514">
        <f t="shared" ca="1" si="5"/>
        <v>14085</v>
      </c>
      <c r="H6" s="514">
        <f t="shared" ca="1" si="43"/>
        <v>11109</v>
      </c>
      <c r="I6" s="514">
        <f t="shared" ca="1" si="6"/>
        <v>4650</v>
      </c>
      <c r="J6" s="514">
        <f t="shared" ca="1" si="7"/>
        <v>4070</v>
      </c>
      <c r="K6" s="514">
        <f t="shared" ca="1" si="8"/>
        <v>18735</v>
      </c>
      <c r="L6" s="514">
        <f t="shared" ca="1" si="9"/>
        <v>15179</v>
      </c>
      <c r="M6" s="514">
        <f t="shared" ca="1" si="10"/>
        <v>200</v>
      </c>
      <c r="N6" s="514">
        <f t="shared" ca="1" si="11"/>
        <v>201</v>
      </c>
      <c r="O6" s="514">
        <f t="shared" ca="1" si="12"/>
        <v>3200</v>
      </c>
      <c r="P6" s="514">
        <f t="shared" ca="1" si="13"/>
        <v>1389</v>
      </c>
      <c r="Q6" s="514">
        <f t="shared" ca="1" si="14"/>
        <v>35000</v>
      </c>
      <c r="R6" s="514">
        <f t="shared" ca="1" si="15"/>
        <v>0</v>
      </c>
      <c r="S6" s="514">
        <f t="shared" ca="1" si="16"/>
        <v>2222</v>
      </c>
      <c r="T6" s="514">
        <f t="shared" ca="1" si="17"/>
        <v>0</v>
      </c>
      <c r="U6" s="514">
        <f t="shared" ca="1" si="18"/>
        <v>300</v>
      </c>
      <c r="V6" s="514">
        <f t="shared" ca="1" si="19"/>
        <v>799</v>
      </c>
      <c r="W6" s="514">
        <f t="shared" ca="1" si="20"/>
        <v>3750</v>
      </c>
      <c r="X6" s="514">
        <f t="shared" ca="1" si="21"/>
        <v>0</v>
      </c>
      <c r="Y6" s="514">
        <f t="shared" ca="1" si="22"/>
        <v>17000</v>
      </c>
      <c r="Z6" s="514">
        <f t="shared" ca="1" si="23"/>
        <v>0</v>
      </c>
      <c r="AA6" s="514">
        <f t="shared" ca="1" si="24"/>
        <v>80407</v>
      </c>
      <c r="AB6" s="514">
        <f t="shared" ca="1" si="25"/>
        <v>17568</v>
      </c>
      <c r="AC6" s="514">
        <f t="shared" ca="1" si="26"/>
        <v>80107</v>
      </c>
      <c r="AD6" s="514">
        <f t="shared" ca="1" si="27"/>
        <v>16769</v>
      </c>
      <c r="AE6" s="514">
        <f t="shared" ca="1" si="28"/>
        <v>5</v>
      </c>
      <c r="AF6" s="514">
        <f t="shared" ca="1" si="29"/>
        <v>8</v>
      </c>
      <c r="AG6" s="514">
        <f t="shared" ca="1" si="30"/>
        <v>412</v>
      </c>
      <c r="AH6" s="514">
        <f t="shared" ca="1" si="31"/>
        <v>393</v>
      </c>
      <c r="AI6" s="514">
        <f t="shared" ca="1" si="32"/>
        <v>2</v>
      </c>
      <c r="AJ6" s="514">
        <f t="shared" ca="1" si="33"/>
        <v>0</v>
      </c>
      <c r="AK6" s="514">
        <f t="shared" ca="1" si="34"/>
        <v>717</v>
      </c>
      <c r="AL6" s="514">
        <f t="shared" ca="1" si="35"/>
        <v>739</v>
      </c>
      <c r="AM6" s="514">
        <f t="shared" ca="1" si="36"/>
        <v>18735</v>
      </c>
      <c r="AN6" s="514">
        <f t="shared" ca="1" si="37"/>
        <v>15179</v>
      </c>
      <c r="AO6" s="519">
        <f t="shared" ca="1" si="38"/>
        <v>0</v>
      </c>
      <c r="AP6" s="519">
        <f t="shared" ca="1" si="39"/>
        <v>28710</v>
      </c>
      <c r="AQ6" s="519">
        <f t="shared" ca="1" si="40"/>
        <v>17568</v>
      </c>
      <c r="AR6" s="519">
        <f t="shared" ca="1" si="41"/>
        <v>49321</v>
      </c>
      <c r="AS6" s="519">
        <f t="shared" ca="1" si="42"/>
        <v>-3043</v>
      </c>
    </row>
    <row r="7" spans="1:45">
      <c r="A7" s="516" t="s">
        <v>412</v>
      </c>
      <c r="B7" s="514" t="str">
        <f t="shared" ca="1" si="0"/>
        <v>JAPAN</v>
      </c>
      <c r="C7" s="519">
        <f t="shared" ca="1" si="1"/>
        <v>2017</v>
      </c>
      <c r="D7" s="514" t="str">
        <f t="shared" ca="1" si="2"/>
        <v>June</v>
      </c>
      <c r="E7" s="519">
        <f t="shared" ca="1" si="3"/>
        <v>4</v>
      </c>
      <c r="F7" s="519">
        <f t="shared" ca="1" si="4"/>
        <v>7</v>
      </c>
      <c r="G7" s="514">
        <f t="shared" ca="1" si="5"/>
        <v>14136</v>
      </c>
      <c r="H7" s="514">
        <f t="shared" ca="1" si="43"/>
        <v>11343</v>
      </c>
      <c r="I7" s="514">
        <f t="shared" ca="1" si="6"/>
        <v>4634</v>
      </c>
      <c r="J7" s="514">
        <f t="shared" ca="1" si="7"/>
        <v>4035</v>
      </c>
      <c r="K7" s="514">
        <f t="shared" ca="1" si="8"/>
        <v>18770</v>
      </c>
      <c r="L7" s="514">
        <f t="shared" ca="1" si="9"/>
        <v>15378</v>
      </c>
      <c r="M7" s="514">
        <f t="shared" ca="1" si="10"/>
        <v>200</v>
      </c>
      <c r="N7" s="514">
        <f t="shared" ca="1" si="11"/>
        <v>613</v>
      </c>
      <c r="O7" s="514">
        <f t="shared" ca="1" si="12"/>
        <v>3700</v>
      </c>
      <c r="P7" s="514">
        <f t="shared" ca="1" si="13"/>
        <v>2750</v>
      </c>
      <c r="Q7" s="514">
        <f t="shared" ca="1" si="14"/>
        <v>35000</v>
      </c>
      <c r="R7" s="514">
        <f t="shared" ca="1" si="15"/>
        <v>0</v>
      </c>
      <c r="S7" s="514">
        <f t="shared" ca="1" si="16"/>
        <v>2222</v>
      </c>
      <c r="T7" s="514">
        <f t="shared" ca="1" si="17"/>
        <v>0</v>
      </c>
      <c r="U7" s="514">
        <f t="shared" ca="1" si="18"/>
        <v>300</v>
      </c>
      <c r="V7" s="514">
        <f t="shared" ca="1" si="19"/>
        <v>1241</v>
      </c>
      <c r="W7" s="514">
        <f t="shared" ca="1" si="20"/>
        <v>3750</v>
      </c>
      <c r="X7" s="514">
        <f t="shared" ca="1" si="21"/>
        <v>0</v>
      </c>
      <c r="Y7" s="514">
        <f t="shared" ca="1" si="22"/>
        <v>17000</v>
      </c>
      <c r="Z7" s="514">
        <f t="shared" ca="1" si="23"/>
        <v>0</v>
      </c>
      <c r="AA7" s="514">
        <f t="shared" ca="1" si="24"/>
        <v>80942</v>
      </c>
      <c r="AB7" s="514">
        <f t="shared" ca="1" si="25"/>
        <v>19982</v>
      </c>
      <c r="AC7" s="514">
        <f t="shared" ca="1" si="26"/>
        <v>80642</v>
      </c>
      <c r="AD7" s="514">
        <f t="shared" ca="1" si="27"/>
        <v>18741</v>
      </c>
      <c r="AE7" s="514">
        <f t="shared" ca="1" si="28"/>
        <v>5</v>
      </c>
      <c r="AF7" s="514">
        <f t="shared" ca="1" si="29"/>
        <v>12</v>
      </c>
      <c r="AG7" s="514">
        <f t="shared" ca="1" si="30"/>
        <v>409</v>
      </c>
      <c r="AH7" s="514">
        <f t="shared" ca="1" si="31"/>
        <v>403</v>
      </c>
      <c r="AI7" s="514">
        <f t="shared" ca="1" si="32"/>
        <v>2</v>
      </c>
      <c r="AJ7" s="514">
        <f t="shared" ca="1" si="33"/>
        <v>0</v>
      </c>
      <c r="AK7" s="514">
        <f t="shared" ca="1" si="34"/>
        <v>712</v>
      </c>
      <c r="AL7" s="514">
        <f t="shared" ca="1" si="35"/>
        <v>746</v>
      </c>
      <c r="AM7" s="514">
        <f t="shared" ca="1" si="36"/>
        <v>18770</v>
      </c>
      <c r="AN7" s="514">
        <f t="shared" ca="1" si="37"/>
        <v>15378</v>
      </c>
      <c r="AO7" s="519">
        <f t="shared" ca="1" si="38"/>
        <v>0</v>
      </c>
      <c r="AP7" s="519">
        <f t="shared" ca="1" si="39"/>
        <v>-3043</v>
      </c>
      <c r="AQ7" s="519">
        <f t="shared" ca="1" si="40"/>
        <v>19982</v>
      </c>
      <c r="AR7" s="519">
        <f t="shared" ca="1" si="41"/>
        <v>48501</v>
      </c>
      <c r="AS7" s="519">
        <f t="shared" ca="1" si="42"/>
        <v>-31562</v>
      </c>
    </row>
    <row r="8" spans="1:45">
      <c r="A8" s="516" t="s">
        <v>413</v>
      </c>
      <c r="B8" s="514" t="str">
        <f t="shared" ca="1" si="0"/>
        <v>JAPAN</v>
      </c>
      <c r="C8" s="519">
        <f t="shared" ca="1" si="1"/>
        <v>2017</v>
      </c>
      <c r="D8" s="514" t="str">
        <f t="shared" ca="1" si="2"/>
        <v>July</v>
      </c>
      <c r="E8" s="519">
        <f t="shared" ca="1" si="3"/>
        <v>4</v>
      </c>
      <c r="F8" s="519">
        <f t="shared" ca="1" si="4"/>
        <v>7</v>
      </c>
      <c r="G8" s="514">
        <f t="shared" ca="1" si="5"/>
        <v>14188</v>
      </c>
      <c r="H8" s="514">
        <f t="shared" ca="1" si="43"/>
        <v>12209</v>
      </c>
      <c r="I8" s="514">
        <f t="shared" ca="1" si="6"/>
        <v>4619</v>
      </c>
      <c r="J8" s="514">
        <f t="shared" ca="1" si="7"/>
        <v>3791</v>
      </c>
      <c r="K8" s="514">
        <f t="shared" ca="1" si="8"/>
        <v>18807</v>
      </c>
      <c r="L8" s="514">
        <f t="shared" ca="1" si="9"/>
        <v>16000</v>
      </c>
      <c r="M8" s="514">
        <f t="shared" ca="1" si="10"/>
        <v>200</v>
      </c>
      <c r="N8" s="514">
        <f t="shared" ca="1" si="11"/>
        <v>241</v>
      </c>
      <c r="O8" s="514">
        <f t="shared" ca="1" si="12"/>
        <v>3700</v>
      </c>
      <c r="P8" s="514">
        <f t="shared" ca="1" si="13"/>
        <v>4985</v>
      </c>
      <c r="Q8" s="514">
        <f t="shared" ca="1" si="14"/>
        <v>35000</v>
      </c>
      <c r="R8" s="514">
        <f t="shared" ca="1" si="15"/>
        <v>0</v>
      </c>
      <c r="S8" s="514">
        <f t="shared" ca="1" si="16"/>
        <v>2222</v>
      </c>
      <c r="T8" s="514">
        <f t="shared" ca="1" si="17"/>
        <v>28435</v>
      </c>
      <c r="U8" s="514">
        <f t="shared" ca="1" si="18"/>
        <v>300</v>
      </c>
      <c r="V8" s="514">
        <f t="shared" ca="1" si="19"/>
        <v>799</v>
      </c>
      <c r="W8" s="514">
        <f t="shared" ca="1" si="20"/>
        <v>5250</v>
      </c>
      <c r="X8" s="514">
        <f t="shared" ca="1" si="21"/>
        <v>0</v>
      </c>
      <c r="Y8" s="514">
        <f t="shared" ca="1" si="22"/>
        <v>17000</v>
      </c>
      <c r="Z8" s="514">
        <f t="shared" ca="1" si="23"/>
        <v>51000</v>
      </c>
      <c r="AA8" s="514">
        <f t="shared" ca="1" si="24"/>
        <v>82479</v>
      </c>
      <c r="AB8" s="514">
        <f t="shared" ca="1" si="25"/>
        <v>101460</v>
      </c>
      <c r="AC8" s="514">
        <f t="shared" ca="1" si="26"/>
        <v>82179</v>
      </c>
      <c r="AD8" s="514">
        <f t="shared" ca="1" si="27"/>
        <v>100661</v>
      </c>
      <c r="AE8" s="514">
        <f t="shared" ca="1" si="28"/>
        <v>5</v>
      </c>
      <c r="AF8" s="514">
        <f t="shared" ca="1" si="29"/>
        <v>32</v>
      </c>
      <c r="AG8" s="514">
        <f t="shared" ca="1" si="30"/>
        <v>406</v>
      </c>
      <c r="AH8" s="514">
        <f t="shared" ca="1" si="31"/>
        <v>443</v>
      </c>
      <c r="AI8" s="514">
        <f t="shared" ca="1" si="32"/>
        <v>2</v>
      </c>
      <c r="AJ8" s="514">
        <f t="shared" ca="1" si="33"/>
        <v>9</v>
      </c>
      <c r="AK8" s="514">
        <f t="shared" ca="1" si="34"/>
        <v>707</v>
      </c>
      <c r="AL8" s="514">
        <f t="shared" ca="1" si="35"/>
        <v>793</v>
      </c>
      <c r="AM8" s="514">
        <f t="shared" ca="1" si="36"/>
        <v>18807</v>
      </c>
      <c r="AN8" s="514">
        <f t="shared" ca="1" si="37"/>
        <v>16000</v>
      </c>
      <c r="AO8" s="519">
        <f t="shared" ca="1" si="38"/>
        <v>0</v>
      </c>
      <c r="AP8" s="519">
        <f t="shared" ca="1" si="39"/>
        <v>-31562</v>
      </c>
      <c r="AQ8" s="519">
        <f t="shared" ca="1" si="40"/>
        <v>50460</v>
      </c>
      <c r="AR8" s="519">
        <f t="shared" ca="1" si="41"/>
        <v>71436</v>
      </c>
      <c r="AS8" s="519">
        <f t="shared" ca="1" si="42"/>
        <v>-1538</v>
      </c>
    </row>
    <row r="9" spans="1:45">
      <c r="A9" s="516" t="s">
        <v>414</v>
      </c>
      <c r="B9" s="514" t="str">
        <f t="shared" ca="1" si="0"/>
        <v>JAPAN</v>
      </c>
      <c r="C9" s="519">
        <f t="shared" ca="1" si="1"/>
        <v>2017</v>
      </c>
      <c r="D9" s="514" t="str">
        <f t="shared" ca="1" si="2"/>
        <v>Aug</v>
      </c>
      <c r="E9" s="519">
        <f t="shared" ca="1" si="3"/>
        <v>4</v>
      </c>
      <c r="F9" s="519">
        <f t="shared" ca="1" si="4"/>
        <v>6</v>
      </c>
      <c r="G9" s="514">
        <f t="shared" ca="1" si="5"/>
        <v>14240</v>
      </c>
      <c r="H9" s="514">
        <f t="shared" ca="1" si="43"/>
        <v>9043</v>
      </c>
      <c r="I9" s="514">
        <f t="shared" ca="1" si="6"/>
        <v>4604</v>
      </c>
      <c r="J9" s="514">
        <f t="shared" ca="1" si="7"/>
        <v>2787</v>
      </c>
      <c r="K9" s="514">
        <f t="shared" ca="1" si="8"/>
        <v>18844</v>
      </c>
      <c r="L9" s="514">
        <f t="shared" ca="1" si="9"/>
        <v>11830</v>
      </c>
      <c r="M9" s="514">
        <f t="shared" ca="1" si="10"/>
        <v>200</v>
      </c>
      <c r="N9" s="514">
        <f t="shared" ca="1" si="11"/>
        <v>364</v>
      </c>
      <c r="O9" s="514">
        <f t="shared" ca="1" si="12"/>
        <v>3700</v>
      </c>
      <c r="P9" s="514">
        <f t="shared" ca="1" si="13"/>
        <v>10543</v>
      </c>
      <c r="Q9" s="514">
        <f t="shared" ca="1" si="14"/>
        <v>35000</v>
      </c>
      <c r="R9" s="514">
        <f t="shared" ca="1" si="15"/>
        <v>0</v>
      </c>
      <c r="S9" s="514">
        <f t="shared" ca="1" si="16"/>
        <v>2222</v>
      </c>
      <c r="T9" s="514">
        <f t="shared" ca="1" si="17"/>
        <v>0</v>
      </c>
      <c r="U9" s="514">
        <f t="shared" ca="1" si="18"/>
        <v>300</v>
      </c>
      <c r="V9" s="514">
        <f t="shared" ca="1" si="19"/>
        <v>762</v>
      </c>
      <c r="W9" s="514">
        <f t="shared" ca="1" si="20"/>
        <v>5250</v>
      </c>
      <c r="X9" s="514">
        <f t="shared" ca="1" si="21"/>
        <v>0</v>
      </c>
      <c r="Y9" s="514">
        <f t="shared" ca="1" si="22"/>
        <v>17000</v>
      </c>
      <c r="Z9" s="514">
        <f t="shared" ca="1" si="23"/>
        <v>0</v>
      </c>
      <c r="AA9" s="514">
        <f t="shared" ca="1" si="24"/>
        <v>82516</v>
      </c>
      <c r="AB9" s="514">
        <f t="shared" ca="1" si="25"/>
        <v>23499</v>
      </c>
      <c r="AC9" s="514">
        <f t="shared" ca="1" si="26"/>
        <v>82216</v>
      </c>
      <c r="AD9" s="514">
        <f t="shared" ca="1" si="27"/>
        <v>22737</v>
      </c>
      <c r="AE9" s="514">
        <f t="shared" ca="1" si="28"/>
        <v>5</v>
      </c>
      <c r="AF9" s="514">
        <f t="shared" ca="1" si="29"/>
        <v>44</v>
      </c>
      <c r="AG9" s="514">
        <f t="shared" ca="1" si="30"/>
        <v>403</v>
      </c>
      <c r="AH9" s="514">
        <f t="shared" ca="1" si="31"/>
        <v>304</v>
      </c>
      <c r="AI9" s="514">
        <f t="shared" ca="1" si="32"/>
        <v>2</v>
      </c>
      <c r="AJ9" s="514">
        <f t="shared" ca="1" si="33"/>
        <v>208</v>
      </c>
      <c r="AK9" s="514">
        <f t="shared" ca="1" si="34"/>
        <v>701</v>
      </c>
      <c r="AL9" s="514">
        <f t="shared" ca="1" si="35"/>
        <v>720</v>
      </c>
      <c r="AM9" s="514">
        <f t="shared" ca="1" si="36"/>
        <v>18844</v>
      </c>
      <c r="AN9" s="514">
        <f t="shared" ca="1" si="37"/>
        <v>11830</v>
      </c>
      <c r="AO9" s="519">
        <f t="shared" ca="1" si="38"/>
        <v>0</v>
      </c>
      <c r="AP9" s="519">
        <f t="shared" ca="1" si="39"/>
        <v>-1538</v>
      </c>
      <c r="AQ9" s="519">
        <f ca="1">INDEX( INDIRECT($A9&amp;"!C:C"), MATCH("Raised Fund",INDIRECT($A9&amp;"!C:C"))+1)</f>
        <v>23499</v>
      </c>
      <c r="AR9" s="519">
        <f t="shared" ca="1" si="41"/>
        <v>47921</v>
      </c>
      <c r="AS9" s="519">
        <f t="shared" ca="1" si="42"/>
        <v>-25960</v>
      </c>
    </row>
    <row r="10" spans="1:45">
      <c r="A10" s="516" t="s">
        <v>415</v>
      </c>
      <c r="B10" s="514" t="str">
        <f t="shared" ca="1" si="0"/>
        <v>JAPAN</v>
      </c>
      <c r="C10" s="519">
        <f t="shared" ca="1" si="1"/>
        <v>2017</v>
      </c>
      <c r="D10" s="514" t="str">
        <f t="shared" ca="1" si="2"/>
        <v>Sep</v>
      </c>
      <c r="E10" s="519">
        <f t="shared" ca="1" si="3"/>
        <v>5</v>
      </c>
      <c r="F10" s="519">
        <f t="shared" ca="1" si="4"/>
        <v>7</v>
      </c>
      <c r="G10" s="514">
        <f t="shared" ca="1" si="5"/>
        <v>14293</v>
      </c>
      <c r="H10" s="514">
        <f t="shared" ca="1" si="43"/>
        <v>9357</v>
      </c>
      <c r="I10" s="514">
        <f t="shared" ca="1" si="6"/>
        <v>4589</v>
      </c>
      <c r="J10" s="514">
        <f t="shared" ca="1" si="7"/>
        <v>2778</v>
      </c>
      <c r="K10" s="514">
        <f t="shared" ca="1" si="8"/>
        <v>18882</v>
      </c>
      <c r="L10" s="514">
        <f t="shared" ca="1" si="9"/>
        <v>12135</v>
      </c>
      <c r="M10" s="514">
        <f t="shared" ca="1" si="10"/>
        <v>200</v>
      </c>
      <c r="N10" s="514">
        <f t="shared" ca="1" si="11"/>
        <v>338</v>
      </c>
      <c r="O10" s="514">
        <f t="shared" ca="1" si="12"/>
        <v>3700</v>
      </c>
      <c r="P10" s="514">
        <f t="shared" ca="1" si="13"/>
        <v>12480</v>
      </c>
      <c r="Q10" s="514">
        <f t="shared" ca="1" si="14"/>
        <v>35000</v>
      </c>
      <c r="R10" s="514">
        <f t="shared" ca="1" si="15"/>
        <v>0</v>
      </c>
      <c r="S10" s="514">
        <f t="shared" ca="1" si="16"/>
        <v>2222</v>
      </c>
      <c r="T10" s="514">
        <f t="shared" ca="1" si="17"/>
        <v>0</v>
      </c>
      <c r="U10" s="514">
        <f t="shared" ca="1" si="18"/>
        <v>300</v>
      </c>
      <c r="V10" s="514">
        <f t="shared" ca="1" si="19"/>
        <v>5107</v>
      </c>
      <c r="W10" s="514">
        <f t="shared" ca="1" si="20"/>
        <v>5250</v>
      </c>
      <c r="X10" s="514">
        <f t="shared" ca="1" si="21"/>
        <v>0</v>
      </c>
      <c r="Y10" s="514">
        <f t="shared" ca="1" si="22"/>
        <v>17000</v>
      </c>
      <c r="Z10" s="514">
        <f t="shared" ca="1" si="23"/>
        <v>0</v>
      </c>
      <c r="AA10" s="514">
        <f t="shared" ca="1" si="24"/>
        <v>82554</v>
      </c>
      <c r="AB10" s="514">
        <f t="shared" ca="1" si="25"/>
        <v>30060</v>
      </c>
      <c r="AC10" s="514">
        <f t="shared" ca="1" si="26"/>
        <v>82254</v>
      </c>
      <c r="AD10" s="514">
        <f t="shared" ca="1" si="27"/>
        <v>24953</v>
      </c>
      <c r="AE10" s="514">
        <f t="shared" ca="1" si="28"/>
        <v>5</v>
      </c>
      <c r="AF10" s="514">
        <f t="shared" ca="1" si="29"/>
        <v>12</v>
      </c>
      <c r="AG10" s="514">
        <f t="shared" ca="1" si="30"/>
        <v>399</v>
      </c>
      <c r="AH10" s="514">
        <f t="shared" ca="1" si="31"/>
        <v>269</v>
      </c>
      <c r="AI10" s="514">
        <f t="shared" ca="1" si="32"/>
        <v>2</v>
      </c>
      <c r="AJ10" s="514">
        <f t="shared" ca="1" si="33"/>
        <v>0</v>
      </c>
      <c r="AK10" s="514">
        <f t="shared" ca="1" si="34"/>
        <v>695</v>
      </c>
      <c r="AL10" s="514">
        <f t="shared" ca="1" si="35"/>
        <v>476</v>
      </c>
      <c r="AM10" s="514">
        <f t="shared" ca="1" si="36"/>
        <v>18882</v>
      </c>
      <c r="AN10" s="514">
        <f t="shared" ca="1" si="37"/>
        <v>12135</v>
      </c>
      <c r="AO10" s="519">
        <f t="shared" ca="1" si="38"/>
        <v>0</v>
      </c>
      <c r="AP10" s="519">
        <f t="shared" ca="1" si="39"/>
        <v>-25960</v>
      </c>
      <c r="AQ10" s="519">
        <v>30060</v>
      </c>
      <c r="AR10" s="519">
        <f t="shared" ca="1" si="41"/>
        <v>48301</v>
      </c>
      <c r="AS10" s="519">
        <f t="shared" ca="1" si="42"/>
        <v>-44201</v>
      </c>
    </row>
    <row r="11" spans="1:45">
      <c r="A11" s="516" t="s">
        <v>416</v>
      </c>
      <c r="B11" s="514" t="str">
        <f t="shared" ca="1" si="0"/>
        <v>JAPAN</v>
      </c>
      <c r="C11" s="519">
        <f t="shared" ca="1" si="1"/>
        <v>2017</v>
      </c>
      <c r="D11" s="514" t="str">
        <f t="shared" ca="1" si="2"/>
        <v>Oct</v>
      </c>
      <c r="E11" s="519">
        <f t="shared" ca="1" si="3"/>
        <v>5</v>
      </c>
      <c r="F11" s="519">
        <f t="shared" ca="1" si="4"/>
        <v>7</v>
      </c>
      <c r="G11" s="514">
        <f t="shared" ca="1" si="5"/>
        <v>14347</v>
      </c>
      <c r="H11" s="514">
        <f t="shared" ca="1" si="43"/>
        <v>9635</v>
      </c>
      <c r="I11" s="514">
        <f t="shared" ca="1" si="6"/>
        <v>4575</v>
      </c>
      <c r="J11" s="514">
        <f t="shared" ca="1" si="7"/>
        <v>2778</v>
      </c>
      <c r="K11" s="514">
        <f t="shared" ca="1" si="8"/>
        <v>18922</v>
      </c>
      <c r="L11" s="514">
        <f t="shared" ca="1" si="9"/>
        <v>12413</v>
      </c>
      <c r="M11" s="514">
        <f t="shared" ca="1" si="10"/>
        <v>200</v>
      </c>
      <c r="N11" s="514">
        <f t="shared" ca="1" si="11"/>
        <v>1959</v>
      </c>
      <c r="O11" s="514">
        <f t="shared" ca="1" si="12"/>
        <v>3700</v>
      </c>
      <c r="P11" s="514">
        <f t="shared" ca="1" si="13"/>
        <v>13145</v>
      </c>
      <c r="Q11" s="514">
        <f t="shared" ca="1" si="14"/>
        <v>35000</v>
      </c>
      <c r="R11" s="514">
        <f t="shared" ca="1" si="15"/>
        <v>0</v>
      </c>
      <c r="S11" s="514">
        <f t="shared" ca="1" si="16"/>
        <v>2222</v>
      </c>
      <c r="T11" s="514">
        <f t="shared" ca="1" si="17"/>
        <v>0</v>
      </c>
      <c r="U11" s="514">
        <f t="shared" ca="1" si="18"/>
        <v>300</v>
      </c>
      <c r="V11" s="514">
        <f t="shared" ca="1" si="19"/>
        <v>7972.4</v>
      </c>
      <c r="W11" s="514">
        <f t="shared" ca="1" si="20"/>
        <v>6750</v>
      </c>
      <c r="X11" s="514">
        <f t="shared" ca="1" si="21"/>
        <v>0</v>
      </c>
      <c r="Y11" s="514">
        <f t="shared" ca="1" si="22"/>
        <v>17000</v>
      </c>
      <c r="Z11" s="514">
        <f t="shared" ca="1" si="23"/>
        <v>189145</v>
      </c>
      <c r="AA11" s="514">
        <f t="shared" ca="1" si="24"/>
        <v>84094</v>
      </c>
      <c r="AB11" s="514">
        <f t="shared" ca="1" si="25"/>
        <v>224634.4</v>
      </c>
      <c r="AC11" s="514">
        <f t="shared" ca="1" si="26"/>
        <v>83794</v>
      </c>
      <c r="AD11" s="514">
        <f t="shared" ca="1" si="27"/>
        <v>216662</v>
      </c>
      <c r="AE11" s="514">
        <f t="shared" ca="1" si="28"/>
        <v>5</v>
      </c>
      <c r="AF11" s="514">
        <f t="shared" ca="1" si="29"/>
        <v>9</v>
      </c>
      <c r="AG11" s="514">
        <f t="shared" ca="1" si="30"/>
        <v>396</v>
      </c>
      <c r="AH11" s="514">
        <f t="shared" ca="1" si="31"/>
        <v>277</v>
      </c>
      <c r="AI11" s="514">
        <f t="shared" ca="1" si="32"/>
        <v>2</v>
      </c>
      <c r="AJ11" s="514">
        <f t="shared" ca="1" si="33"/>
        <v>1</v>
      </c>
      <c r="AK11" s="514">
        <f t="shared" ca="1" si="34"/>
        <v>690</v>
      </c>
      <c r="AL11" s="514">
        <f t="shared" ca="1" si="35"/>
        <v>483</v>
      </c>
      <c r="AM11" s="514">
        <f t="shared" ca="1" si="36"/>
        <v>18922</v>
      </c>
      <c r="AN11" s="514">
        <f t="shared" ca="1" si="37"/>
        <v>12413</v>
      </c>
      <c r="AO11" s="519">
        <f t="shared" ca="1" si="38"/>
        <v>0</v>
      </c>
      <c r="AP11" s="519">
        <f t="shared" ca="1" si="39"/>
        <v>-44201</v>
      </c>
      <c r="AQ11" s="519">
        <f ca="1">INDEX( INDIRECT($A11&amp;"!C:C"), MATCH("Raised Fund",INDIRECT($A11&amp;"!C:C"))+1)</f>
        <v>35489.399999999994</v>
      </c>
      <c r="AR11" s="519">
        <f t="shared" ca="1" si="41"/>
        <v>48301</v>
      </c>
      <c r="AS11" s="519">
        <f t="shared" ca="1" si="42"/>
        <v>132132.4</v>
      </c>
    </row>
    <row r="12" spans="1:45">
      <c r="A12" s="516" t="s">
        <v>417</v>
      </c>
      <c r="B12" s="514" t="str">
        <f t="shared" ca="1" si="0"/>
        <v>JAPAN</v>
      </c>
      <c r="C12" s="519">
        <f t="shared" ca="1" si="1"/>
        <v>2017</v>
      </c>
      <c r="D12" s="514" t="str">
        <f t="shared" ca="1" si="2"/>
        <v>Nov</v>
      </c>
      <c r="E12" s="519">
        <f t="shared" ca="1" si="3"/>
        <v>5</v>
      </c>
      <c r="F12" s="519">
        <f t="shared" ca="1" si="4"/>
        <v>6</v>
      </c>
      <c r="G12" s="514">
        <f t="shared" ca="1" si="5"/>
        <v>14402</v>
      </c>
      <c r="H12" s="514">
        <f t="shared" ca="1" si="43"/>
        <v>9843</v>
      </c>
      <c r="I12" s="514">
        <f t="shared" ca="1" si="6"/>
        <v>4560</v>
      </c>
      <c r="J12" s="514">
        <f t="shared" ca="1" si="7"/>
        <v>2778</v>
      </c>
      <c r="K12" s="514">
        <f t="shared" ca="1" si="8"/>
        <v>18962</v>
      </c>
      <c r="L12" s="514">
        <f t="shared" ca="1" si="9"/>
        <v>12621</v>
      </c>
      <c r="M12" s="514">
        <f t="shared" ca="1" si="10"/>
        <v>200</v>
      </c>
      <c r="N12" s="514">
        <f t="shared" ca="1" si="11"/>
        <v>3711</v>
      </c>
      <c r="O12" s="514">
        <f t="shared" ca="1" si="12"/>
        <v>3700</v>
      </c>
      <c r="P12" s="514">
        <f t="shared" ca="1" si="13"/>
        <v>11682</v>
      </c>
      <c r="Q12" s="514">
        <f t="shared" ca="1" si="14"/>
        <v>35000</v>
      </c>
      <c r="R12" s="514">
        <f t="shared" ca="1" si="15"/>
        <v>86945</v>
      </c>
      <c r="S12" s="514">
        <f t="shared" ca="1" si="16"/>
        <v>2222</v>
      </c>
      <c r="T12" s="514">
        <f t="shared" ca="1" si="17"/>
        <v>0</v>
      </c>
      <c r="U12" s="514">
        <f t="shared" ca="1" si="18"/>
        <v>300</v>
      </c>
      <c r="V12" s="514">
        <f t="shared" ca="1" si="19"/>
        <v>10440</v>
      </c>
      <c r="W12" s="514">
        <f t="shared" ca="1" si="20"/>
        <v>6750</v>
      </c>
      <c r="X12" s="514">
        <f t="shared" ca="1" si="21"/>
        <v>0</v>
      </c>
      <c r="Y12" s="514">
        <f t="shared" ca="1" si="22"/>
        <v>17000</v>
      </c>
      <c r="Z12" s="514">
        <f t="shared" ca="1" si="23"/>
        <v>0</v>
      </c>
      <c r="AA12" s="514">
        <f t="shared" ca="1" si="24"/>
        <v>84134</v>
      </c>
      <c r="AB12" s="514">
        <f t="shared" ca="1" si="25"/>
        <v>125399</v>
      </c>
      <c r="AC12" s="514">
        <f t="shared" ca="1" si="26"/>
        <v>83834</v>
      </c>
      <c r="AD12" s="514">
        <f t="shared" ca="1" si="27"/>
        <v>114959</v>
      </c>
      <c r="AE12" s="514">
        <f t="shared" ca="1" si="28"/>
        <v>5</v>
      </c>
      <c r="AF12" s="514">
        <f t="shared" ca="1" si="29"/>
        <v>25</v>
      </c>
      <c r="AG12" s="514">
        <f t="shared" ca="1" si="30"/>
        <v>393</v>
      </c>
      <c r="AH12" s="514">
        <f t="shared" ca="1" si="31"/>
        <v>283</v>
      </c>
      <c r="AI12" s="514">
        <f t="shared" ca="1" si="32"/>
        <v>2</v>
      </c>
      <c r="AJ12" s="514">
        <f t="shared" ca="1" si="33"/>
        <v>0</v>
      </c>
      <c r="AK12" s="514">
        <f t="shared" ca="1" si="34"/>
        <v>684</v>
      </c>
      <c r="AL12" s="514">
        <f t="shared" ca="1" si="35"/>
        <v>489</v>
      </c>
      <c r="AM12" s="514">
        <f t="shared" ca="1" si="36"/>
        <v>18962</v>
      </c>
      <c r="AN12" s="514">
        <f t="shared" ca="1" si="37"/>
        <v>12621</v>
      </c>
      <c r="AO12" s="519">
        <f t="shared" ca="1" si="38"/>
        <v>0</v>
      </c>
      <c r="AP12" s="519">
        <f t="shared" ca="1" si="39"/>
        <v>132132.4</v>
      </c>
      <c r="AQ12" s="519">
        <f t="shared" ca="1" si="40"/>
        <v>125399</v>
      </c>
      <c r="AR12" s="519">
        <f t="shared" ca="1" si="41"/>
        <v>48301</v>
      </c>
      <c r="AS12" s="519">
        <f t="shared" ca="1" si="42"/>
        <v>209230.4</v>
      </c>
    </row>
    <row r="13" spans="1:45" ht="15" customHeight="1">
      <c r="A13" s="516" t="s">
        <v>418</v>
      </c>
      <c r="B13" s="514" t="str">
        <f t="shared" ca="1" si="0"/>
        <v>JAPAN</v>
      </c>
      <c r="C13" s="519">
        <f t="shared" ca="1" si="1"/>
        <v>2017</v>
      </c>
      <c r="D13" s="514" t="str">
        <f t="shared" ca="1" si="2"/>
        <v>Dec</v>
      </c>
      <c r="E13" s="519">
        <f t="shared" ca="1" si="3"/>
        <v>5</v>
      </c>
      <c r="F13" s="519">
        <f t="shared" ca="1" si="4"/>
        <v>6</v>
      </c>
      <c r="G13" s="514">
        <f t="shared" ca="1" si="5"/>
        <v>14458</v>
      </c>
      <c r="H13" s="514">
        <f t="shared" ca="1" si="43"/>
        <v>10922</v>
      </c>
      <c r="I13" s="514">
        <f t="shared" ca="1" si="6"/>
        <v>4547</v>
      </c>
      <c r="J13" s="514">
        <f t="shared" ca="1" si="7"/>
        <v>2735</v>
      </c>
      <c r="K13" s="514">
        <f t="shared" ca="1" si="8"/>
        <v>19005</v>
      </c>
      <c r="L13" s="514">
        <f t="shared" ca="1" si="9"/>
        <v>13657</v>
      </c>
      <c r="M13" s="514">
        <f t="shared" ca="1" si="10"/>
        <v>200</v>
      </c>
      <c r="N13" s="514">
        <f t="shared" ca="1" si="11"/>
        <v>7940</v>
      </c>
      <c r="O13" s="514">
        <f t="shared" ca="1" si="12"/>
        <v>8700</v>
      </c>
      <c r="P13" s="514">
        <f t="shared" ca="1" si="13"/>
        <v>13167</v>
      </c>
      <c r="Q13" s="514">
        <f t="shared" ca="1" si="14"/>
        <v>35000</v>
      </c>
      <c r="R13" s="514">
        <f t="shared" ca="1" si="15"/>
        <v>86945</v>
      </c>
      <c r="S13" s="514">
        <f t="shared" ca="1" si="16"/>
        <v>2222</v>
      </c>
      <c r="T13" s="514">
        <f t="shared" ca="1" si="17"/>
        <v>0</v>
      </c>
      <c r="U13" s="514">
        <f t="shared" ca="1" si="18"/>
        <v>300</v>
      </c>
      <c r="V13" s="514">
        <f t="shared" ca="1" si="19"/>
        <v>29728</v>
      </c>
      <c r="W13" s="514">
        <f t="shared" ca="1" si="20"/>
        <v>6750</v>
      </c>
      <c r="X13" s="514">
        <f t="shared" ca="1" si="21"/>
        <v>0</v>
      </c>
      <c r="Y13" s="514">
        <f t="shared" ca="1" si="22"/>
        <v>13000</v>
      </c>
      <c r="Z13" s="514">
        <f t="shared" ca="1" si="23"/>
        <v>0</v>
      </c>
      <c r="AA13" s="514">
        <f t="shared" ca="1" si="24"/>
        <v>85177</v>
      </c>
      <c r="AB13" s="514">
        <f t="shared" ca="1" si="25"/>
        <v>151437</v>
      </c>
      <c r="AC13" s="514">
        <f t="shared" ca="1" si="26"/>
        <v>84877</v>
      </c>
      <c r="AD13" s="514">
        <f t="shared" ca="1" si="27"/>
        <v>121709</v>
      </c>
      <c r="AE13" s="514">
        <f t="shared" ca="1" si="28"/>
        <v>5</v>
      </c>
      <c r="AF13" s="514">
        <f t="shared" ca="1" si="29"/>
        <v>35</v>
      </c>
      <c r="AG13" s="514">
        <f t="shared" ca="1" si="30"/>
        <v>390</v>
      </c>
      <c r="AH13" s="514">
        <f t="shared" ca="1" si="31"/>
        <v>314</v>
      </c>
      <c r="AI13" s="514">
        <f t="shared" ca="1" si="32"/>
        <v>2</v>
      </c>
      <c r="AJ13" s="514">
        <f t="shared" ca="1" si="33"/>
        <v>0</v>
      </c>
      <c r="AK13" s="514">
        <f t="shared" ca="1" si="34"/>
        <v>679</v>
      </c>
      <c r="AL13" s="514">
        <f t="shared" ca="1" si="35"/>
        <v>517</v>
      </c>
      <c r="AM13" s="514">
        <f t="shared" ca="1" si="36"/>
        <v>19004</v>
      </c>
      <c r="AN13" s="514">
        <f t="shared" ca="1" si="37"/>
        <v>13657</v>
      </c>
      <c r="AO13" s="519">
        <f t="shared" ca="1" si="38"/>
        <v>0</v>
      </c>
      <c r="AP13" s="519">
        <f ca="1">INDEX( INDIRECT($A13&amp;"!B:B"), MATCH("Carry over from last month ",INDIRECT($A13&amp;"!B:B"))+1)</f>
        <v>-44201</v>
      </c>
      <c r="AQ13" s="519">
        <f t="shared" ca="1" si="40"/>
        <v>151437</v>
      </c>
      <c r="AR13" s="519">
        <f t="shared" ca="1" si="41"/>
        <v>48301</v>
      </c>
      <c r="AS13" s="519">
        <f t="shared" ca="1" si="42"/>
        <v>58935</v>
      </c>
    </row>
    <row r="14" spans="1:45">
      <c r="A14" s="520" t="s">
        <v>421</v>
      </c>
      <c r="B14" s="514" t="str">
        <f t="shared" ca="1" si="0"/>
        <v>JAPAN</v>
      </c>
      <c r="C14" s="519">
        <f t="shared" ca="1" si="1"/>
        <v>2018</v>
      </c>
      <c r="D14" s="514" t="str">
        <f t="shared" ca="1" si="2"/>
        <v>Jan</v>
      </c>
      <c r="E14" s="519">
        <f t="shared" ca="1" si="3"/>
        <v>2</v>
      </c>
      <c r="F14" s="519">
        <f ca="1">IFERROR(INDIRECT($A14&amp;"!D16"),"")</f>
        <v>5</v>
      </c>
      <c r="G14" s="514">
        <f ca="1">IFERROR(INDIRECT($A14&amp;"!D24"),"")</f>
        <v>10718</v>
      </c>
      <c r="H14" s="514">
        <f ca="1">IFERROR(INDIRECT($A14&amp;"!E24"),"")</f>
        <v>11652</v>
      </c>
      <c r="I14" s="514">
        <f ca="1">IFERROR(INDIRECT($A14&amp;"!D27"),"")</f>
        <v>10240</v>
      </c>
      <c r="J14" s="514">
        <f ca="1">IFERROR(INDIRECT($A14&amp;"!E27"),"")</f>
        <v>11323</v>
      </c>
      <c r="K14" s="514">
        <f ca="1">IFERROR(INDIRECT($A14&amp;"!D28"),"")</f>
        <v>20958</v>
      </c>
      <c r="L14" s="514">
        <f ca="1">IFERROR(INDIRECT($A14&amp;"!E28"),"")</f>
        <v>22975</v>
      </c>
      <c r="M14" s="514">
        <f ca="1">IFERROR(INDIRECT($A14&amp;"!D32"),"")</f>
        <v>1000</v>
      </c>
      <c r="N14" s="514">
        <f ca="1">IFERROR(INDIRECT($A14&amp;"!E32"),"")</f>
        <v>12363</v>
      </c>
      <c r="O14" s="514">
        <f ca="1">IFERROR(INDIRECT($A14&amp;"!D33"),"")</f>
        <v>650</v>
      </c>
      <c r="P14" s="514">
        <f ca="1">IFERROR(INDIRECT($A14&amp;"!E33"),"")</f>
        <v>652</v>
      </c>
      <c r="Q14" s="514">
        <f ca="1">IFERROR(INDIRECT($A14&amp;"!D37"),"")</f>
        <v>36232</v>
      </c>
      <c r="R14" s="514">
        <f ca="1">IFERROR(INDIRECT($A14&amp;"!E37"),"")</f>
        <v>0</v>
      </c>
      <c r="S14" s="514">
        <f ca="1">IFERROR(INDIRECT($A14&amp;"!D40"),"")</f>
        <v>1100</v>
      </c>
      <c r="T14" s="514">
        <f ca="1">IFERROR(INDIRECT($A14&amp;"!E40"),"")</f>
        <v>0</v>
      </c>
      <c r="U14" s="514">
        <f ca="1">IFERROR(INDIRECT($A14&amp;"!D42"),"")</f>
        <v>11000</v>
      </c>
      <c r="V14" s="514">
        <f ca="1">IFERROR(INDIRECT($A14&amp;"!E42"),"")</f>
        <v>34798</v>
      </c>
      <c r="W14" s="514">
        <f ca="1">IFERROR(INDIRECT($A14&amp;"!D43"),"")</f>
        <v>0</v>
      </c>
      <c r="X14" s="514">
        <f ca="1">IFERROR(INDIRECT($A14&amp;"!E43"),"")</f>
        <v>0</v>
      </c>
      <c r="Y14" s="514">
        <f ca="1">IFERROR(INDIRECT($A14&amp;"!D44"),"")</f>
        <v>33500</v>
      </c>
      <c r="Z14" s="514">
        <f ca="1">IFERROR(INDIRECT($A14&amp;"!E44"),"")</f>
        <v>0</v>
      </c>
      <c r="AA14" s="514">
        <f ca="1">IFERROR(INDIRECT($A14&amp;"!D45"),"")</f>
        <v>104440</v>
      </c>
      <c r="AB14" s="514">
        <f ca="1">IFERROR(INDIRECT($A14&amp;"!E45"),"")</f>
        <v>70788</v>
      </c>
      <c r="AC14" s="514">
        <f ca="1">IFERROR(INDIRECT($A14&amp;"!D46"),"")</f>
        <v>93440</v>
      </c>
      <c r="AD14" s="514">
        <f ca="1">IFERROR(INDIRECT($A14&amp;"!E46"),"")</f>
        <v>35990</v>
      </c>
      <c r="AE14" s="514">
        <f ca="1">IFERROR(INDIRECT($A14&amp;"!D53"),"")</f>
        <v>8</v>
      </c>
      <c r="AF14" s="514">
        <f ca="1">IFERROR(INDIRECT($A14&amp;"!E53"),"")</f>
        <v>24</v>
      </c>
      <c r="AG14" s="514">
        <f ca="1">IFERROR(INDIRECT($A14&amp;"!D55"),"")</f>
        <v>308</v>
      </c>
      <c r="AH14" s="514">
        <f ca="1">IFERROR(INDIRECT($A14&amp;"!E55"),"")</f>
        <v>335</v>
      </c>
      <c r="AI14" s="514">
        <f ca="1">IFERROR(INDIRECT($A14&amp;"!D56"),"")</f>
        <v>40</v>
      </c>
      <c r="AJ14" s="514">
        <f ca="1">IFERROR(INDIRECT($A14&amp;"!E56"),"")</f>
        <v>46</v>
      </c>
      <c r="AK14" s="514">
        <f ca="1">IFERROR(INDIRECT($A14&amp;"!D61"),"")</f>
        <v>948</v>
      </c>
      <c r="AL14" s="514">
        <f ca="1">IFERROR(INDIRECT($A14&amp;"!E61"),"")</f>
        <v>1047</v>
      </c>
      <c r="AM14" s="514">
        <f ca="1">IFERROR(INDIRECT($A14&amp;"!D79"),"")</f>
        <v>20958</v>
      </c>
      <c r="AN14" s="514">
        <f ca="1">IFERROR(INDIRECT($A14&amp;"!E79"),"")</f>
        <v>22975</v>
      </c>
      <c r="AO14" s="519">
        <f t="shared" ca="1" si="38"/>
        <v>0</v>
      </c>
      <c r="AP14" s="519">
        <f ca="1">IFERROR(INDIRECT($A14&amp;"!B155"),"")</f>
        <v>0</v>
      </c>
      <c r="AQ14" s="519">
        <f ca="1">IFERROR(INDIRECT($A14&amp;"!C155"),"")</f>
        <v>70788</v>
      </c>
      <c r="AR14" s="519">
        <f t="shared" ca="1" si="41"/>
        <v>63551</v>
      </c>
      <c r="AS14" s="519">
        <f t="shared" ca="1" si="42"/>
        <v>7237</v>
      </c>
    </row>
    <row r="15" spans="1:45">
      <c r="A15" s="516" t="s">
        <v>422</v>
      </c>
      <c r="B15" s="514" t="str">
        <f t="shared" ca="1" si="0"/>
        <v>JAPAN</v>
      </c>
      <c r="C15" s="519">
        <f t="shared" ca="1" si="1"/>
        <v>2018</v>
      </c>
      <c r="D15" s="514" t="str">
        <f t="shared" ca="1" si="2"/>
        <v>Feb</v>
      </c>
      <c r="E15" s="519">
        <f t="shared" ca="1" si="3"/>
        <v>2</v>
      </c>
      <c r="F15" s="519">
        <f t="shared" ref="F15:F31" ca="1" si="44">IFERROR(INDIRECT($A15&amp;"!D16"),"")</f>
        <v>6</v>
      </c>
      <c r="G15" s="514">
        <f t="shared" ref="G15:G31" ca="1" si="45">IFERROR(INDIRECT($A15&amp;"!D24"),"")</f>
        <v>11136</v>
      </c>
      <c r="H15" s="514">
        <f t="shared" ref="H15:H31" ca="1" si="46">IFERROR(INDIRECT($A15&amp;"!E24"),"")</f>
        <v>12209</v>
      </c>
      <c r="I15" s="514">
        <f t="shared" ref="I15:I31" ca="1" si="47">IFERROR(INDIRECT($A15&amp;"!D27"),"")</f>
        <v>10880</v>
      </c>
      <c r="J15" s="514">
        <f t="shared" ref="J15:J31" ca="1" si="48">IFERROR(INDIRECT($A15&amp;"!E27"),"")</f>
        <v>12053</v>
      </c>
      <c r="K15" s="514">
        <f t="shared" ref="K15:K31" ca="1" si="49">IFERROR(INDIRECT($A15&amp;"!D28"),"")</f>
        <v>22016</v>
      </c>
      <c r="L15" s="514">
        <f t="shared" ref="L15:L31" ca="1" si="50">IFERROR(INDIRECT($A15&amp;"!E28"),"")</f>
        <v>24262</v>
      </c>
      <c r="M15" s="514">
        <f t="shared" ref="M15:M31" ca="1" si="51">IFERROR(INDIRECT($A15&amp;"!D32"),"")</f>
        <v>1000</v>
      </c>
      <c r="N15" s="514">
        <f t="shared" ref="N15:N31" ca="1" si="52">IFERROR(INDIRECT($A15&amp;"!E32"),"")</f>
        <v>2850</v>
      </c>
      <c r="O15" s="514">
        <f t="shared" ref="O15:O31" ca="1" si="53">IFERROR(INDIRECT($A15&amp;"!D33"),"")</f>
        <v>650</v>
      </c>
      <c r="P15" s="514">
        <f t="shared" ref="P15:P31" ca="1" si="54">IFERROR(INDIRECT($A15&amp;"!E33"),"")</f>
        <v>632</v>
      </c>
      <c r="Q15" s="514">
        <f t="shared" ref="Q15:Q31" ca="1" si="55">IFERROR(INDIRECT($A15&amp;"!D37"),"")</f>
        <v>36232</v>
      </c>
      <c r="R15" s="514">
        <f t="shared" ref="R15:R31" ca="1" si="56">IFERROR(INDIRECT($A15&amp;"!E37"),"")</f>
        <v>0</v>
      </c>
      <c r="S15" s="514">
        <f t="shared" ref="S15:S31" ca="1" si="57">IFERROR(INDIRECT($A15&amp;"!D40"),"")</f>
        <v>1100</v>
      </c>
      <c r="T15" s="514">
        <f t="shared" ref="T15:T31" ca="1" si="58">IFERROR(INDIRECT($A15&amp;"!E40"),"")</f>
        <v>0</v>
      </c>
      <c r="U15" s="514">
        <f t="shared" ref="U15:U31" ca="1" si="59">IFERROR(INDIRECT($A15&amp;"!D42"),"")</f>
        <v>11000</v>
      </c>
      <c r="V15" s="514">
        <f t="shared" ref="V15:V31" ca="1" si="60">IFERROR(INDIRECT($A15&amp;"!E42"),"")</f>
        <v>5121</v>
      </c>
      <c r="W15" s="514">
        <f t="shared" ref="W15:W31" ca="1" si="61">IFERROR(INDIRECT($A15&amp;"!D43"),"")</f>
        <v>0</v>
      </c>
      <c r="X15" s="514">
        <f t="shared" ref="X15:X31" ca="1" si="62">IFERROR(INDIRECT($A15&amp;"!E43"),"")</f>
        <v>0</v>
      </c>
      <c r="Y15" s="514">
        <f t="shared" ref="Y15:Y31" ca="1" si="63">IFERROR(INDIRECT($A15&amp;"!D44"),"")</f>
        <v>33500</v>
      </c>
      <c r="Z15" s="514">
        <f t="shared" ref="Z15:Z31" ca="1" si="64">IFERROR(INDIRECT($A15&amp;"!E44"),"")</f>
        <v>99970</v>
      </c>
      <c r="AA15" s="514">
        <f t="shared" ref="AA15:AA31" ca="1" si="65">IFERROR(INDIRECT($A15&amp;"!D45"),"")</f>
        <v>105498</v>
      </c>
      <c r="AB15" s="514">
        <f t="shared" ref="AB15:AB31" ca="1" si="66">IFERROR(INDIRECT($A15&amp;"!E45"),"")</f>
        <v>132835</v>
      </c>
      <c r="AC15" s="514">
        <f t="shared" ref="AC15:AC31" ca="1" si="67">IFERROR(INDIRECT($A15&amp;"!D46"),"")</f>
        <v>94498</v>
      </c>
      <c r="AD15" s="514">
        <f t="shared" ref="AD15:AD31" ca="1" si="68">IFERROR(INDIRECT($A15&amp;"!E46"),"")</f>
        <v>127714</v>
      </c>
      <c r="AE15" s="514">
        <f t="shared" ref="AE15:AE31" ca="1" si="69">IFERROR(INDIRECT($A15&amp;"!D53"),"")</f>
        <v>12</v>
      </c>
      <c r="AF15" s="514">
        <f t="shared" ref="AF15:AF31" ca="1" si="70">IFERROR(INDIRECT($A15&amp;"!E53"),"")</f>
        <v>21</v>
      </c>
      <c r="AG15" s="514">
        <f t="shared" ref="AG15:AG31" ca="1" si="71">IFERROR(INDIRECT($A15&amp;"!D55"),"")</f>
        <v>312</v>
      </c>
      <c r="AH15" s="514">
        <f t="shared" ref="AH15:AH31" ca="1" si="72">IFERROR(INDIRECT($A15&amp;"!E55"),"")</f>
        <v>351</v>
      </c>
      <c r="AI15" s="514">
        <f t="shared" ref="AI15:AI31" ca="1" si="73">IFERROR(INDIRECT($A15&amp;"!D56"),"")</f>
        <v>40</v>
      </c>
      <c r="AJ15" s="514">
        <f t="shared" ref="AJ15:AJ31" ca="1" si="74">IFERROR(INDIRECT($A15&amp;"!E56"),"")</f>
        <v>58</v>
      </c>
      <c r="AK15" s="514">
        <f t="shared" ref="AK15:AK31" ca="1" si="75">IFERROR(INDIRECT($A15&amp;"!D61"),"")</f>
        <v>952</v>
      </c>
      <c r="AL15" s="514">
        <f t="shared" ref="AL15:AL31" ca="1" si="76">IFERROR(INDIRECT($A15&amp;"!E61"),"")</f>
        <v>1113</v>
      </c>
      <c r="AM15" s="514">
        <f t="shared" ref="AM15:AM31" ca="1" si="77">IFERROR(INDIRECT($A15&amp;"!D79"),"")</f>
        <v>22016</v>
      </c>
      <c r="AN15" s="514">
        <f t="shared" ref="AN15:AN31" ca="1" si="78">IFERROR(INDIRECT($A15&amp;"!E79"),"")</f>
        <v>24262</v>
      </c>
      <c r="AO15" s="519">
        <f t="shared" ca="1" si="38"/>
        <v>0</v>
      </c>
      <c r="AP15" s="519">
        <f t="shared" ref="AP15:AP31" ca="1" si="79">IFERROR(INDIRECT($A15&amp;"!B155"),"")</f>
        <v>7237</v>
      </c>
      <c r="AQ15" s="519">
        <f t="shared" ref="AQ15:AQ31" ca="1" si="80">IFERROR(INDIRECT($A15&amp;"!C155"),"")</f>
        <v>32865</v>
      </c>
      <c r="AR15" s="519">
        <f t="shared" ca="1" si="41"/>
        <v>75267</v>
      </c>
      <c r="AS15" s="519">
        <f t="shared" ca="1" si="42"/>
        <v>64805</v>
      </c>
    </row>
    <row r="16" spans="1:45">
      <c r="A16" s="516" t="s">
        <v>419</v>
      </c>
      <c r="B16" s="514" t="str">
        <f t="shared" ca="1" si="0"/>
        <v>JAPAN</v>
      </c>
      <c r="C16" s="519">
        <f t="shared" ca="1" si="1"/>
        <v>2018</v>
      </c>
      <c r="D16" s="514" t="str">
        <f t="shared" ca="1" si="2"/>
        <v>March</v>
      </c>
      <c r="E16" s="519">
        <f t="shared" ca="1" si="3"/>
        <v>2</v>
      </c>
      <c r="F16" s="519">
        <f t="shared" ca="1" si="44"/>
        <v>6</v>
      </c>
      <c r="G16" s="514">
        <f t="shared" ca="1" si="45"/>
        <v>11554</v>
      </c>
      <c r="H16" s="514">
        <f t="shared" ca="1" si="46"/>
        <v>12313</v>
      </c>
      <c r="I16" s="514">
        <f t="shared" ca="1" si="47"/>
        <v>11520</v>
      </c>
      <c r="J16" s="514">
        <f t="shared" ca="1" si="48"/>
        <v>12601</v>
      </c>
      <c r="K16" s="514">
        <f t="shared" ca="1" si="49"/>
        <v>23074</v>
      </c>
      <c r="L16" s="514">
        <f t="shared" ca="1" si="50"/>
        <v>24914</v>
      </c>
      <c r="M16" s="514">
        <f t="shared" ca="1" si="51"/>
        <v>1000</v>
      </c>
      <c r="N16" s="514">
        <f t="shared" ca="1" si="52"/>
        <v>2134</v>
      </c>
      <c r="O16" s="514">
        <f t="shared" ca="1" si="53"/>
        <v>650</v>
      </c>
      <c r="P16" s="514">
        <f t="shared" ca="1" si="54"/>
        <v>1165</v>
      </c>
      <c r="Q16" s="514">
        <f t="shared" ca="1" si="55"/>
        <v>36232</v>
      </c>
      <c r="R16" s="514">
        <f t="shared" ca="1" si="56"/>
        <v>0</v>
      </c>
      <c r="S16" s="514">
        <f t="shared" ca="1" si="57"/>
        <v>1100</v>
      </c>
      <c r="T16" s="514">
        <f t="shared" ca="1" si="58"/>
        <v>0</v>
      </c>
      <c r="U16" s="514">
        <f t="shared" ca="1" si="59"/>
        <v>11000</v>
      </c>
      <c r="V16" s="514">
        <f t="shared" ca="1" si="60"/>
        <v>30744</v>
      </c>
      <c r="W16" s="514">
        <f t="shared" ca="1" si="61"/>
        <v>0</v>
      </c>
      <c r="X16" s="514">
        <f t="shared" ca="1" si="62"/>
        <v>0</v>
      </c>
      <c r="Y16" s="514">
        <f t="shared" ca="1" si="63"/>
        <v>33500</v>
      </c>
      <c r="Z16" s="514">
        <f t="shared" ca="1" si="64"/>
        <v>0</v>
      </c>
      <c r="AA16" s="514">
        <f t="shared" ca="1" si="65"/>
        <v>106556</v>
      </c>
      <c r="AB16" s="514">
        <f t="shared" ca="1" si="66"/>
        <v>58957</v>
      </c>
      <c r="AC16" s="514">
        <f t="shared" ca="1" si="67"/>
        <v>95556</v>
      </c>
      <c r="AD16" s="514">
        <f t="shared" ca="1" si="68"/>
        <v>28213</v>
      </c>
      <c r="AE16" s="514">
        <f t="shared" ca="1" si="69"/>
        <v>12</v>
      </c>
      <c r="AF16" s="514">
        <f t="shared" ca="1" si="70"/>
        <v>7</v>
      </c>
      <c r="AG16" s="514">
        <f t="shared" ca="1" si="71"/>
        <v>312</v>
      </c>
      <c r="AH16" s="514">
        <f t="shared" ca="1" si="72"/>
        <v>354</v>
      </c>
      <c r="AI16" s="514">
        <f t="shared" ca="1" si="73"/>
        <v>40</v>
      </c>
      <c r="AJ16" s="514">
        <f t="shared" ca="1" si="74"/>
        <v>64</v>
      </c>
      <c r="AK16" s="514">
        <f t="shared" ca="1" si="75"/>
        <v>952</v>
      </c>
      <c r="AL16" s="514">
        <f t="shared" ca="1" si="76"/>
        <v>1170</v>
      </c>
      <c r="AM16" s="514">
        <f t="shared" ca="1" si="77"/>
        <v>23074</v>
      </c>
      <c r="AN16" s="514">
        <f t="shared" ca="1" si="78"/>
        <v>24914</v>
      </c>
      <c r="AO16" s="519">
        <f t="shared" ca="1" si="38"/>
        <v>0</v>
      </c>
      <c r="AP16" s="519">
        <f t="shared" ca="1" si="79"/>
        <v>64805</v>
      </c>
      <c r="AQ16" s="519">
        <f t="shared" ca="1" si="80"/>
        <v>58957</v>
      </c>
      <c r="AR16" s="519">
        <f t="shared" ca="1" si="41"/>
        <v>73423</v>
      </c>
      <c r="AS16" s="519">
        <f t="shared" ca="1" si="42"/>
        <v>50339</v>
      </c>
    </row>
    <row r="17" spans="1:45">
      <c r="A17" s="516" t="s">
        <v>420</v>
      </c>
      <c r="B17" s="514" t="str">
        <f t="shared" ca="1" si="0"/>
        <v>JAPAN</v>
      </c>
      <c r="C17" s="519">
        <f t="shared" ca="1" si="1"/>
        <v>2018</v>
      </c>
      <c r="D17" s="514" t="str">
        <f t="shared" ca="1" si="2"/>
        <v>April</v>
      </c>
      <c r="E17" s="519">
        <f t="shared" ca="1" si="3"/>
        <v>2</v>
      </c>
      <c r="F17" s="519">
        <f t="shared" ca="1" si="44"/>
        <v>6</v>
      </c>
      <c r="G17" s="514">
        <f t="shared" ca="1" si="45"/>
        <v>11971</v>
      </c>
      <c r="H17" s="514">
        <f t="shared" ca="1" si="46"/>
        <v>12452</v>
      </c>
      <c r="I17" s="514">
        <f t="shared" ca="1" si="47"/>
        <v>12160</v>
      </c>
      <c r="J17" s="514">
        <f t="shared" ca="1" si="48"/>
        <v>12857</v>
      </c>
      <c r="K17" s="514">
        <f t="shared" ca="1" si="49"/>
        <v>24131</v>
      </c>
      <c r="L17" s="514">
        <f t="shared" ca="1" si="50"/>
        <v>25309</v>
      </c>
      <c r="M17" s="514">
        <f t="shared" ca="1" si="51"/>
        <v>1000</v>
      </c>
      <c r="N17" s="514">
        <f t="shared" ca="1" si="52"/>
        <v>4333</v>
      </c>
      <c r="O17" s="514">
        <f t="shared" ca="1" si="53"/>
        <v>650</v>
      </c>
      <c r="P17" s="514">
        <f t="shared" ca="1" si="54"/>
        <v>1724</v>
      </c>
      <c r="Q17" s="514">
        <f t="shared" ca="1" si="55"/>
        <v>36232</v>
      </c>
      <c r="R17" s="514">
        <f t="shared" ca="1" si="56"/>
        <v>0</v>
      </c>
      <c r="S17" s="514">
        <f t="shared" ca="1" si="57"/>
        <v>1100</v>
      </c>
      <c r="T17" s="514">
        <f t="shared" ca="1" si="58"/>
        <v>0</v>
      </c>
      <c r="U17" s="514">
        <f t="shared" ca="1" si="59"/>
        <v>11500</v>
      </c>
      <c r="V17" s="514">
        <f t="shared" ca="1" si="60"/>
        <v>5047</v>
      </c>
      <c r="W17" s="514">
        <f t="shared" ca="1" si="61"/>
        <v>4000</v>
      </c>
      <c r="X17" s="514">
        <f t="shared" ca="1" si="62"/>
        <v>0</v>
      </c>
      <c r="Y17" s="514">
        <f t="shared" ca="1" si="63"/>
        <v>33500</v>
      </c>
      <c r="Z17" s="514">
        <f t="shared" ca="1" si="64"/>
        <v>0</v>
      </c>
      <c r="AA17" s="514">
        <f t="shared" ca="1" si="65"/>
        <v>112113</v>
      </c>
      <c r="AB17" s="514">
        <f t="shared" ca="1" si="66"/>
        <v>36413</v>
      </c>
      <c r="AC17" s="514">
        <f t="shared" ca="1" si="67"/>
        <v>100613</v>
      </c>
      <c r="AD17" s="514">
        <f t="shared" ca="1" si="68"/>
        <v>31366</v>
      </c>
      <c r="AE17" s="514">
        <f t="shared" ca="1" si="69"/>
        <v>12</v>
      </c>
      <c r="AF17" s="514">
        <f t="shared" ca="1" si="70"/>
        <v>12</v>
      </c>
      <c r="AG17" s="514">
        <f t="shared" ca="1" si="71"/>
        <v>312</v>
      </c>
      <c r="AH17" s="514">
        <f t="shared" ca="1" si="72"/>
        <v>358</v>
      </c>
      <c r="AI17" s="514">
        <f t="shared" ca="1" si="73"/>
        <v>40</v>
      </c>
      <c r="AJ17" s="514">
        <f t="shared" ca="1" si="74"/>
        <v>37</v>
      </c>
      <c r="AK17" s="514">
        <f t="shared" ca="1" si="75"/>
        <v>952</v>
      </c>
      <c r="AL17" s="514">
        <f t="shared" ca="1" si="76"/>
        <v>1198</v>
      </c>
      <c r="AM17" s="514">
        <f t="shared" ca="1" si="77"/>
        <v>24131</v>
      </c>
      <c r="AN17" s="514">
        <f t="shared" ca="1" si="78"/>
        <v>25309</v>
      </c>
      <c r="AO17" s="519">
        <f t="shared" ca="1" si="38"/>
        <v>0</v>
      </c>
      <c r="AP17" s="519">
        <f t="shared" ca="1" si="79"/>
        <v>50339</v>
      </c>
      <c r="AQ17" s="519">
        <f t="shared" ca="1" si="80"/>
        <v>36413</v>
      </c>
      <c r="AR17" s="519">
        <f t="shared" ca="1" si="41"/>
        <v>76039</v>
      </c>
      <c r="AS17" s="519">
        <f t="shared" ca="1" si="42"/>
        <v>10713</v>
      </c>
    </row>
    <row r="18" spans="1:45">
      <c r="A18" s="516" t="s">
        <v>423</v>
      </c>
      <c r="B18" s="514" t="str">
        <f t="shared" ca="1" si="0"/>
        <v>JAPAN</v>
      </c>
      <c r="C18" s="519">
        <f t="shared" ca="1" si="1"/>
        <v>2018</v>
      </c>
      <c r="D18" s="514" t="str">
        <f t="shared" ca="1" si="2"/>
        <v>May</v>
      </c>
      <c r="E18" s="519">
        <f t="shared" ca="1" si="3"/>
        <v>2</v>
      </c>
      <c r="F18" s="519">
        <f t="shared" ca="1" si="44"/>
        <v>7</v>
      </c>
      <c r="G18" s="514">
        <f t="shared" ca="1" si="45"/>
        <v>12388.8</v>
      </c>
      <c r="H18" s="514">
        <f t="shared" ca="1" si="46"/>
        <v>12557</v>
      </c>
      <c r="I18" s="514">
        <f t="shared" ca="1" si="47"/>
        <v>12800</v>
      </c>
      <c r="J18" s="514">
        <f t="shared" ca="1" si="48"/>
        <v>12983</v>
      </c>
      <c r="K18" s="514">
        <f t="shared" ca="1" si="49"/>
        <v>25188.799999999999</v>
      </c>
      <c r="L18" s="514">
        <f t="shared" ca="1" si="50"/>
        <v>25540</v>
      </c>
      <c r="M18" s="514">
        <f t="shared" ca="1" si="51"/>
        <v>1000</v>
      </c>
      <c r="N18" s="514">
        <f t="shared" ca="1" si="52"/>
        <v>5789</v>
      </c>
      <c r="O18" s="514">
        <f t="shared" ca="1" si="53"/>
        <v>650</v>
      </c>
      <c r="P18" s="514">
        <f t="shared" ca="1" si="54"/>
        <v>524</v>
      </c>
      <c r="Q18" s="514">
        <f t="shared" ca="1" si="55"/>
        <v>36232</v>
      </c>
      <c r="R18" s="514">
        <f t="shared" ca="1" si="56"/>
        <v>0</v>
      </c>
      <c r="S18" s="514">
        <f t="shared" ca="1" si="57"/>
        <v>1100</v>
      </c>
      <c r="T18" s="514">
        <f t="shared" ca="1" si="58"/>
        <v>0</v>
      </c>
      <c r="U18" s="514">
        <f t="shared" ca="1" si="59"/>
        <v>11500</v>
      </c>
      <c r="V18" s="514">
        <f t="shared" ca="1" si="60"/>
        <v>17146</v>
      </c>
      <c r="W18" s="514">
        <f t="shared" ca="1" si="61"/>
        <v>8000</v>
      </c>
      <c r="X18" s="514">
        <f t="shared" ca="1" si="62"/>
        <v>0</v>
      </c>
      <c r="Y18" s="514">
        <f t="shared" ca="1" si="63"/>
        <v>33500</v>
      </c>
      <c r="Z18" s="514">
        <f t="shared" ca="1" si="64"/>
        <v>100000</v>
      </c>
      <c r="AA18" s="514">
        <f t="shared" ca="1" si="65"/>
        <v>117170.8</v>
      </c>
      <c r="AB18" s="514">
        <f t="shared" ca="1" si="66"/>
        <v>148999</v>
      </c>
      <c r="AC18" s="514">
        <f t="shared" ca="1" si="67"/>
        <v>105670.8</v>
      </c>
      <c r="AD18" s="514">
        <f t="shared" ca="1" si="68"/>
        <v>131853</v>
      </c>
      <c r="AE18" s="514">
        <f t="shared" ca="1" si="69"/>
        <v>12</v>
      </c>
      <c r="AF18" s="514">
        <f t="shared" ca="1" si="70"/>
        <v>7</v>
      </c>
      <c r="AG18" s="514">
        <f t="shared" ca="1" si="71"/>
        <v>312</v>
      </c>
      <c r="AH18" s="514">
        <f t="shared" ca="1" si="72"/>
        <v>361</v>
      </c>
      <c r="AI18" s="514">
        <f t="shared" ca="1" si="73"/>
        <v>40</v>
      </c>
      <c r="AJ18" s="514">
        <f t="shared" ca="1" si="74"/>
        <v>22</v>
      </c>
      <c r="AK18" s="514">
        <f t="shared" ca="1" si="75"/>
        <v>952</v>
      </c>
      <c r="AL18" s="514">
        <f t="shared" ca="1" si="76"/>
        <v>1209</v>
      </c>
      <c r="AM18" s="514">
        <f t="shared" ca="1" si="77"/>
        <v>25188.799999999999</v>
      </c>
      <c r="AN18" s="514">
        <f t="shared" ca="1" si="78"/>
        <v>25540</v>
      </c>
      <c r="AO18" s="519">
        <f t="shared" ca="1" si="38"/>
        <v>0</v>
      </c>
      <c r="AP18" s="519">
        <f t="shared" ca="1" si="79"/>
        <v>10713</v>
      </c>
      <c r="AQ18" s="519">
        <f t="shared" ca="1" si="80"/>
        <v>48999</v>
      </c>
      <c r="AR18" s="519">
        <f t="shared" ca="1" si="41"/>
        <v>78719</v>
      </c>
      <c r="AS18" s="519">
        <f t="shared" ca="1" si="42"/>
        <v>80993</v>
      </c>
    </row>
    <row r="19" spans="1:45">
      <c r="A19" s="516" t="s">
        <v>424</v>
      </c>
      <c r="B19" s="514" t="str">
        <f t="shared" ca="1" si="0"/>
        <v>JAPAN</v>
      </c>
      <c r="C19" s="519">
        <f t="shared" ca="1" si="1"/>
        <v>2018</v>
      </c>
      <c r="D19" s="514" t="str">
        <f t="shared" ca="1" si="2"/>
        <v>June</v>
      </c>
      <c r="E19" s="519">
        <f t="shared" ca="1" si="3"/>
        <v>2</v>
      </c>
      <c r="F19" s="519">
        <f t="shared" ca="1" si="44"/>
        <v>8</v>
      </c>
      <c r="G19" s="514">
        <f t="shared" ca="1" si="45"/>
        <v>12806.4</v>
      </c>
      <c r="H19" s="514">
        <f t="shared" ca="1" si="46"/>
        <v>12487</v>
      </c>
      <c r="I19" s="514">
        <f t="shared" ca="1" si="47"/>
        <v>13440</v>
      </c>
      <c r="J19" s="514">
        <f t="shared" ca="1" si="48"/>
        <v>13083</v>
      </c>
      <c r="K19" s="514">
        <f t="shared" ca="1" si="49"/>
        <v>26246.400000000001</v>
      </c>
      <c r="L19" s="514">
        <f t="shared" ca="1" si="50"/>
        <v>25570</v>
      </c>
      <c r="M19" s="514">
        <f t="shared" ca="1" si="51"/>
        <v>1000</v>
      </c>
      <c r="N19" s="514">
        <f t="shared" ca="1" si="52"/>
        <v>4044</v>
      </c>
      <c r="O19" s="514">
        <f t="shared" ca="1" si="53"/>
        <v>650</v>
      </c>
      <c r="P19" s="514">
        <f t="shared" ca="1" si="54"/>
        <v>35</v>
      </c>
      <c r="Q19" s="514">
        <f t="shared" ca="1" si="55"/>
        <v>36232</v>
      </c>
      <c r="R19" s="514">
        <f t="shared" ca="1" si="56"/>
        <v>0</v>
      </c>
      <c r="S19" s="514">
        <f t="shared" ca="1" si="57"/>
        <v>1100</v>
      </c>
      <c r="T19" s="514">
        <f t="shared" ca="1" si="58"/>
        <v>0</v>
      </c>
      <c r="U19" s="514">
        <f t="shared" ca="1" si="59"/>
        <v>11500</v>
      </c>
      <c r="V19" s="514">
        <f t="shared" ca="1" si="60"/>
        <v>5850</v>
      </c>
      <c r="W19" s="514">
        <f t="shared" ca="1" si="61"/>
        <v>12000</v>
      </c>
      <c r="X19" s="514">
        <f t="shared" ca="1" si="62"/>
        <v>0</v>
      </c>
      <c r="Y19" s="514">
        <f t="shared" ca="1" si="63"/>
        <v>33500</v>
      </c>
      <c r="Z19" s="514">
        <f t="shared" ca="1" si="64"/>
        <v>0</v>
      </c>
      <c r="AA19" s="514">
        <f t="shared" ca="1" si="65"/>
        <v>122228.4</v>
      </c>
      <c r="AB19" s="514">
        <f t="shared" ca="1" si="66"/>
        <v>35499</v>
      </c>
      <c r="AC19" s="514">
        <f t="shared" ca="1" si="67"/>
        <v>110728.4</v>
      </c>
      <c r="AD19" s="514">
        <f t="shared" ca="1" si="68"/>
        <v>29649</v>
      </c>
      <c r="AE19" s="514">
        <f t="shared" ca="1" si="69"/>
        <v>12</v>
      </c>
      <c r="AF19" s="514">
        <f t="shared" ca="1" si="70"/>
        <v>3</v>
      </c>
      <c r="AG19" s="514">
        <f t="shared" ca="1" si="71"/>
        <v>312</v>
      </c>
      <c r="AH19" s="514">
        <f t="shared" ca="1" si="72"/>
        <v>359</v>
      </c>
      <c r="AI19" s="514">
        <f t="shared" ca="1" si="73"/>
        <v>40</v>
      </c>
      <c r="AJ19" s="514">
        <f t="shared" ca="1" si="74"/>
        <v>18</v>
      </c>
      <c r="AK19" s="514">
        <f t="shared" ca="1" si="75"/>
        <v>952</v>
      </c>
      <c r="AL19" s="514">
        <f t="shared" ca="1" si="76"/>
        <v>1214</v>
      </c>
      <c r="AM19" s="514">
        <f t="shared" ca="1" si="77"/>
        <v>26246.400000000001</v>
      </c>
      <c r="AN19" s="514">
        <f t="shared" ca="1" si="78"/>
        <v>25570</v>
      </c>
      <c r="AO19" s="519">
        <f t="shared" ca="1" si="38"/>
        <v>0</v>
      </c>
      <c r="AP19" s="519">
        <f t="shared" ca="1" si="79"/>
        <v>80993</v>
      </c>
      <c r="AQ19" s="519">
        <f t="shared" ca="1" si="80"/>
        <v>35499</v>
      </c>
      <c r="AR19" s="519">
        <f t="shared" ca="1" si="41"/>
        <v>81072</v>
      </c>
      <c r="AS19" s="519">
        <f t="shared" ca="1" si="42"/>
        <v>35420</v>
      </c>
    </row>
    <row r="20" spans="1:45">
      <c r="A20" s="516" t="s">
        <v>425</v>
      </c>
      <c r="B20" s="514" t="str">
        <f t="shared" ca="1" si="0"/>
        <v>JAPAN</v>
      </c>
      <c r="C20" s="519">
        <f t="shared" ca="1" si="1"/>
        <v>2018</v>
      </c>
      <c r="D20" s="514" t="str">
        <f t="shared" ca="1" si="2"/>
        <v>July</v>
      </c>
      <c r="E20" s="519">
        <f t="shared" ca="1" si="3"/>
        <v>2</v>
      </c>
      <c r="F20" s="519">
        <f t="shared" ca="1" si="44"/>
        <v>11</v>
      </c>
      <c r="G20" s="514">
        <f t="shared" ca="1" si="45"/>
        <v>13224</v>
      </c>
      <c r="H20" s="514">
        <f t="shared" ca="1" si="46"/>
        <v>12417</v>
      </c>
      <c r="I20" s="514">
        <f t="shared" ca="1" si="47"/>
        <v>14080</v>
      </c>
      <c r="J20" s="514">
        <f t="shared" ca="1" si="48"/>
        <v>13114</v>
      </c>
      <c r="K20" s="514">
        <f t="shared" ca="1" si="49"/>
        <v>27304</v>
      </c>
      <c r="L20" s="514">
        <f t="shared" ca="1" si="50"/>
        <v>25531</v>
      </c>
      <c r="M20" s="514">
        <f t="shared" ca="1" si="51"/>
        <v>1000</v>
      </c>
      <c r="N20" s="514">
        <f t="shared" ca="1" si="52"/>
        <v>6994</v>
      </c>
      <c r="O20" s="514">
        <f t="shared" ca="1" si="53"/>
        <v>650</v>
      </c>
      <c r="P20" s="514">
        <f t="shared" ca="1" si="54"/>
        <v>244</v>
      </c>
      <c r="Q20" s="514">
        <f t="shared" ca="1" si="55"/>
        <v>36232</v>
      </c>
      <c r="R20" s="514">
        <f t="shared" ca="1" si="56"/>
        <v>40435</v>
      </c>
      <c r="S20" s="514">
        <f t="shared" ca="1" si="57"/>
        <v>1100</v>
      </c>
      <c r="T20" s="514">
        <f t="shared" ca="1" si="58"/>
        <v>0</v>
      </c>
      <c r="U20" s="514">
        <f t="shared" ca="1" si="59"/>
        <v>12000</v>
      </c>
      <c r="V20" s="514">
        <f t="shared" ca="1" si="60"/>
        <v>26227</v>
      </c>
      <c r="W20" s="514">
        <f t="shared" ca="1" si="61"/>
        <v>6000</v>
      </c>
      <c r="X20" s="514">
        <f t="shared" ca="1" si="62"/>
        <v>870</v>
      </c>
      <c r="Y20" s="514">
        <f t="shared" ca="1" si="63"/>
        <v>33500</v>
      </c>
      <c r="Z20" s="514">
        <f t="shared" ca="1" si="64"/>
        <v>100000</v>
      </c>
      <c r="AA20" s="514">
        <f t="shared" ca="1" si="65"/>
        <v>117786</v>
      </c>
      <c r="AB20" s="514">
        <f t="shared" ca="1" si="66"/>
        <v>200301</v>
      </c>
      <c r="AC20" s="514">
        <f t="shared" ca="1" si="67"/>
        <v>105786</v>
      </c>
      <c r="AD20" s="514">
        <f t="shared" ca="1" si="68"/>
        <v>174074</v>
      </c>
      <c r="AE20" s="514">
        <f t="shared" ca="1" si="69"/>
        <v>12</v>
      </c>
      <c r="AF20" s="514">
        <f t="shared" ca="1" si="70"/>
        <v>2</v>
      </c>
      <c r="AG20" s="514">
        <f t="shared" ca="1" si="71"/>
        <v>312</v>
      </c>
      <c r="AH20" s="514">
        <f t="shared" ca="1" si="72"/>
        <v>357</v>
      </c>
      <c r="AI20" s="514">
        <f t="shared" ca="1" si="73"/>
        <v>40</v>
      </c>
      <c r="AJ20" s="514">
        <f t="shared" ca="1" si="74"/>
        <v>17</v>
      </c>
      <c r="AK20" s="514">
        <f t="shared" ca="1" si="75"/>
        <v>952</v>
      </c>
      <c r="AL20" s="514">
        <f t="shared" ca="1" si="76"/>
        <v>1217</v>
      </c>
      <c r="AM20" s="514">
        <f t="shared" ca="1" si="77"/>
        <v>27304</v>
      </c>
      <c r="AN20" s="514">
        <f t="shared" ca="1" si="78"/>
        <v>25531</v>
      </c>
      <c r="AO20" s="519">
        <f t="shared" ca="1" si="38"/>
        <v>0</v>
      </c>
      <c r="AP20" s="519">
        <f t="shared" ca="1" si="79"/>
        <v>35420</v>
      </c>
      <c r="AQ20" s="519">
        <f t="shared" ca="1" si="80"/>
        <v>100301</v>
      </c>
      <c r="AR20" s="519">
        <f t="shared" ca="1" si="41"/>
        <v>121072</v>
      </c>
      <c r="AS20" s="519">
        <f t="shared" ca="1" si="42"/>
        <v>114649</v>
      </c>
    </row>
    <row r="21" spans="1:45">
      <c r="A21" s="516" t="s">
        <v>435</v>
      </c>
      <c r="B21" s="514" t="str">
        <f t="shared" ca="1" si="0"/>
        <v>JAPAN</v>
      </c>
      <c r="C21" s="519">
        <f t="shared" ca="1" si="1"/>
        <v>2018</v>
      </c>
      <c r="D21" s="514" t="str">
        <f t="shared" ca="1" si="2"/>
        <v>Aug</v>
      </c>
      <c r="E21" s="519">
        <f t="shared" ca="1" si="3"/>
        <v>2</v>
      </c>
      <c r="F21" s="519">
        <f t="shared" ca="1" si="44"/>
        <v>12</v>
      </c>
      <c r="G21" s="514">
        <f t="shared" ca="1" si="45"/>
        <v>13641.599999999999</v>
      </c>
      <c r="H21" s="514">
        <f t="shared" ca="1" si="46"/>
        <v>13322</v>
      </c>
      <c r="I21" s="514">
        <f t="shared" ca="1" si="47"/>
        <v>14720</v>
      </c>
      <c r="J21" s="514">
        <f t="shared" ca="1" si="48"/>
        <v>14410</v>
      </c>
      <c r="K21" s="514">
        <f t="shared" ca="1" si="49"/>
        <v>28361.599999999999</v>
      </c>
      <c r="L21" s="514">
        <f t="shared" ca="1" si="50"/>
        <v>27732</v>
      </c>
      <c r="M21" s="514">
        <f t="shared" ca="1" si="51"/>
        <v>1000</v>
      </c>
      <c r="N21" s="514">
        <f t="shared" ca="1" si="52"/>
        <v>7491</v>
      </c>
      <c r="O21" s="514">
        <f t="shared" ca="1" si="53"/>
        <v>650</v>
      </c>
      <c r="P21" s="514">
        <f t="shared" ca="1" si="54"/>
        <v>566</v>
      </c>
      <c r="Q21" s="514">
        <f t="shared" ca="1" si="55"/>
        <v>36232</v>
      </c>
      <c r="R21" s="514">
        <f t="shared" ca="1" si="56"/>
        <v>129700</v>
      </c>
      <c r="S21" s="514">
        <f t="shared" ca="1" si="57"/>
        <v>1100</v>
      </c>
      <c r="T21" s="514">
        <f t="shared" ca="1" si="58"/>
        <v>0</v>
      </c>
      <c r="U21" s="514">
        <f t="shared" ca="1" si="59"/>
        <v>12000</v>
      </c>
      <c r="V21" s="514">
        <f t="shared" ca="1" si="60"/>
        <v>16866</v>
      </c>
      <c r="W21" s="514">
        <f t="shared" ca="1" si="61"/>
        <v>6000</v>
      </c>
      <c r="X21" s="514">
        <f t="shared" ca="1" si="62"/>
        <v>0</v>
      </c>
      <c r="Y21" s="514">
        <f t="shared" ca="1" si="63"/>
        <v>33500</v>
      </c>
      <c r="Z21" s="514">
        <f t="shared" ca="1" si="64"/>
        <v>0</v>
      </c>
      <c r="AA21" s="514">
        <f t="shared" ca="1" si="65"/>
        <v>118843.6</v>
      </c>
      <c r="AB21" s="514">
        <f t="shared" ca="1" si="66"/>
        <v>182355</v>
      </c>
      <c r="AC21" s="514">
        <f t="shared" ca="1" si="67"/>
        <v>106843.6</v>
      </c>
      <c r="AD21" s="514">
        <f t="shared" ca="1" si="68"/>
        <v>165489</v>
      </c>
      <c r="AE21" s="514">
        <f t="shared" ca="1" si="69"/>
        <v>12</v>
      </c>
      <c r="AF21" s="514">
        <f t="shared" ca="1" si="70"/>
        <v>30</v>
      </c>
      <c r="AG21" s="514">
        <f t="shared" ca="1" si="71"/>
        <v>312</v>
      </c>
      <c r="AH21" s="514">
        <f t="shared" ca="1" si="72"/>
        <v>383</v>
      </c>
      <c r="AI21" s="514">
        <f t="shared" ca="1" si="73"/>
        <v>40</v>
      </c>
      <c r="AJ21" s="514">
        <f t="shared" ca="1" si="74"/>
        <v>120</v>
      </c>
      <c r="AK21" s="514">
        <f t="shared" ca="1" si="75"/>
        <v>952</v>
      </c>
      <c r="AL21" s="514">
        <f t="shared" ca="1" si="76"/>
        <v>1347</v>
      </c>
      <c r="AM21" s="514">
        <f t="shared" ca="1" si="77"/>
        <v>28361.599999999999</v>
      </c>
      <c r="AN21" s="514">
        <f t="shared" ca="1" si="78"/>
        <v>27732</v>
      </c>
      <c r="AO21" s="519">
        <f t="shared" ca="1" si="38"/>
        <v>0</v>
      </c>
      <c r="AP21" s="519">
        <f t="shared" ca="1" si="79"/>
        <v>114649</v>
      </c>
      <c r="AQ21" s="519">
        <f t="shared" ca="1" si="80"/>
        <v>182355</v>
      </c>
      <c r="AR21" s="519">
        <f t="shared" ca="1" si="41"/>
        <v>210337</v>
      </c>
      <c r="AS21" s="519">
        <f t="shared" ca="1" si="42"/>
        <v>86667</v>
      </c>
    </row>
    <row r="22" spans="1:45">
      <c r="A22" s="516" t="s">
        <v>426</v>
      </c>
      <c r="B22" s="514" t="str">
        <f t="shared" ca="1" si="0"/>
        <v>JAPAN</v>
      </c>
      <c r="C22" s="519">
        <f t="shared" ca="1" si="1"/>
        <v>2018</v>
      </c>
      <c r="D22" s="514" t="str">
        <f t="shared" ca="1" si="2"/>
        <v>Oct</v>
      </c>
      <c r="E22" s="519">
        <f t="shared" ca="1" si="3"/>
        <v>2</v>
      </c>
      <c r="F22" s="519">
        <f t="shared" ca="1" si="44"/>
        <v>14</v>
      </c>
      <c r="G22" s="514">
        <f t="shared" ca="1" si="45"/>
        <v>14059.199999999999</v>
      </c>
      <c r="H22" s="514">
        <f t="shared" ca="1" si="46"/>
        <v>13948</v>
      </c>
      <c r="I22" s="514">
        <f t="shared" ca="1" si="47"/>
        <v>15360</v>
      </c>
      <c r="J22" s="514">
        <f t="shared" ca="1" si="48"/>
        <v>15210</v>
      </c>
      <c r="K22" s="514">
        <f t="shared" ca="1" si="49"/>
        <v>29419.199999999997</v>
      </c>
      <c r="L22" s="514">
        <f t="shared" ca="1" si="50"/>
        <v>29158</v>
      </c>
      <c r="M22" s="514">
        <f t="shared" ca="1" si="51"/>
        <v>1000</v>
      </c>
      <c r="N22" s="514">
        <f t="shared" ca="1" si="52"/>
        <v>21650</v>
      </c>
      <c r="O22" s="514">
        <f t="shared" ca="1" si="53"/>
        <v>650</v>
      </c>
      <c r="P22" s="514">
        <f t="shared" ca="1" si="54"/>
        <v>9</v>
      </c>
      <c r="Q22" s="514">
        <f t="shared" ca="1" si="55"/>
        <v>36232</v>
      </c>
      <c r="R22" s="514">
        <f t="shared" ca="1" si="56"/>
        <v>108397</v>
      </c>
      <c r="S22" s="514">
        <f t="shared" ca="1" si="57"/>
        <v>1100</v>
      </c>
      <c r="T22" s="514">
        <f t="shared" ca="1" si="58"/>
        <v>0</v>
      </c>
      <c r="U22" s="514">
        <f t="shared" ca="1" si="59"/>
        <v>12000</v>
      </c>
      <c r="V22" s="514">
        <f t="shared" ca="1" si="60"/>
        <v>4569</v>
      </c>
      <c r="W22" s="514">
        <f t="shared" ca="1" si="61"/>
        <v>6000</v>
      </c>
      <c r="X22" s="514">
        <f t="shared" ca="1" si="62"/>
        <v>0</v>
      </c>
      <c r="Y22" s="514">
        <f t="shared" ca="1" si="63"/>
        <v>33500</v>
      </c>
      <c r="Z22" s="514">
        <f t="shared" ca="1" si="64"/>
        <v>0</v>
      </c>
      <c r="AA22" s="514">
        <f t="shared" ca="1" si="65"/>
        <v>119901.2</v>
      </c>
      <c r="AB22" s="514">
        <f t="shared" ca="1" si="66"/>
        <v>163783</v>
      </c>
      <c r="AC22" s="514">
        <f t="shared" ca="1" si="67"/>
        <v>107901.2</v>
      </c>
      <c r="AD22" s="514">
        <f t="shared" ca="1" si="68"/>
        <v>159214</v>
      </c>
      <c r="AE22" s="514">
        <f t="shared" ca="1" si="69"/>
        <v>12</v>
      </c>
      <c r="AF22" s="514">
        <f t="shared" ca="1" si="70"/>
        <v>21</v>
      </c>
      <c r="AG22" s="514">
        <f t="shared" ca="1" si="71"/>
        <v>312</v>
      </c>
      <c r="AH22" s="514">
        <f t="shared" ca="1" si="72"/>
        <v>401</v>
      </c>
      <c r="AI22" s="514">
        <f t="shared" ca="1" si="73"/>
        <v>40</v>
      </c>
      <c r="AJ22" s="514">
        <f t="shared" ca="1" si="74"/>
        <v>63</v>
      </c>
      <c r="AK22" s="514">
        <f t="shared" ca="1" si="75"/>
        <v>952</v>
      </c>
      <c r="AL22" s="514">
        <f t="shared" ca="1" si="76"/>
        <v>1418</v>
      </c>
      <c r="AM22" s="514">
        <f t="shared" ca="1" si="77"/>
        <v>29419.199999999997</v>
      </c>
      <c r="AN22" s="514">
        <f t="shared" ca="1" si="78"/>
        <v>29158</v>
      </c>
      <c r="AO22" s="519">
        <f t="shared" ca="1" si="38"/>
        <v>0</v>
      </c>
      <c r="AP22" s="519">
        <f t="shared" ca="1" si="79"/>
        <v>86667</v>
      </c>
      <c r="AQ22" s="519">
        <f t="shared" ca="1" si="80"/>
        <v>163783</v>
      </c>
      <c r="AR22" s="519">
        <f t="shared" ca="1" si="41"/>
        <v>222818</v>
      </c>
      <c r="AS22" s="519">
        <f t="shared" ca="1" si="42"/>
        <v>27632</v>
      </c>
    </row>
    <row r="23" spans="1:45">
      <c r="A23" s="516" t="s">
        <v>427</v>
      </c>
      <c r="B23" s="514" t="str">
        <f t="shared" ca="1" si="0"/>
        <v>JAPAN</v>
      </c>
      <c r="C23" s="519">
        <f t="shared" ca="1" si="1"/>
        <v>2018</v>
      </c>
      <c r="D23" s="514" t="str">
        <f t="shared" ca="1" si="2"/>
        <v>Oct</v>
      </c>
      <c r="E23" s="519">
        <f t="shared" ca="1" si="3"/>
        <v>1</v>
      </c>
      <c r="F23" s="519">
        <f t="shared" ca="1" si="44"/>
        <v>13</v>
      </c>
      <c r="G23" s="514">
        <f t="shared" ca="1" si="45"/>
        <v>14476.8</v>
      </c>
      <c r="H23" s="514">
        <f t="shared" ca="1" si="46"/>
        <v>14713</v>
      </c>
      <c r="I23" s="514">
        <f t="shared" ca="1" si="47"/>
        <v>16000</v>
      </c>
      <c r="J23" s="514">
        <f t="shared" ca="1" si="48"/>
        <v>15879</v>
      </c>
      <c r="K23" s="514">
        <f t="shared" ca="1" si="49"/>
        <v>30476.799999999999</v>
      </c>
      <c r="L23" s="514">
        <f t="shared" ca="1" si="50"/>
        <v>30592</v>
      </c>
      <c r="M23" s="514">
        <f t="shared" ca="1" si="51"/>
        <v>1000</v>
      </c>
      <c r="N23" s="514">
        <f t="shared" ca="1" si="52"/>
        <v>7011</v>
      </c>
      <c r="O23" s="514">
        <f t="shared" ca="1" si="53"/>
        <v>650</v>
      </c>
      <c r="P23" s="514">
        <f t="shared" ca="1" si="54"/>
        <v>749</v>
      </c>
      <c r="Q23" s="514">
        <f t="shared" ca="1" si="55"/>
        <v>36232</v>
      </c>
      <c r="R23" s="514">
        <f t="shared" ca="1" si="56"/>
        <v>173269</v>
      </c>
      <c r="S23" s="514">
        <f t="shared" ca="1" si="57"/>
        <v>1100</v>
      </c>
      <c r="T23" s="514">
        <f t="shared" ca="1" si="58"/>
        <v>0</v>
      </c>
      <c r="U23" s="514">
        <f t="shared" ca="1" si="59"/>
        <v>12500</v>
      </c>
      <c r="V23" s="514">
        <f t="shared" ca="1" si="60"/>
        <v>14195</v>
      </c>
      <c r="W23" s="514">
        <f t="shared" ca="1" si="61"/>
        <v>12000</v>
      </c>
      <c r="X23" s="514">
        <f t="shared" ca="1" si="62"/>
        <v>1220</v>
      </c>
      <c r="Y23" s="514">
        <f t="shared" ca="1" si="63"/>
        <v>33500</v>
      </c>
      <c r="Z23" s="514">
        <f t="shared" ca="1" si="64"/>
        <v>100000</v>
      </c>
      <c r="AA23" s="514">
        <f t="shared" ca="1" si="65"/>
        <v>127458.8</v>
      </c>
      <c r="AB23" s="514">
        <f t="shared" ca="1" si="66"/>
        <v>327036</v>
      </c>
      <c r="AC23" s="514">
        <f t="shared" ca="1" si="67"/>
        <v>114958.8</v>
      </c>
      <c r="AD23" s="514">
        <f t="shared" ca="1" si="68"/>
        <v>312841</v>
      </c>
      <c r="AE23" s="514">
        <f t="shared" ca="1" si="69"/>
        <v>12</v>
      </c>
      <c r="AF23" s="514">
        <f t="shared" ca="1" si="70"/>
        <v>27</v>
      </c>
      <c r="AG23" s="514">
        <f t="shared" ca="1" si="71"/>
        <v>312</v>
      </c>
      <c r="AH23" s="514">
        <f t="shared" ca="1" si="72"/>
        <v>423</v>
      </c>
      <c r="AI23" s="514">
        <f t="shared" ca="1" si="73"/>
        <v>40</v>
      </c>
      <c r="AJ23" s="514">
        <f t="shared" ca="1" si="74"/>
        <v>69</v>
      </c>
      <c r="AK23" s="514">
        <f t="shared" ca="1" si="75"/>
        <v>952</v>
      </c>
      <c r="AL23" s="514">
        <f t="shared" ca="1" si="76"/>
        <v>1493</v>
      </c>
      <c r="AM23" s="514">
        <f t="shared" ca="1" si="77"/>
        <v>30476.799999999999</v>
      </c>
      <c r="AN23" s="514">
        <f t="shared" ca="1" si="78"/>
        <v>30592</v>
      </c>
      <c r="AO23" s="519">
        <f t="shared" ca="1" si="38"/>
        <v>0</v>
      </c>
      <c r="AP23" s="519">
        <f t="shared" ca="1" si="79"/>
        <v>27632</v>
      </c>
      <c r="AQ23" s="519">
        <f t="shared" ca="1" si="80"/>
        <v>227036</v>
      </c>
      <c r="AR23" s="519">
        <f t="shared" ca="1" si="41"/>
        <v>337690</v>
      </c>
      <c r="AS23" s="519">
        <f t="shared" ca="1" si="42"/>
        <v>16978</v>
      </c>
    </row>
    <row r="24" spans="1:45">
      <c r="A24" s="516" t="s">
        <v>428</v>
      </c>
      <c r="B24" s="514" t="str">
        <f t="shared" ca="1" si="0"/>
        <v>JAPAN</v>
      </c>
      <c r="C24" s="519">
        <f t="shared" ca="1" si="1"/>
        <v>2018</v>
      </c>
      <c r="D24" s="514" t="str">
        <f t="shared" ca="1" si="2"/>
        <v>Nov</v>
      </c>
      <c r="E24" s="519">
        <f t="shared" ca="1" si="3"/>
        <v>1</v>
      </c>
      <c r="F24" s="519">
        <f t="shared" ca="1" si="44"/>
        <v>10</v>
      </c>
      <c r="G24" s="514">
        <f t="shared" ca="1" si="45"/>
        <v>14894.4</v>
      </c>
      <c r="H24" s="514">
        <f t="shared" ca="1" si="46"/>
        <v>15235</v>
      </c>
      <c r="I24" s="514">
        <f t="shared" ca="1" si="47"/>
        <v>16640</v>
      </c>
      <c r="J24" s="514">
        <f t="shared" ca="1" si="48"/>
        <v>16575</v>
      </c>
      <c r="K24" s="514">
        <f t="shared" ca="1" si="49"/>
        <v>31534.400000000001</v>
      </c>
      <c r="L24" s="514">
        <f t="shared" ca="1" si="50"/>
        <v>31810</v>
      </c>
      <c r="M24" s="514">
        <f t="shared" ca="1" si="51"/>
        <v>1000</v>
      </c>
      <c r="N24" s="514">
        <f t="shared" ca="1" si="52"/>
        <v>9478</v>
      </c>
      <c r="O24" s="514">
        <f t="shared" ca="1" si="53"/>
        <v>650</v>
      </c>
      <c r="P24" s="514">
        <f t="shared" ca="1" si="54"/>
        <v>452</v>
      </c>
      <c r="Q24" s="514">
        <f t="shared" ca="1" si="55"/>
        <v>36232</v>
      </c>
      <c r="R24" s="514">
        <f t="shared" ca="1" si="56"/>
        <v>0</v>
      </c>
      <c r="S24" s="514">
        <f t="shared" ca="1" si="57"/>
        <v>1100</v>
      </c>
      <c r="T24" s="514">
        <f t="shared" ca="1" si="58"/>
        <v>0</v>
      </c>
      <c r="U24" s="514">
        <f t="shared" ca="1" si="59"/>
        <v>12500</v>
      </c>
      <c r="V24" s="514">
        <f t="shared" ca="1" si="60"/>
        <v>15832</v>
      </c>
      <c r="W24" s="514">
        <f t="shared" ca="1" si="61"/>
        <v>16000</v>
      </c>
      <c r="X24" s="514">
        <f t="shared" ca="1" si="62"/>
        <v>321</v>
      </c>
      <c r="Y24" s="514">
        <f t="shared" ca="1" si="63"/>
        <v>33500</v>
      </c>
      <c r="Z24" s="514">
        <f t="shared" ca="1" si="64"/>
        <v>0</v>
      </c>
      <c r="AA24" s="514">
        <f t="shared" ca="1" si="65"/>
        <v>132516.4</v>
      </c>
      <c r="AB24" s="514">
        <f t="shared" ca="1" si="66"/>
        <v>57893</v>
      </c>
      <c r="AC24" s="514">
        <f t="shared" ca="1" si="67"/>
        <v>120016.4</v>
      </c>
      <c r="AD24" s="514">
        <f t="shared" ca="1" si="68"/>
        <v>42061</v>
      </c>
      <c r="AE24" s="514">
        <f t="shared" ca="1" si="69"/>
        <v>12</v>
      </c>
      <c r="AF24" s="514">
        <f t="shared" ca="1" si="70"/>
        <v>37</v>
      </c>
      <c r="AG24" s="514">
        <f t="shared" ca="1" si="71"/>
        <v>312</v>
      </c>
      <c r="AH24" s="514">
        <f t="shared" ca="1" si="72"/>
        <v>438</v>
      </c>
      <c r="AI24" s="514">
        <f t="shared" ca="1" si="73"/>
        <v>40</v>
      </c>
      <c r="AJ24" s="514">
        <f t="shared" ca="1" si="74"/>
        <v>66</v>
      </c>
      <c r="AK24" s="514">
        <f t="shared" ca="1" si="75"/>
        <v>952</v>
      </c>
      <c r="AL24" s="514">
        <f t="shared" ca="1" si="76"/>
        <v>1561</v>
      </c>
      <c r="AM24" s="514">
        <f t="shared" ca="1" si="77"/>
        <v>31534.400000000001</v>
      </c>
      <c r="AN24" s="514">
        <f t="shared" ca="1" si="78"/>
        <v>31810</v>
      </c>
      <c r="AO24" s="519">
        <f t="shared" ca="1" si="38"/>
        <v>0</v>
      </c>
      <c r="AP24" s="519">
        <f t="shared" ca="1" si="79"/>
        <v>16978</v>
      </c>
      <c r="AQ24" s="519">
        <f t="shared" ca="1" si="80"/>
        <v>57893</v>
      </c>
      <c r="AR24" s="519">
        <f t="shared" ca="1" si="41"/>
        <v>72452</v>
      </c>
      <c r="AS24" s="519">
        <f t="shared" ca="1" si="42"/>
        <v>2419</v>
      </c>
    </row>
    <row r="25" spans="1:45">
      <c r="A25" s="516" t="s">
        <v>429</v>
      </c>
      <c r="B25" s="514" t="str">
        <f t="shared" ca="1" si="0"/>
        <v>JAPAN</v>
      </c>
      <c r="C25" s="519">
        <f t="shared" ca="1" si="1"/>
        <v>2018</v>
      </c>
      <c r="D25" s="514" t="str">
        <f t="shared" ca="1" si="2"/>
        <v>Dec</v>
      </c>
      <c r="E25" s="519">
        <f t="shared" ca="1" si="3"/>
        <v>1</v>
      </c>
      <c r="F25" s="519">
        <f t="shared" ca="1" si="44"/>
        <v>10</v>
      </c>
      <c r="G25" s="514">
        <f t="shared" ca="1" si="45"/>
        <v>15312</v>
      </c>
      <c r="H25" s="514">
        <f t="shared" ca="1" si="46"/>
        <v>15791</v>
      </c>
      <c r="I25" s="514">
        <f t="shared" ca="1" si="47"/>
        <v>17280</v>
      </c>
      <c r="J25" s="514">
        <f t="shared" ca="1" si="48"/>
        <v>17983</v>
      </c>
      <c r="K25" s="514">
        <f t="shared" ca="1" si="49"/>
        <v>32592</v>
      </c>
      <c r="L25" s="514">
        <f t="shared" ca="1" si="50"/>
        <v>33774</v>
      </c>
      <c r="M25" s="514">
        <f t="shared" ca="1" si="51"/>
        <v>1000</v>
      </c>
      <c r="N25" s="514">
        <f t="shared" ca="1" si="52"/>
        <v>13045</v>
      </c>
      <c r="O25" s="514">
        <f t="shared" ca="1" si="53"/>
        <v>5100</v>
      </c>
      <c r="P25" s="514">
        <f t="shared" ca="1" si="54"/>
        <v>786</v>
      </c>
      <c r="Q25" s="514">
        <f t="shared" ca="1" si="55"/>
        <v>36232</v>
      </c>
      <c r="R25" s="514">
        <f t="shared" ca="1" si="56"/>
        <v>0</v>
      </c>
      <c r="S25" s="514">
        <f t="shared" ca="1" si="57"/>
        <v>1100</v>
      </c>
      <c r="T25" s="514">
        <f t="shared" ca="1" si="58"/>
        <v>0</v>
      </c>
      <c r="U25" s="514">
        <f t="shared" ca="1" si="59"/>
        <v>12500</v>
      </c>
      <c r="V25" s="514">
        <f t="shared" ca="1" si="60"/>
        <v>26909</v>
      </c>
      <c r="W25" s="514">
        <f t="shared" ca="1" si="61"/>
        <v>20000</v>
      </c>
      <c r="X25" s="514">
        <f t="shared" ca="1" si="62"/>
        <v>451</v>
      </c>
      <c r="Y25" s="514">
        <f t="shared" ca="1" si="63"/>
        <v>31500</v>
      </c>
      <c r="Z25" s="514">
        <f t="shared" ca="1" si="64"/>
        <v>0</v>
      </c>
      <c r="AA25" s="514">
        <f t="shared" ca="1" si="65"/>
        <v>140024</v>
      </c>
      <c r="AB25" s="514">
        <f t="shared" ca="1" si="66"/>
        <v>74965</v>
      </c>
      <c r="AC25" s="514">
        <f t="shared" ca="1" si="67"/>
        <v>127524</v>
      </c>
      <c r="AD25" s="514">
        <f t="shared" ca="1" si="68"/>
        <v>48056</v>
      </c>
      <c r="AE25" s="514">
        <f t="shared" ca="1" si="69"/>
        <v>12</v>
      </c>
      <c r="AF25" s="514">
        <f t="shared" ca="1" si="70"/>
        <v>31</v>
      </c>
      <c r="AG25" s="514">
        <f t="shared" ca="1" si="71"/>
        <v>312</v>
      </c>
      <c r="AH25" s="514">
        <f t="shared" ca="1" si="72"/>
        <v>454</v>
      </c>
      <c r="AI25" s="514">
        <f t="shared" ca="1" si="73"/>
        <v>40</v>
      </c>
      <c r="AJ25" s="514">
        <f t="shared" ca="1" si="74"/>
        <v>121</v>
      </c>
      <c r="AK25" s="514">
        <f t="shared" ca="1" si="75"/>
        <v>952</v>
      </c>
      <c r="AL25" s="514">
        <f t="shared" ca="1" si="76"/>
        <v>1685</v>
      </c>
      <c r="AM25" s="514">
        <f t="shared" ca="1" si="77"/>
        <v>32592</v>
      </c>
      <c r="AN25" s="514">
        <f t="shared" ca="1" si="78"/>
        <v>33774</v>
      </c>
      <c r="AO25" s="519">
        <f t="shared" ca="1" si="38"/>
        <v>0</v>
      </c>
      <c r="AP25" s="519">
        <f t="shared" ca="1" si="79"/>
        <v>2419</v>
      </c>
      <c r="AQ25" s="519">
        <f t="shared" ca="1" si="80"/>
        <v>74965</v>
      </c>
      <c r="AR25" s="519">
        <f t="shared" ca="1" si="41"/>
        <v>74452</v>
      </c>
      <c r="AS25" s="519">
        <f t="shared" ca="1" si="42"/>
        <v>2932</v>
      </c>
    </row>
    <row r="26" spans="1:45">
      <c r="A26" s="516" t="s">
        <v>430</v>
      </c>
      <c r="B26" s="514" t="str">
        <f t="shared" ca="1" si="0"/>
        <v>JAPAN</v>
      </c>
      <c r="C26" s="519">
        <f t="shared" ca="1" si="1"/>
        <v>2018</v>
      </c>
      <c r="D26" s="514" t="str">
        <f t="shared" ca="1" si="2"/>
        <v>Jan</v>
      </c>
      <c r="E26" s="519">
        <f t="shared" ca="1" si="3"/>
        <v>1</v>
      </c>
      <c r="F26" s="519">
        <f t="shared" ca="1" si="44"/>
        <v>10</v>
      </c>
      <c r="G26" s="514">
        <f t="shared" ca="1" si="45"/>
        <v>17017</v>
      </c>
      <c r="H26" s="514">
        <f t="shared" ca="1" si="46"/>
        <v>16000</v>
      </c>
      <c r="I26" s="514">
        <f t="shared" ca="1" si="47"/>
        <v>18923</v>
      </c>
      <c r="J26" s="514">
        <f t="shared" ca="1" si="48"/>
        <v>18388</v>
      </c>
      <c r="K26" s="514">
        <f t="shared" ca="1" si="49"/>
        <v>35940</v>
      </c>
      <c r="L26" s="514">
        <f t="shared" ca="1" si="50"/>
        <v>34388</v>
      </c>
      <c r="M26" s="514">
        <f t="shared" ca="1" si="51"/>
        <v>2900</v>
      </c>
      <c r="N26" s="514">
        <f t="shared" ca="1" si="52"/>
        <v>7883</v>
      </c>
      <c r="O26" s="514">
        <f t="shared" ca="1" si="53"/>
        <v>0</v>
      </c>
      <c r="P26" s="514">
        <f t="shared" ca="1" si="54"/>
        <v>757</v>
      </c>
      <c r="Q26" s="514">
        <f t="shared" ca="1" si="55"/>
        <v>36232</v>
      </c>
      <c r="R26" s="514">
        <f t="shared" ca="1" si="56"/>
        <v>0</v>
      </c>
      <c r="S26" s="514">
        <f t="shared" ca="1" si="57"/>
        <v>0</v>
      </c>
      <c r="T26" s="514">
        <f t="shared" ca="1" si="58"/>
        <v>11478</v>
      </c>
      <c r="U26" s="514">
        <f t="shared" ca="1" si="59"/>
        <v>12500</v>
      </c>
      <c r="V26" s="514">
        <f t="shared" ca="1" si="60"/>
        <v>10209</v>
      </c>
      <c r="W26" s="514">
        <f t="shared" ca="1" si="61"/>
        <v>2000</v>
      </c>
      <c r="X26" s="514">
        <f t="shared" ca="1" si="62"/>
        <v>451</v>
      </c>
      <c r="Y26" s="514">
        <f t="shared" ca="1" si="63"/>
        <v>40000</v>
      </c>
      <c r="Z26" s="514">
        <f t="shared" ca="1" si="64"/>
        <v>0</v>
      </c>
      <c r="AA26" s="514">
        <f t="shared" ca="1" si="65"/>
        <v>129572</v>
      </c>
      <c r="AB26" s="514">
        <f t="shared" ca="1" si="66"/>
        <v>65166</v>
      </c>
      <c r="AC26" s="514">
        <f t="shared" ca="1" si="67"/>
        <v>117072</v>
      </c>
      <c r="AD26" s="514">
        <f t="shared" ca="1" si="68"/>
        <v>54957</v>
      </c>
      <c r="AE26" s="514">
        <f t="shared" ca="1" si="69"/>
        <v>20</v>
      </c>
      <c r="AF26" s="514">
        <f t="shared" ca="1" si="70"/>
        <v>14</v>
      </c>
      <c r="AG26" s="514">
        <f t="shared" ca="1" si="71"/>
        <v>489</v>
      </c>
      <c r="AH26" s="514">
        <f t="shared" ca="1" si="72"/>
        <v>460</v>
      </c>
      <c r="AI26" s="514">
        <f t="shared" ca="1" si="73"/>
        <v>83</v>
      </c>
      <c r="AJ26" s="514">
        <f t="shared" ca="1" si="74"/>
        <v>47</v>
      </c>
      <c r="AK26" s="514">
        <f t="shared" ca="1" si="75"/>
        <v>1759</v>
      </c>
      <c r="AL26" s="514">
        <f t="shared" ca="1" si="76"/>
        <v>1721</v>
      </c>
      <c r="AM26" s="514">
        <f t="shared" ca="1" si="77"/>
        <v>35940</v>
      </c>
      <c r="AN26" s="514">
        <f t="shared" ca="1" si="78"/>
        <v>34388</v>
      </c>
      <c r="AO26" s="519">
        <f t="shared" ca="1" si="38"/>
        <v>0</v>
      </c>
      <c r="AP26" s="519">
        <f t="shared" ca="1" si="79"/>
        <v>0</v>
      </c>
      <c r="AQ26" s="519">
        <f t="shared" ca="1" si="80"/>
        <v>65166</v>
      </c>
      <c r="AR26" s="519">
        <f t="shared" ca="1" si="41"/>
        <v>135747</v>
      </c>
      <c r="AS26" s="519">
        <f t="shared" ca="1" si="42"/>
        <v>-70581</v>
      </c>
    </row>
    <row r="27" spans="1:45">
      <c r="A27" s="516" t="s">
        <v>431</v>
      </c>
      <c r="B27" s="514" t="str">
        <f t="shared" ca="1" si="0"/>
        <v>JAPAN</v>
      </c>
      <c r="C27" s="519">
        <f t="shared" ca="1" si="1"/>
        <v>2018</v>
      </c>
      <c r="D27" s="514" t="str">
        <f t="shared" ca="1" si="2"/>
        <v>Feb</v>
      </c>
      <c r="E27" s="519">
        <f t="shared" ca="1" si="3"/>
        <v>2</v>
      </c>
      <c r="F27" s="519">
        <f t="shared" ca="1" si="44"/>
        <v>10</v>
      </c>
      <c r="G27" s="514">
        <f t="shared" ca="1" si="45"/>
        <v>17468</v>
      </c>
      <c r="H27" s="514">
        <f t="shared" ca="1" si="46"/>
        <v>16243</v>
      </c>
      <c r="I27" s="514">
        <f t="shared" ca="1" si="47"/>
        <v>19894</v>
      </c>
      <c r="J27" s="514">
        <f t="shared" ca="1" si="48"/>
        <v>18470</v>
      </c>
      <c r="K27" s="514">
        <f t="shared" ca="1" si="49"/>
        <v>37362</v>
      </c>
      <c r="L27" s="514">
        <f t="shared" ca="1" si="50"/>
        <v>34713</v>
      </c>
      <c r="M27" s="514">
        <f t="shared" ca="1" si="51"/>
        <v>2900</v>
      </c>
      <c r="N27" s="514">
        <f t="shared" ca="1" si="52"/>
        <v>3585</v>
      </c>
      <c r="O27" s="514">
        <f t="shared" ca="1" si="53"/>
        <v>0</v>
      </c>
      <c r="P27" s="514">
        <f t="shared" ca="1" si="54"/>
        <v>452</v>
      </c>
      <c r="Q27" s="514">
        <f t="shared" ca="1" si="55"/>
        <v>36232</v>
      </c>
      <c r="R27" s="514">
        <f t="shared" ca="1" si="56"/>
        <v>0</v>
      </c>
      <c r="S27" s="514">
        <f t="shared" ca="1" si="57"/>
        <v>0</v>
      </c>
      <c r="T27" s="514">
        <f t="shared" ca="1" si="58"/>
        <v>3739</v>
      </c>
      <c r="U27" s="514">
        <f t="shared" ca="1" si="59"/>
        <v>12500</v>
      </c>
      <c r="V27" s="514">
        <f t="shared" ca="1" si="60"/>
        <v>32709</v>
      </c>
      <c r="W27" s="514">
        <f t="shared" ca="1" si="61"/>
        <v>2000</v>
      </c>
      <c r="X27" s="514">
        <f t="shared" ca="1" si="62"/>
        <v>0</v>
      </c>
      <c r="Y27" s="514">
        <f t="shared" ca="1" si="63"/>
        <v>40000</v>
      </c>
      <c r="Z27" s="514">
        <f t="shared" ca="1" si="64"/>
        <v>120000</v>
      </c>
      <c r="AA27" s="514">
        <f t="shared" ca="1" si="65"/>
        <v>130994</v>
      </c>
      <c r="AB27" s="514">
        <f t="shared" ca="1" si="66"/>
        <v>195198</v>
      </c>
      <c r="AC27" s="514">
        <f t="shared" ca="1" si="67"/>
        <v>118494</v>
      </c>
      <c r="AD27" s="514">
        <f t="shared" ca="1" si="68"/>
        <v>162489</v>
      </c>
      <c r="AE27" s="514">
        <f t="shared" ca="1" si="69"/>
        <v>20</v>
      </c>
      <c r="AF27" s="514">
        <f t="shared" ca="1" si="70"/>
        <v>8</v>
      </c>
      <c r="AG27" s="514">
        <f t="shared" ca="1" si="71"/>
        <v>482</v>
      </c>
      <c r="AH27" s="514">
        <f t="shared" ca="1" si="72"/>
        <v>467</v>
      </c>
      <c r="AI27" s="514">
        <f t="shared" ca="1" si="73"/>
        <v>83</v>
      </c>
      <c r="AJ27" s="514">
        <f t="shared" ca="1" si="74"/>
        <v>29</v>
      </c>
      <c r="AK27" s="514">
        <f t="shared" ca="1" si="75"/>
        <v>1734</v>
      </c>
      <c r="AL27" s="514">
        <f t="shared" ca="1" si="76"/>
        <v>1739</v>
      </c>
      <c r="AM27" s="514">
        <f t="shared" ca="1" si="77"/>
        <v>37362</v>
      </c>
      <c r="AN27" s="514">
        <f t="shared" ca="1" si="78"/>
        <v>34713</v>
      </c>
      <c r="AO27" s="519">
        <f t="shared" ca="1" si="38"/>
        <v>0</v>
      </c>
      <c r="AP27" s="519">
        <f t="shared" ca="1" si="79"/>
        <v>-70581</v>
      </c>
      <c r="AQ27" s="519">
        <f t="shared" ca="1" si="80"/>
        <v>75198</v>
      </c>
      <c r="AR27" s="519">
        <f t="shared" ca="1" si="41"/>
        <v>133773</v>
      </c>
      <c r="AS27" s="519">
        <f t="shared" ca="1" si="42"/>
        <v>-9156</v>
      </c>
    </row>
    <row r="28" spans="1:45">
      <c r="A28" s="516" t="s">
        <v>432</v>
      </c>
      <c r="B28" s="514" t="str">
        <f t="shared" ca="1" si="0"/>
        <v>JAPAN</v>
      </c>
      <c r="C28" s="519">
        <f t="shared" ca="1" si="1"/>
        <v>2018</v>
      </c>
      <c r="D28" s="514" t="str">
        <f t="shared" ca="1" si="2"/>
        <v>March</v>
      </c>
      <c r="E28" s="519">
        <f t="shared" ca="1" si="3"/>
        <v>2</v>
      </c>
      <c r="F28" s="519">
        <f t="shared" ca="1" si="44"/>
        <v>11</v>
      </c>
      <c r="G28" s="514">
        <f t="shared" ca="1" si="45"/>
        <v>17923</v>
      </c>
      <c r="H28" s="514">
        <f t="shared" ca="1" si="46"/>
        <v>16800</v>
      </c>
      <c r="I28" s="514">
        <f t="shared" ca="1" si="47"/>
        <v>20870</v>
      </c>
      <c r="J28" s="514">
        <f t="shared" ca="1" si="48"/>
        <v>19366</v>
      </c>
      <c r="K28" s="514">
        <f t="shared" ca="1" si="49"/>
        <v>38793</v>
      </c>
      <c r="L28" s="514">
        <f t="shared" ca="1" si="50"/>
        <v>36166</v>
      </c>
      <c r="M28" s="514">
        <f t="shared" ca="1" si="51"/>
        <v>2900</v>
      </c>
      <c r="N28" s="514">
        <f t="shared" ca="1" si="52"/>
        <v>4282</v>
      </c>
      <c r="O28" s="514">
        <f t="shared" ca="1" si="53"/>
        <v>0</v>
      </c>
      <c r="P28" s="514">
        <f t="shared" ca="1" si="54"/>
        <v>3335</v>
      </c>
      <c r="Q28" s="514">
        <f t="shared" ca="1" si="55"/>
        <v>36232</v>
      </c>
      <c r="R28" s="514">
        <f t="shared" ca="1" si="56"/>
        <v>0</v>
      </c>
      <c r="S28" s="514">
        <f t="shared" ca="1" si="57"/>
        <v>0</v>
      </c>
      <c r="T28" s="514">
        <f t="shared" ca="1" si="58"/>
        <v>0</v>
      </c>
      <c r="U28" s="514">
        <f t="shared" ca="1" si="59"/>
        <v>12500</v>
      </c>
      <c r="V28" s="514">
        <f t="shared" ca="1" si="60"/>
        <v>5955</v>
      </c>
      <c r="W28" s="514">
        <f t="shared" ca="1" si="61"/>
        <v>2000</v>
      </c>
      <c r="X28" s="514">
        <f t="shared" ca="1" si="62"/>
        <v>0</v>
      </c>
      <c r="Y28" s="514">
        <f t="shared" ca="1" si="63"/>
        <v>40000</v>
      </c>
      <c r="Z28" s="514">
        <f t="shared" ca="1" si="64"/>
        <v>0</v>
      </c>
      <c r="AA28" s="514">
        <f t="shared" ca="1" si="65"/>
        <v>132425</v>
      </c>
      <c r="AB28" s="514">
        <f t="shared" ca="1" si="66"/>
        <v>49738</v>
      </c>
      <c r="AC28" s="514">
        <f t="shared" ca="1" si="67"/>
        <v>119925</v>
      </c>
      <c r="AD28" s="514">
        <f t="shared" ca="1" si="68"/>
        <v>43783</v>
      </c>
      <c r="AE28" s="514">
        <f t="shared" ca="1" si="69"/>
        <v>20</v>
      </c>
      <c r="AF28" s="514">
        <f t="shared" ca="1" si="70"/>
        <v>18</v>
      </c>
      <c r="AG28" s="514">
        <f t="shared" ca="1" si="71"/>
        <v>475</v>
      </c>
      <c r="AH28" s="514">
        <f t="shared" ca="1" si="72"/>
        <v>483</v>
      </c>
      <c r="AI28" s="514">
        <f t="shared" ca="1" si="73"/>
        <v>83</v>
      </c>
      <c r="AJ28" s="514">
        <f t="shared" ca="1" si="74"/>
        <v>97</v>
      </c>
      <c r="AK28" s="514">
        <f t="shared" ca="1" si="75"/>
        <v>1710</v>
      </c>
      <c r="AL28" s="514">
        <f t="shared" ca="1" si="76"/>
        <v>1822</v>
      </c>
      <c r="AM28" s="514">
        <f t="shared" ca="1" si="77"/>
        <v>38793</v>
      </c>
      <c r="AN28" s="514">
        <f t="shared" ca="1" si="78"/>
        <v>36166</v>
      </c>
      <c r="AO28" s="519">
        <f t="shared" ca="1" si="38"/>
        <v>0</v>
      </c>
      <c r="AP28" s="519">
        <f t="shared" ca="1" si="79"/>
        <v>-9156</v>
      </c>
      <c r="AQ28" s="519">
        <f t="shared" ca="1" si="80"/>
        <v>49738</v>
      </c>
      <c r="AR28" s="519">
        <f t="shared" ca="1" si="41"/>
        <v>133773</v>
      </c>
      <c r="AS28" s="519">
        <f t="shared" ca="1" si="42"/>
        <v>-93191</v>
      </c>
    </row>
    <row r="29" spans="1:45">
      <c r="A29" s="516" t="s">
        <v>433</v>
      </c>
      <c r="B29" s="514" t="str">
        <f t="shared" ca="1" si="0"/>
        <v>JAPAN</v>
      </c>
      <c r="C29" s="519">
        <f t="shared" ca="1" si="1"/>
        <v>2019</v>
      </c>
      <c r="D29" s="514" t="str">
        <f t="shared" ca="1" si="2"/>
        <v>April</v>
      </c>
      <c r="E29" s="519">
        <f t="shared" ca="1" si="3"/>
        <v>2</v>
      </c>
      <c r="F29" s="519">
        <f t="shared" ca="1" si="44"/>
        <v>11</v>
      </c>
      <c r="G29" s="514">
        <f t="shared" ca="1" si="45"/>
        <v>18382</v>
      </c>
      <c r="H29" s="514">
        <f t="shared" ca="1" si="46"/>
        <v>17357</v>
      </c>
      <c r="I29" s="514">
        <f t="shared" ca="1" si="47"/>
        <v>21849</v>
      </c>
      <c r="J29" s="514">
        <f t="shared" ca="1" si="48"/>
        <v>20257</v>
      </c>
      <c r="K29" s="514">
        <f t="shared" ca="1" si="49"/>
        <v>40231</v>
      </c>
      <c r="L29" s="514">
        <f t="shared" ca="1" si="50"/>
        <v>37614</v>
      </c>
      <c r="M29" s="514">
        <f t="shared" ca="1" si="51"/>
        <v>2900</v>
      </c>
      <c r="N29" s="514">
        <f t="shared" ca="1" si="52"/>
        <v>4287</v>
      </c>
      <c r="O29" s="514">
        <f t="shared" ca="1" si="53"/>
        <v>0</v>
      </c>
      <c r="P29" s="514">
        <f t="shared" ca="1" si="54"/>
        <v>696</v>
      </c>
      <c r="Q29" s="514">
        <f t="shared" ca="1" si="55"/>
        <v>36232</v>
      </c>
      <c r="R29" s="514">
        <f t="shared" ca="1" si="56"/>
        <v>170351</v>
      </c>
      <c r="S29" s="514">
        <f t="shared" ca="1" si="57"/>
        <v>0</v>
      </c>
      <c r="T29" s="514">
        <f t="shared" ca="1" si="58"/>
        <v>0</v>
      </c>
      <c r="U29" s="514">
        <f t="shared" ca="1" si="59"/>
        <v>13000</v>
      </c>
      <c r="V29" s="514">
        <f t="shared" ca="1" si="60"/>
        <v>14106</v>
      </c>
      <c r="W29" s="514">
        <f t="shared" ca="1" si="61"/>
        <v>2000</v>
      </c>
      <c r="X29" s="514">
        <f t="shared" ca="1" si="62"/>
        <v>0</v>
      </c>
      <c r="Y29" s="514">
        <f t="shared" ca="1" si="63"/>
        <v>40000</v>
      </c>
      <c r="Z29" s="514">
        <f t="shared" ca="1" si="64"/>
        <v>120000</v>
      </c>
      <c r="AA29" s="514">
        <f t="shared" ca="1" si="65"/>
        <v>134363</v>
      </c>
      <c r="AB29" s="514">
        <f t="shared" ca="1" si="66"/>
        <v>347054</v>
      </c>
      <c r="AC29" s="514">
        <f t="shared" ca="1" si="67"/>
        <v>121363</v>
      </c>
      <c r="AD29" s="514">
        <f t="shared" ca="1" si="68"/>
        <v>332948</v>
      </c>
      <c r="AE29" s="514">
        <f t="shared" ca="1" si="69"/>
        <v>20</v>
      </c>
      <c r="AF29" s="514">
        <f t="shared" ca="1" si="70"/>
        <v>27</v>
      </c>
      <c r="AG29" s="514">
        <f t="shared" ca="1" si="71"/>
        <v>468</v>
      </c>
      <c r="AH29" s="514">
        <f t="shared" ca="1" si="72"/>
        <v>499</v>
      </c>
      <c r="AI29" s="514">
        <f t="shared" ca="1" si="73"/>
        <v>83</v>
      </c>
      <c r="AJ29" s="514">
        <f t="shared" ca="1" si="74"/>
        <v>65</v>
      </c>
      <c r="AK29" s="514">
        <f t="shared" ca="1" si="75"/>
        <v>1685</v>
      </c>
      <c r="AL29" s="514">
        <f t="shared" ca="1" si="76"/>
        <v>1894</v>
      </c>
      <c r="AM29" s="514">
        <f t="shared" ca="1" si="77"/>
        <v>40231</v>
      </c>
      <c r="AN29" s="514">
        <f t="shared" ca="1" si="78"/>
        <v>37614</v>
      </c>
      <c r="AO29" s="519">
        <f t="shared" ca="1" si="38"/>
        <v>0</v>
      </c>
      <c r="AP29" s="519">
        <f t="shared" ca="1" si="79"/>
        <v>-93191</v>
      </c>
      <c r="AQ29" s="519">
        <f t="shared" ca="1" si="80"/>
        <v>227054</v>
      </c>
      <c r="AR29" s="519">
        <f t="shared" ca="1" si="41"/>
        <v>133773</v>
      </c>
      <c r="AS29" s="519">
        <f t="shared" ca="1" si="42"/>
        <v>90</v>
      </c>
    </row>
    <row r="30" spans="1:45">
      <c r="A30" s="516" t="s">
        <v>434</v>
      </c>
      <c r="B30" s="514" t="str">
        <f t="shared" ca="1" si="0"/>
        <v>JAPAN</v>
      </c>
      <c r="C30" s="519">
        <f t="shared" ca="1" si="1"/>
        <v>2019</v>
      </c>
      <c r="D30" s="514" t="str">
        <f t="shared" ca="1" si="2"/>
        <v>May</v>
      </c>
      <c r="E30" s="519">
        <f t="shared" ca="1" si="3"/>
        <v>2</v>
      </c>
      <c r="F30" s="519">
        <f t="shared" ca="1" si="44"/>
        <v>11</v>
      </c>
      <c r="G30" s="514">
        <f t="shared" ca="1" si="45"/>
        <v>18844</v>
      </c>
      <c r="H30" s="514">
        <f t="shared" ca="1" si="46"/>
        <v>18122</v>
      </c>
      <c r="I30" s="514">
        <f t="shared" ca="1" si="47"/>
        <v>22832</v>
      </c>
      <c r="J30" s="514">
        <f t="shared" ca="1" si="48"/>
        <v>20701</v>
      </c>
      <c r="K30" s="514">
        <f t="shared" ca="1" si="49"/>
        <v>41676</v>
      </c>
      <c r="L30" s="514">
        <f t="shared" ca="1" si="50"/>
        <v>38823</v>
      </c>
      <c r="M30" s="514">
        <f t="shared" ca="1" si="51"/>
        <v>2900</v>
      </c>
      <c r="N30" s="514">
        <f t="shared" ca="1" si="52"/>
        <v>2982</v>
      </c>
      <c r="O30" s="514">
        <f t="shared" ca="1" si="53"/>
        <v>0</v>
      </c>
      <c r="P30" s="514">
        <f t="shared" ca="1" si="54"/>
        <v>2865</v>
      </c>
      <c r="Q30" s="514">
        <f t="shared" ca="1" si="55"/>
        <v>36232</v>
      </c>
      <c r="R30" s="514">
        <f t="shared" ca="1" si="56"/>
        <v>0</v>
      </c>
      <c r="S30" s="514">
        <f t="shared" ca="1" si="57"/>
        <v>0</v>
      </c>
      <c r="T30" s="514">
        <f t="shared" ca="1" si="58"/>
        <v>0</v>
      </c>
      <c r="U30" s="514">
        <f t="shared" ca="1" si="59"/>
        <v>13000</v>
      </c>
      <c r="V30" s="514">
        <f t="shared" ca="1" si="60"/>
        <v>20773</v>
      </c>
      <c r="W30" s="514">
        <f t="shared" ca="1" si="61"/>
        <v>2000</v>
      </c>
      <c r="X30" s="514">
        <f t="shared" ca="1" si="62"/>
        <v>0</v>
      </c>
      <c r="Y30" s="514">
        <f t="shared" ca="1" si="63"/>
        <v>40000</v>
      </c>
      <c r="Z30" s="514">
        <f t="shared" ca="1" si="64"/>
        <v>0</v>
      </c>
      <c r="AA30" s="514">
        <f t="shared" ca="1" si="65"/>
        <v>135808</v>
      </c>
      <c r="AB30" s="514">
        <f t="shared" ca="1" si="66"/>
        <v>65443</v>
      </c>
      <c r="AC30" s="514">
        <f t="shared" ca="1" si="67"/>
        <v>122808</v>
      </c>
      <c r="AD30" s="514">
        <f t="shared" ca="1" si="68"/>
        <v>44670</v>
      </c>
      <c r="AE30" s="514">
        <f t="shared" ca="1" si="69"/>
        <v>20</v>
      </c>
      <c r="AF30" s="514">
        <f t="shared" ca="1" si="70"/>
        <v>29</v>
      </c>
      <c r="AG30" s="514">
        <f t="shared" ca="1" si="71"/>
        <v>461</v>
      </c>
      <c r="AH30" s="514">
        <f t="shared" ca="1" si="72"/>
        <v>521</v>
      </c>
      <c r="AI30" s="514">
        <f t="shared" ca="1" si="73"/>
        <v>83</v>
      </c>
      <c r="AJ30" s="514">
        <f t="shared" ca="1" si="74"/>
        <v>59</v>
      </c>
      <c r="AK30" s="514">
        <f t="shared" ca="1" si="75"/>
        <v>1661</v>
      </c>
      <c r="AL30" s="514">
        <f t="shared" ca="1" si="76"/>
        <v>1958</v>
      </c>
      <c r="AM30" s="514">
        <f t="shared" ca="1" si="77"/>
        <v>41677</v>
      </c>
      <c r="AN30" s="514">
        <f t="shared" ca="1" si="78"/>
        <v>38823</v>
      </c>
      <c r="AO30" s="519">
        <f t="shared" ca="1" si="38"/>
        <v>0</v>
      </c>
      <c r="AP30" s="519">
        <f t="shared" ca="1" si="79"/>
        <v>90</v>
      </c>
      <c r="AQ30" s="519">
        <f t="shared" ca="1" si="80"/>
        <v>65443</v>
      </c>
      <c r="AR30" s="519">
        <f t="shared" ca="1" si="41"/>
        <v>100000</v>
      </c>
      <c r="AS30" s="519">
        <f t="shared" ca="1" si="42"/>
        <v>-34467</v>
      </c>
    </row>
    <row r="31" spans="1:45">
      <c r="A31" s="523" t="s">
        <v>445</v>
      </c>
      <c r="B31" s="514" t="str">
        <f t="shared" ca="1" si="0"/>
        <v>JAPAN</v>
      </c>
      <c r="C31" s="519">
        <f t="shared" ca="1" si="1"/>
        <v>2019</v>
      </c>
      <c r="D31" s="514" t="str">
        <f t="shared" ca="1" si="2"/>
        <v>June</v>
      </c>
      <c r="E31" s="519">
        <f t="shared" ca="1" si="3"/>
        <v>2</v>
      </c>
      <c r="F31" s="519">
        <f t="shared" ca="1" si="44"/>
        <v>11</v>
      </c>
      <c r="G31" s="514">
        <f t="shared" ca="1" si="45"/>
        <v>19309</v>
      </c>
      <c r="H31" s="514">
        <f t="shared" ca="1" si="46"/>
        <v>18296</v>
      </c>
      <c r="I31" s="514">
        <f t="shared" ca="1" si="47"/>
        <v>23819</v>
      </c>
      <c r="J31" s="514">
        <f t="shared" ca="1" si="48"/>
        <v>21018</v>
      </c>
      <c r="K31" s="514">
        <f t="shared" ca="1" si="49"/>
        <v>43128</v>
      </c>
      <c r="L31" s="514">
        <f t="shared" ca="1" si="50"/>
        <v>39314</v>
      </c>
      <c r="M31" s="514">
        <f t="shared" ca="1" si="51"/>
        <v>2900</v>
      </c>
      <c r="N31" s="514">
        <f t="shared" ca="1" si="52"/>
        <v>5143</v>
      </c>
      <c r="O31" s="514">
        <f t="shared" ca="1" si="53"/>
        <v>0</v>
      </c>
      <c r="P31" s="514">
        <f t="shared" ca="1" si="54"/>
        <v>1247</v>
      </c>
      <c r="Q31" s="514">
        <f t="shared" ca="1" si="55"/>
        <v>36232</v>
      </c>
      <c r="R31" s="514">
        <f t="shared" ca="1" si="56"/>
        <v>394782</v>
      </c>
      <c r="S31" s="514">
        <f t="shared" ca="1" si="57"/>
        <v>0</v>
      </c>
      <c r="T31" s="514">
        <f t="shared" ca="1" si="58"/>
        <v>0</v>
      </c>
      <c r="U31" s="514">
        <f t="shared" ca="1" si="59"/>
        <v>13000</v>
      </c>
      <c r="V31" s="514">
        <f t="shared" ca="1" si="60"/>
        <v>5104</v>
      </c>
      <c r="W31" s="514">
        <f t="shared" ca="1" si="61"/>
        <v>2000</v>
      </c>
      <c r="X31" s="514">
        <f t="shared" ca="1" si="62"/>
        <v>0</v>
      </c>
      <c r="Y31" s="514">
        <f t="shared" ca="1" si="63"/>
        <v>40000</v>
      </c>
      <c r="Z31" s="514">
        <f t="shared" ca="1" si="64"/>
        <v>0</v>
      </c>
      <c r="AA31" s="514">
        <f t="shared" ca="1" si="65"/>
        <v>137260</v>
      </c>
      <c r="AB31" s="514">
        <f t="shared" ca="1" si="66"/>
        <v>445590</v>
      </c>
      <c r="AC31" s="514">
        <f t="shared" ca="1" si="67"/>
        <v>124260</v>
      </c>
      <c r="AD31" s="514">
        <f t="shared" ca="1" si="68"/>
        <v>440486</v>
      </c>
      <c r="AE31" s="514">
        <f t="shared" ca="1" si="69"/>
        <v>20</v>
      </c>
      <c r="AF31" s="514">
        <f t="shared" ca="1" si="70"/>
        <v>14</v>
      </c>
      <c r="AG31" s="514">
        <f t="shared" ca="1" si="71"/>
        <v>455</v>
      </c>
      <c r="AH31" s="514">
        <f t="shared" ca="1" si="72"/>
        <v>526</v>
      </c>
      <c r="AI31" s="514">
        <f t="shared" ca="1" si="73"/>
        <v>83</v>
      </c>
      <c r="AJ31" s="514">
        <f t="shared" ca="1" si="74"/>
        <v>40</v>
      </c>
      <c r="AK31" s="514">
        <f t="shared" ca="1" si="75"/>
        <v>1639</v>
      </c>
      <c r="AL31" s="514">
        <f t="shared" ca="1" si="76"/>
        <v>1990</v>
      </c>
      <c r="AM31" s="514">
        <f t="shared" ca="1" si="77"/>
        <v>43128</v>
      </c>
      <c r="AN31" s="514">
        <f t="shared" ca="1" si="78"/>
        <v>39314</v>
      </c>
      <c r="AO31" s="514">
        <f t="shared" ca="1" si="38"/>
        <v>0</v>
      </c>
      <c r="AP31" s="514">
        <f t="shared" ca="1" si="79"/>
        <v>-34467</v>
      </c>
      <c r="AQ31" s="514">
        <f t="shared" ca="1" si="80"/>
        <v>445590</v>
      </c>
      <c r="AR31" s="514">
        <f t="shared" ca="1" si="41"/>
        <v>400000</v>
      </c>
      <c r="AS31" s="514">
        <f t="shared" ca="1" si="42"/>
        <v>11123</v>
      </c>
    </row>
    <row r="32" spans="1:45">
      <c r="A32" s="517"/>
      <c r="B32" s="514" t="str">
        <f t="shared" ca="1" si="0"/>
        <v/>
      </c>
    </row>
    <row r="33" spans="1:2">
      <c r="A33" s="516"/>
      <c r="B33" s="514" t="str">
        <f t="shared" ca="1" si="0"/>
        <v/>
      </c>
    </row>
    <row r="34" spans="1:2">
      <c r="A34" s="516"/>
      <c r="B34" s="514" t="str">
        <f t="shared" ca="1" si="0"/>
        <v/>
      </c>
    </row>
    <row r="35" spans="1:2">
      <c r="A35" s="516"/>
      <c r="B35" s="514" t="str">
        <f t="shared" ca="1" si="0"/>
        <v/>
      </c>
    </row>
    <row r="36" spans="1:2">
      <c r="A36" s="516"/>
      <c r="B36" s="514" t="str">
        <f t="shared" ca="1" si="0"/>
        <v/>
      </c>
    </row>
    <row r="37" spans="1:2">
      <c r="A37" s="516"/>
      <c r="B37" s="514" t="str">
        <f t="shared" ca="1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PlugData" altText="Button_4">
                <anchor moveWithCells="1" sizeWithCells="1">
                  <from>
                    <xdr:col>0</xdr:col>
                    <xdr:colOff>0</xdr:colOff>
                    <xdr:row>38</xdr:row>
                    <xdr:rowOff>38100</xdr:rowOff>
                  </from>
                  <to>
                    <xdr:col>0</xdr:col>
                    <xdr:colOff>1524000</xdr:colOff>
                    <xdr:row>40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66FE-FADE-A047-A928-5B9462CBBEF1}">
  <sheetPr codeName="Sheet2">
    <pageSetUpPr fitToPage="1"/>
  </sheetPr>
  <dimension ref="A1:N150"/>
  <sheetViews>
    <sheetView view="pageBreakPreview" topLeftCell="A47" zoomScale="161" zoomScaleNormal="100" zoomScaleSheetLayoutView="95" workbookViewId="0">
      <selection activeCell="D77" sqref="D7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688">
        <v>42789</v>
      </c>
      <c r="M7" s="623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2</v>
      </c>
      <c r="E10" s="691" t="s">
        <v>307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5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13890</v>
      </c>
      <c r="E21" s="490">
        <v>11683</v>
      </c>
      <c r="F21" s="14">
        <f t="shared" ref="F21:F26" si="0">E21/D21</f>
        <v>0.84110871130309572</v>
      </c>
      <c r="G21" s="479">
        <f>D21</f>
        <v>13890</v>
      </c>
      <c r="H21" s="479">
        <f>E21</f>
        <v>11683</v>
      </c>
      <c r="I21" s="14">
        <f t="shared" ref="I21:I26" si="1">H21/G21</f>
        <v>0.84110871130309572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13890</v>
      </c>
      <c r="E22" s="487">
        <f>SUM(E21:E21)</f>
        <v>11683</v>
      </c>
      <c r="F22" s="16">
        <f t="shared" si="0"/>
        <v>0.84110871130309572</v>
      </c>
      <c r="G22" s="487">
        <f>SUM(G21:G21)</f>
        <v>13890</v>
      </c>
      <c r="H22" s="487">
        <f>SUM(H21:H21)</f>
        <v>11683</v>
      </c>
      <c r="I22" s="16">
        <f t="shared" si="1"/>
        <v>0.84110871130309572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4715</v>
      </c>
      <c r="E23" s="490">
        <v>4222</v>
      </c>
      <c r="F23" s="14">
        <f t="shared" si="0"/>
        <v>0.89544008483563098</v>
      </c>
      <c r="G23" s="479">
        <f>D23</f>
        <v>4715</v>
      </c>
      <c r="H23" s="479">
        <f>E23</f>
        <v>4222</v>
      </c>
      <c r="I23" s="14">
        <f t="shared" si="1"/>
        <v>0.89544008483563098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4715</v>
      </c>
      <c r="E25" s="487">
        <f>SUM(E23:E24)</f>
        <v>4222</v>
      </c>
      <c r="F25" s="16">
        <f t="shared" si="0"/>
        <v>0.89544008483563098</v>
      </c>
      <c r="G25" s="487">
        <f>SUM(G23:G24)</f>
        <v>4715</v>
      </c>
      <c r="H25" s="487">
        <f>SUM(H23:H24)</f>
        <v>4222</v>
      </c>
      <c r="I25" s="16">
        <f t="shared" si="1"/>
        <v>0.89544008483563098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18605</v>
      </c>
      <c r="E26" s="489">
        <f>SUM(E22,E25)</f>
        <v>15905</v>
      </c>
      <c r="F26" s="17">
        <f t="shared" si="0"/>
        <v>0.85487772104273041</v>
      </c>
      <c r="G26" s="489">
        <f>SUM(G22,G25)</f>
        <v>18605</v>
      </c>
      <c r="H26" s="489">
        <f>SUM(H22,H25)</f>
        <v>15905</v>
      </c>
      <c r="I26" s="17">
        <f t="shared" si="1"/>
        <v>0.85487772104273041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2472</v>
      </c>
      <c r="F28" s="14">
        <f>E28/D28</f>
        <v>12.36</v>
      </c>
      <c r="G28" s="479">
        <f>D28</f>
        <v>200</v>
      </c>
      <c r="H28" s="479">
        <f>E28</f>
        <v>2472</v>
      </c>
      <c r="I28" s="14">
        <f>H28/G28</f>
        <v>12.36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2472</v>
      </c>
      <c r="F30" s="14">
        <f t="shared" si="2"/>
        <v>12.36</v>
      </c>
      <c r="G30" s="487">
        <f>SUM(G28:G29)</f>
        <v>200</v>
      </c>
      <c r="H30" s="487">
        <f>SUM(H28:H29)</f>
        <v>2472</v>
      </c>
      <c r="I30" s="14">
        <f t="shared" si="3"/>
        <v>12.36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1200</v>
      </c>
      <c r="E31" s="490">
        <v>2754</v>
      </c>
      <c r="F31" s="14">
        <f t="shared" si="2"/>
        <v>2.2949999999999999</v>
      </c>
      <c r="G31" s="479">
        <f>D31</f>
        <v>1200</v>
      </c>
      <c r="H31" s="479">
        <f>E31</f>
        <v>2754</v>
      </c>
      <c r="I31" s="14">
        <f t="shared" si="3"/>
        <v>2.2949999999999999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1400</v>
      </c>
      <c r="E32" s="485">
        <f>SUM(E30,E31)</f>
        <v>5226</v>
      </c>
      <c r="F32" s="14">
        <f t="shared" si="2"/>
        <v>3.7328571428571427</v>
      </c>
      <c r="G32" s="485">
        <f>SUM(G30,G31)</f>
        <v>1400</v>
      </c>
      <c r="H32" s="485">
        <f>SUM(H30,H31)</f>
        <v>5226</v>
      </c>
      <c r="I32" s="14">
        <f t="shared" si="3"/>
        <v>3.7328571428571427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</f>
        <v>35000</v>
      </c>
      <c r="H33" s="479">
        <f>E33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35000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35000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20">
        <v>550</v>
      </c>
      <c r="F40" s="21">
        <f t="shared" si="2"/>
        <v>1.8333333333333333</v>
      </c>
      <c r="G40" s="483">
        <f t="shared" ref="G40:H42" si="4">D40</f>
        <v>300</v>
      </c>
      <c r="H40" s="483">
        <f t="shared" si="4"/>
        <v>550</v>
      </c>
      <c r="I40" s="21">
        <f t="shared" si="3"/>
        <v>1.8333333333333333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 t="shared" si="4"/>
        <v>2250</v>
      </c>
      <c r="H41" s="483">
        <f t="shared" si="4"/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0</v>
      </c>
      <c r="F42" s="21">
        <f t="shared" si="2"/>
        <v>0</v>
      </c>
      <c r="G42" s="483">
        <f t="shared" si="4"/>
        <v>17000</v>
      </c>
      <c r="H42" s="483">
        <f t="shared" si="4"/>
        <v>0</v>
      </c>
      <c r="I42" s="21">
        <f t="shared" si="3"/>
        <v>0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74555</v>
      </c>
      <c r="E43" s="484">
        <f>SUM(E26,E32,E39,E40:E42)</f>
        <v>21681</v>
      </c>
      <c r="F43" s="22">
        <f t="shared" si="2"/>
        <v>0.29080544564415534</v>
      </c>
      <c r="G43" s="484">
        <f>SUM(G26,G32,G39,G40:G42)</f>
        <v>74555</v>
      </c>
      <c r="H43" s="484">
        <f>SUM(H26,H32,H39,H40:H42)</f>
        <v>21681</v>
      </c>
      <c r="I43" s="22">
        <f t="shared" si="3"/>
        <v>0.29080544564415534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74255</v>
      </c>
      <c r="E44" s="484">
        <f>E43-E40</f>
        <v>21131</v>
      </c>
      <c r="F44" s="22">
        <f t="shared" si="2"/>
        <v>0.28457342939869368</v>
      </c>
      <c r="G44" s="484">
        <f>G43-G40</f>
        <v>74255</v>
      </c>
      <c r="H44" s="484">
        <f>H43-H40</f>
        <v>21131</v>
      </c>
      <c r="I44" s="22">
        <f t="shared" si="3"/>
        <v>0.28457342939869368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57255</v>
      </c>
      <c r="E45" s="482">
        <f>E44-E42</f>
        <v>21131</v>
      </c>
      <c r="F45" s="23">
        <f t="shared" si="2"/>
        <v>0.36906820365033621</v>
      </c>
      <c r="G45" s="482">
        <f>G44-G42</f>
        <v>57255</v>
      </c>
      <c r="H45" s="482">
        <f>H44-H42</f>
        <v>21131</v>
      </c>
      <c r="I45" s="23">
        <f t="shared" si="3"/>
        <v>0.36906820365033621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2</v>
      </c>
      <c r="F51" s="28">
        <f t="shared" ref="F51:F77" si="5">E51/D51</f>
        <v>0.4</v>
      </c>
      <c r="G51" s="479">
        <f>D51</f>
        <v>5</v>
      </c>
      <c r="H51" s="479">
        <f>E51</f>
        <v>2</v>
      </c>
      <c r="I51" s="28">
        <f t="shared" ref="I51:I77" si="6">H51/G51</f>
        <v>0.4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420</v>
      </c>
      <c r="E52" s="490">
        <v>410</v>
      </c>
      <c r="F52" s="28">
        <f t="shared" si="5"/>
        <v>0.97619047619047616</v>
      </c>
      <c r="G52" s="479">
        <f>D52</f>
        <v>420</v>
      </c>
      <c r="H52" s="479">
        <f>E52</f>
        <v>410</v>
      </c>
      <c r="I52" s="28">
        <f t="shared" si="6"/>
        <v>0.97619047619047616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425</v>
      </c>
      <c r="E53" s="487">
        <f>SUM(E51:E52)</f>
        <v>412</v>
      </c>
      <c r="F53" s="30">
        <f t="shared" si="5"/>
        <v>0.96941176470588231</v>
      </c>
      <c r="G53" s="487">
        <f>SUM(G51:G52)</f>
        <v>425</v>
      </c>
      <c r="H53" s="487">
        <f>SUM(H51:H52)</f>
        <v>412</v>
      </c>
      <c r="I53" s="30">
        <f t="shared" si="6"/>
        <v>0.96941176470588231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5"/>
        <v>0</v>
      </c>
      <c r="G54" s="479">
        <f>D54</f>
        <v>2</v>
      </c>
      <c r="H54" s="479">
        <f>E54</f>
        <v>0</v>
      </c>
      <c r="I54" s="28">
        <f t="shared" si="6"/>
        <v>0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313</v>
      </c>
      <c r="E55" s="490">
        <v>361</v>
      </c>
      <c r="F55" s="28">
        <f t="shared" si="5"/>
        <v>1.1533546325878594</v>
      </c>
      <c r="G55" s="479">
        <f>D55</f>
        <v>313</v>
      </c>
      <c r="H55" s="479">
        <f>E55</f>
        <v>361</v>
      </c>
      <c r="I55" s="28">
        <f t="shared" si="6"/>
        <v>1.1533546325878594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315</v>
      </c>
      <c r="E56" s="474">
        <f>SUM(E54:E55)</f>
        <v>361</v>
      </c>
      <c r="F56" s="28">
        <f t="shared" si="5"/>
        <v>1.146031746031746</v>
      </c>
      <c r="G56" s="474">
        <f>SUM(G54:G55)</f>
        <v>315</v>
      </c>
      <c r="H56" s="474">
        <f>SUM(H54:H55)</f>
        <v>361</v>
      </c>
      <c r="I56" s="31">
        <f t="shared" si="6"/>
        <v>1.146031746031746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</v>
      </c>
      <c r="F57" s="32">
        <f t="shared" si="5"/>
        <v>0.2857142857142857</v>
      </c>
      <c r="G57" s="473">
        <f>SUM(G51,G54)</f>
        <v>7</v>
      </c>
      <c r="H57" s="473">
        <f>SUM(H51,H54)</f>
        <v>2</v>
      </c>
      <c r="I57" s="32">
        <f t="shared" si="6"/>
        <v>0.2857142857142857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733</v>
      </c>
      <c r="E58" s="473">
        <f>SUM(E52,E55)</f>
        <v>771</v>
      </c>
      <c r="F58" s="32">
        <f t="shared" si="5"/>
        <v>1.0518417462482947</v>
      </c>
      <c r="G58" s="473">
        <f>SUM(G52,G55)</f>
        <v>733</v>
      </c>
      <c r="H58" s="473">
        <f>SUM(H52,H55)</f>
        <v>771</v>
      </c>
      <c r="I58" s="32">
        <f t="shared" si="6"/>
        <v>1.0518417462482947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740</v>
      </c>
      <c r="E59" s="481">
        <f>SUM(E57:E58)</f>
        <v>773</v>
      </c>
      <c r="F59" s="33">
        <f t="shared" si="5"/>
        <v>1.0445945945945947</v>
      </c>
      <c r="G59" s="481">
        <f>SUM(G57:G58)</f>
        <v>740</v>
      </c>
      <c r="H59" s="481">
        <f>SUM(H57:H58)</f>
        <v>773</v>
      </c>
      <c r="I59" s="33">
        <f t="shared" si="6"/>
        <v>1.0445945945945947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4.3</v>
      </c>
      <c r="F60" s="28">
        <f t="shared" si="5"/>
        <v>0.26874999999999999</v>
      </c>
      <c r="G60" s="479">
        <f>D60</f>
        <v>16</v>
      </c>
      <c r="H60" s="479">
        <f>E60</f>
        <v>4.3</v>
      </c>
      <c r="I60" s="28">
        <f t="shared" si="6"/>
        <v>0.26874999999999999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1373</v>
      </c>
      <c r="E61" s="479">
        <f>E70/10</f>
        <v>1164</v>
      </c>
      <c r="F61" s="28">
        <f t="shared" si="5"/>
        <v>0.84777858703568831</v>
      </c>
      <c r="G61" s="479">
        <f>D61</f>
        <v>1373</v>
      </c>
      <c r="H61" s="479">
        <f>E61</f>
        <v>1164</v>
      </c>
      <c r="I61" s="28">
        <f t="shared" si="6"/>
        <v>0.84777858703568831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1389</v>
      </c>
      <c r="E62" s="487">
        <f>SUM(E60:E61)</f>
        <v>1168.3</v>
      </c>
      <c r="F62" s="30">
        <f t="shared" si="5"/>
        <v>0.84110871130309572</v>
      </c>
      <c r="G62" s="487">
        <f>SUM(G60:G61)</f>
        <v>1389</v>
      </c>
      <c r="H62" s="487">
        <f>SUM(H60:H61)</f>
        <v>1168.3</v>
      </c>
      <c r="I62" s="30">
        <f t="shared" si="6"/>
        <v>0.84110871130309572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5"/>
        <v>0</v>
      </c>
      <c r="G63" s="479">
        <f>D63</f>
        <v>2</v>
      </c>
      <c r="H63" s="479">
        <f>E63</f>
        <v>0</v>
      </c>
      <c r="I63" s="28">
        <f t="shared" si="6"/>
        <v>0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470</v>
      </c>
      <c r="E64" s="479">
        <f>E73/10</f>
        <v>422.2</v>
      </c>
      <c r="F64" s="28">
        <f t="shared" si="5"/>
        <v>0.89829787234042546</v>
      </c>
      <c r="G64" s="479">
        <f>D64</f>
        <v>470</v>
      </c>
      <c r="H64" s="479">
        <f>E64</f>
        <v>422.2</v>
      </c>
      <c r="I64" s="28">
        <f t="shared" si="6"/>
        <v>0.89829787234042546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472</v>
      </c>
      <c r="E65" s="474">
        <f>SUM(E63:E64)</f>
        <v>422.2</v>
      </c>
      <c r="F65" s="31">
        <f t="shared" si="5"/>
        <v>0.89449152542372878</v>
      </c>
      <c r="G65" s="474">
        <f>SUM(G63:G64)</f>
        <v>472</v>
      </c>
      <c r="H65" s="474">
        <f>SUM(H63:H64)</f>
        <v>422.2</v>
      </c>
      <c r="I65" s="31">
        <f t="shared" si="6"/>
        <v>0.89449152542372878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4.3</v>
      </c>
      <c r="F66" s="32">
        <f t="shared" si="5"/>
        <v>0.23888888888888887</v>
      </c>
      <c r="G66" s="473">
        <f>SUM(G60,G63)</f>
        <v>18</v>
      </c>
      <c r="H66" s="473">
        <f>SUM(H60,H63)</f>
        <v>4.3</v>
      </c>
      <c r="I66" s="32">
        <f t="shared" si="6"/>
        <v>0.23888888888888887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1843</v>
      </c>
      <c r="E67" s="473">
        <f>SUM(E61,E64)</f>
        <v>1586.2</v>
      </c>
      <c r="F67" s="32">
        <f t="shared" si="5"/>
        <v>0.86066196418882257</v>
      </c>
      <c r="G67" s="473">
        <f>SUM(G61,G64)</f>
        <v>1843</v>
      </c>
      <c r="H67" s="473">
        <f>SUM(H61,H64)</f>
        <v>1586.2</v>
      </c>
      <c r="I67" s="32">
        <f t="shared" si="6"/>
        <v>0.86066196418882257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1861</v>
      </c>
      <c r="E68" s="481">
        <f>SUM(E66:E67)</f>
        <v>1590.5</v>
      </c>
      <c r="F68" s="34">
        <f t="shared" si="5"/>
        <v>0.85464803868887695</v>
      </c>
      <c r="G68" s="481">
        <f>SUM(G66:G67)</f>
        <v>1861</v>
      </c>
      <c r="H68" s="481">
        <f>SUM(H66:H67)</f>
        <v>1590.5</v>
      </c>
      <c r="I68" s="34">
        <f t="shared" si="6"/>
        <v>0.85464803868887695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155</v>
      </c>
      <c r="E69" s="490">
        <v>43</v>
      </c>
      <c r="F69" s="28">
        <f t="shared" si="5"/>
        <v>0.27741935483870966</v>
      </c>
      <c r="G69" s="479">
        <f>D69</f>
        <v>155</v>
      </c>
      <c r="H69" s="479">
        <f>E69</f>
        <v>43</v>
      </c>
      <c r="I69" s="28">
        <f t="shared" si="6"/>
        <v>0.27741935483870966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13735</v>
      </c>
      <c r="E70" s="479">
        <f>E21-E69</f>
        <v>11640</v>
      </c>
      <c r="F70" s="28">
        <f t="shared" si="5"/>
        <v>0.84746996723698576</v>
      </c>
      <c r="G70" s="479">
        <f>D70</f>
        <v>13735</v>
      </c>
      <c r="H70" s="479">
        <f>E70</f>
        <v>11640</v>
      </c>
      <c r="I70" s="28">
        <f t="shared" si="6"/>
        <v>0.84746996723698576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13890</v>
      </c>
      <c r="E71" s="487">
        <f>SUM(E69:E70)</f>
        <v>11683</v>
      </c>
      <c r="F71" s="30">
        <f t="shared" si="5"/>
        <v>0.84110871130309572</v>
      </c>
      <c r="G71" s="487">
        <f>SUM(G69:G70)</f>
        <v>13890</v>
      </c>
      <c r="H71" s="487">
        <f>SUM(H69:H70)</f>
        <v>11683</v>
      </c>
      <c r="I71" s="30">
        <f t="shared" si="6"/>
        <v>0.84110871130309572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20</v>
      </c>
      <c r="E72" s="490">
        <v>0</v>
      </c>
      <c r="F72" s="28">
        <f t="shared" si="5"/>
        <v>0</v>
      </c>
      <c r="G72" s="479">
        <f>D72</f>
        <v>20</v>
      </c>
      <c r="H72" s="479">
        <f>E72</f>
        <v>0</v>
      </c>
      <c r="I72" s="28">
        <f t="shared" si="6"/>
        <v>0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4695</v>
      </c>
      <c r="E73" s="479">
        <f>E23-E72</f>
        <v>4222</v>
      </c>
      <c r="F73" s="28">
        <f t="shared" si="5"/>
        <v>0.89925452609158685</v>
      </c>
      <c r="G73" s="479">
        <f>D73</f>
        <v>4695</v>
      </c>
      <c r="H73" s="479">
        <f>E73</f>
        <v>4222</v>
      </c>
      <c r="I73" s="28">
        <f t="shared" si="6"/>
        <v>0.89925452609158685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4715</v>
      </c>
      <c r="E74" s="474">
        <f>SUM(E72:E73)</f>
        <v>4222</v>
      </c>
      <c r="F74" s="31">
        <f t="shared" si="5"/>
        <v>0.89544008483563098</v>
      </c>
      <c r="G74" s="474">
        <f>SUM(G72:G73)</f>
        <v>4715</v>
      </c>
      <c r="H74" s="474">
        <f>SUM(H72:H73)</f>
        <v>4222</v>
      </c>
      <c r="I74" s="31">
        <f t="shared" si="6"/>
        <v>0.89544008483563098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175</v>
      </c>
      <c r="E75" s="473">
        <f>SUM(E69,E72)</f>
        <v>43</v>
      </c>
      <c r="F75" s="32">
        <f t="shared" si="5"/>
        <v>0.24571428571428572</v>
      </c>
      <c r="G75" s="473">
        <f>SUM(G69,G72)</f>
        <v>175</v>
      </c>
      <c r="H75" s="473">
        <f>SUM(H69,H72)</f>
        <v>43</v>
      </c>
      <c r="I75" s="32">
        <f t="shared" si="6"/>
        <v>0.24571428571428572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18430</v>
      </c>
      <c r="E76" s="473">
        <f>SUM(E70,E73)</f>
        <v>15862</v>
      </c>
      <c r="F76" s="32">
        <f t="shared" si="5"/>
        <v>0.86066196418882257</v>
      </c>
      <c r="G76" s="473">
        <f>SUM(G70,G73)</f>
        <v>18430</v>
      </c>
      <c r="H76" s="473">
        <f>SUM(H70,H73)</f>
        <v>15862</v>
      </c>
      <c r="I76" s="32">
        <f t="shared" si="6"/>
        <v>0.86066196418882257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18605</v>
      </c>
      <c r="E77" s="481">
        <f>SUM(E75:E76)</f>
        <v>15905</v>
      </c>
      <c r="F77" s="34">
        <f t="shared" si="5"/>
        <v>0.85487772104273041</v>
      </c>
      <c r="G77" s="481">
        <f>SUM(G75:G76)</f>
        <v>18605</v>
      </c>
      <c r="H77" s="481">
        <f>SUM(H75:H76)</f>
        <v>15905</v>
      </c>
      <c r="I77" s="34">
        <f t="shared" si="6"/>
        <v>0.85487772104273041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2</v>
      </c>
      <c r="E84" s="490">
        <v>0</v>
      </c>
      <c r="F84" s="498">
        <f>E84/D84</f>
        <v>0</v>
      </c>
      <c r="G84" s="479">
        <f>D84</f>
        <v>2</v>
      </c>
      <c r="H84" s="479">
        <f>E84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83</v>
      </c>
      <c r="E85" s="490">
        <v>69</v>
      </c>
      <c r="F85" s="28">
        <f t="shared" ref="F85:F98" si="7">E85/D85</f>
        <v>0.83132530120481929</v>
      </c>
      <c r="G85" s="479">
        <f>D85</f>
        <v>83</v>
      </c>
      <c r="H85" s="479">
        <f>E85</f>
        <v>69</v>
      </c>
      <c r="I85" s="28">
        <f t="shared" ref="I85:I98" si="8">H85/G85</f>
        <v>0.83132530120481929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7"/>
        <v>0.81176470588235294</v>
      </c>
      <c r="G86" s="487">
        <f>SUM(G84:G85)</f>
        <v>85</v>
      </c>
      <c r="H86" s="487">
        <f>SUM(H84:H85)</f>
        <v>69</v>
      </c>
      <c r="I86" s="30">
        <f t="shared" si="8"/>
        <v>0.81176470588235294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1</v>
      </c>
      <c r="E87" s="490">
        <v>0</v>
      </c>
      <c r="F87" s="28">
        <f t="shared" si="7"/>
        <v>0</v>
      </c>
      <c r="G87" s="479">
        <f>D87</f>
        <v>1</v>
      </c>
      <c r="H87" s="479">
        <f>E87</f>
        <v>0</v>
      </c>
      <c r="I87" s="28">
        <f t="shared" si="8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19</v>
      </c>
      <c r="E88" s="490">
        <v>17.5</v>
      </c>
      <c r="F88" s="28">
        <f t="shared" si="7"/>
        <v>0.92105263157894735</v>
      </c>
      <c r="G88" s="479">
        <f>D88</f>
        <v>19</v>
      </c>
      <c r="H88" s="479">
        <f>E88</f>
        <v>17.5</v>
      </c>
      <c r="I88" s="28">
        <f t="shared" si="8"/>
        <v>0.92105263157894735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7"/>
        <v>0.875</v>
      </c>
      <c r="G89" s="487">
        <f>SUM(G87:G88)</f>
        <v>20</v>
      </c>
      <c r="H89" s="487">
        <f>SUM(H87:H88)</f>
        <v>17.5</v>
      </c>
      <c r="I89" s="30">
        <f t="shared" si="8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1</v>
      </c>
      <c r="E90" s="490">
        <v>0</v>
      </c>
      <c r="F90" s="28">
        <f t="shared" si="7"/>
        <v>0</v>
      </c>
      <c r="G90" s="479">
        <f>D90</f>
        <v>1</v>
      </c>
      <c r="H90" s="479">
        <f>E90</f>
        <v>0</v>
      </c>
      <c r="I90" s="28">
        <f t="shared" si="8"/>
        <v>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49</v>
      </c>
      <c r="E91" s="490">
        <v>46</v>
      </c>
      <c r="F91" s="28">
        <f t="shared" si="7"/>
        <v>0.93877551020408168</v>
      </c>
      <c r="G91" s="479">
        <f>D91</f>
        <v>49</v>
      </c>
      <c r="H91" s="479">
        <f>E91</f>
        <v>46</v>
      </c>
      <c r="I91" s="28">
        <f t="shared" si="8"/>
        <v>0.93877551020408168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7"/>
        <v>0.92</v>
      </c>
      <c r="G92" s="487">
        <f>SUM(G90:G91)</f>
        <v>50</v>
      </c>
      <c r="H92" s="487">
        <f>SUM(H90:H91)</f>
        <v>46</v>
      </c>
      <c r="I92" s="30">
        <f t="shared" si="8"/>
        <v>0.92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3</v>
      </c>
      <c r="E93" s="490">
        <v>1</v>
      </c>
      <c r="F93" s="28">
        <f t="shared" si="7"/>
        <v>0.33333333333333331</v>
      </c>
      <c r="G93" s="479">
        <f>D93</f>
        <v>3</v>
      </c>
      <c r="H93" s="479">
        <f>E93</f>
        <v>1</v>
      </c>
      <c r="I93" s="28">
        <f t="shared" si="8"/>
        <v>0.33333333333333331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89</v>
      </c>
      <c r="E94" s="490">
        <v>83.5</v>
      </c>
      <c r="F94" s="28">
        <f t="shared" si="7"/>
        <v>0.9382022471910112</v>
      </c>
      <c r="G94" s="479">
        <f>D94</f>
        <v>89</v>
      </c>
      <c r="H94" s="479">
        <f>E94</f>
        <v>83.5</v>
      </c>
      <c r="I94" s="28">
        <f t="shared" si="8"/>
        <v>0.9382022471910112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84.5</v>
      </c>
      <c r="F95" s="30">
        <f t="shared" si="7"/>
        <v>0.91847826086956519</v>
      </c>
      <c r="G95" s="487">
        <f>SUM(G93:G94)</f>
        <v>92</v>
      </c>
      <c r="H95" s="487">
        <f>SUM(H93:H94)</f>
        <v>84.5</v>
      </c>
      <c r="I95" s="30">
        <f t="shared" si="8"/>
        <v>0.91847826086956519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7</v>
      </c>
      <c r="E96" s="474">
        <f>SUM(E84,E87,E90,E93)</f>
        <v>1</v>
      </c>
      <c r="F96" s="31">
        <f t="shared" si="7"/>
        <v>0.14285714285714285</v>
      </c>
      <c r="G96" s="474">
        <f>SUM(G84,G87,G90,G93)</f>
        <v>7</v>
      </c>
      <c r="H96" s="474">
        <f>SUM(H84,H87,H90,H93)</f>
        <v>1</v>
      </c>
      <c r="I96" s="31">
        <f t="shared" si="8"/>
        <v>0.14285714285714285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240</v>
      </c>
      <c r="E97" s="474">
        <f>SUM(E85,E88,E91,E94)</f>
        <v>216</v>
      </c>
      <c r="F97" s="31">
        <f t="shared" si="7"/>
        <v>0.9</v>
      </c>
      <c r="G97" s="474">
        <f>SUM(G85,G88,G91,G94)</f>
        <v>240</v>
      </c>
      <c r="H97" s="474">
        <f>SUM(H85,H88,H91,H94)</f>
        <v>216</v>
      </c>
      <c r="I97" s="31">
        <f t="shared" si="8"/>
        <v>0.9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247</v>
      </c>
      <c r="E98" s="475">
        <f>SUM(E96:E97)</f>
        <v>217</v>
      </c>
      <c r="F98" s="41">
        <f t="shared" si="7"/>
        <v>0.87854251012145745</v>
      </c>
      <c r="G98" s="475">
        <f>SUM(G96:G97)</f>
        <v>247</v>
      </c>
      <c r="H98" s="475">
        <f>SUM(H96:H97)</f>
        <v>217</v>
      </c>
      <c r="I98" s="41">
        <f t="shared" si="8"/>
        <v>0.87854251012145745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2</v>
      </c>
      <c r="E99" s="64">
        <v>0</v>
      </c>
      <c r="F99" s="499">
        <f>E99/D99</f>
        <v>0</v>
      </c>
      <c r="G99" s="500">
        <f>D99</f>
        <v>2</v>
      </c>
      <c r="H99" s="478">
        <f>E99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73</v>
      </c>
      <c r="E100" s="490">
        <v>59</v>
      </c>
      <c r="F100" s="28">
        <f t="shared" ref="F100:F109" si="9">E100/D100</f>
        <v>0.80821917808219179</v>
      </c>
      <c r="G100" s="479">
        <f>D100</f>
        <v>73</v>
      </c>
      <c r="H100" s="479">
        <f>E100</f>
        <v>59</v>
      </c>
      <c r="I100" s="28">
        <f t="shared" ref="I100:I109" si="10">H100/G100</f>
        <v>0.80821917808219179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9"/>
        <v>0.78666666666666663</v>
      </c>
      <c r="G101" s="487">
        <f>SUM(G99:G100)</f>
        <v>75</v>
      </c>
      <c r="H101" s="487">
        <f>SUM(H99:H100)</f>
        <v>59</v>
      </c>
      <c r="I101" s="30">
        <f t="shared" si="10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2</v>
      </c>
      <c r="E102" s="490">
        <v>0</v>
      </c>
      <c r="F102" s="28">
        <f t="shared" si="9"/>
        <v>0</v>
      </c>
      <c r="G102" s="479">
        <f>D102</f>
        <v>2</v>
      </c>
      <c r="H102" s="479">
        <f>E102</f>
        <v>0</v>
      </c>
      <c r="I102" s="28">
        <f t="shared" si="10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39</v>
      </c>
      <c r="E103" s="490">
        <v>36.5</v>
      </c>
      <c r="F103" s="28">
        <f t="shared" si="9"/>
        <v>0.9358974358974359</v>
      </c>
      <c r="G103" s="479">
        <f>D103</f>
        <v>39</v>
      </c>
      <c r="H103" s="479">
        <f>E103</f>
        <v>36.5</v>
      </c>
      <c r="I103" s="28">
        <f t="shared" si="10"/>
        <v>0.9358974358974359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36.5</v>
      </c>
      <c r="F104" s="30">
        <f t="shared" si="9"/>
        <v>0.8902439024390244</v>
      </c>
      <c r="G104" s="487">
        <f>SUM(G102:G103)</f>
        <v>41</v>
      </c>
      <c r="H104" s="487">
        <f>SUM(H102:H103)</f>
        <v>36.5</v>
      </c>
      <c r="I104" s="30">
        <f t="shared" si="10"/>
        <v>0.8902439024390244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4</v>
      </c>
      <c r="E105" s="474">
        <f>SUM(E99,E102)</f>
        <v>0</v>
      </c>
      <c r="F105" s="30">
        <f t="shared" si="9"/>
        <v>0</v>
      </c>
      <c r="G105" s="474">
        <f>SUM(G99,G102)</f>
        <v>4</v>
      </c>
      <c r="H105" s="474">
        <f>SUM(H99,H102)</f>
        <v>0</v>
      </c>
      <c r="I105" s="30">
        <f t="shared" si="10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112</v>
      </c>
      <c r="E106" s="474">
        <f>SUM(E100,E103)</f>
        <v>95.5</v>
      </c>
      <c r="F106" s="30">
        <f t="shared" si="9"/>
        <v>0.8526785714285714</v>
      </c>
      <c r="G106" s="474">
        <f>SUM(G100,G103)</f>
        <v>112</v>
      </c>
      <c r="H106" s="474">
        <f>SUM(H100,H103)</f>
        <v>95.5</v>
      </c>
      <c r="I106" s="30">
        <f t="shared" si="10"/>
        <v>0.8526785714285714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95.5</v>
      </c>
      <c r="F107" s="41">
        <f t="shared" si="9"/>
        <v>0.82327586206896552</v>
      </c>
      <c r="G107" s="475">
        <f>SUM(G105:G106)</f>
        <v>116</v>
      </c>
      <c r="H107" s="475">
        <f>SUM(H105:H106)</f>
        <v>95.5</v>
      </c>
      <c r="I107" s="41">
        <f t="shared" si="10"/>
        <v>0.82327586206896552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11</v>
      </c>
      <c r="E108" s="472">
        <f>SUM(E96,E105)</f>
        <v>1</v>
      </c>
      <c r="F108" s="45">
        <f t="shared" si="9"/>
        <v>9.0909090909090912E-2</v>
      </c>
      <c r="G108" s="46">
        <f>SUM(G96,G105)</f>
        <v>11</v>
      </c>
      <c r="H108" s="46">
        <f>SUM(H96,H105)</f>
        <v>1</v>
      </c>
      <c r="I108" s="45">
        <f t="shared" si="10"/>
        <v>9.0909090909090912E-2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352</v>
      </c>
      <c r="E109" s="473">
        <f>SUM(E97,E106)</f>
        <v>311.5</v>
      </c>
      <c r="F109" s="32">
        <f t="shared" si="9"/>
        <v>0.88494318181818177</v>
      </c>
      <c r="G109" s="473">
        <f>SUM(G97,G106)</f>
        <v>352</v>
      </c>
      <c r="H109" s="473">
        <f>SUM(H97,H106)</f>
        <v>311.5</v>
      </c>
      <c r="I109" s="32">
        <f t="shared" si="10"/>
        <v>0.88494318181818177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363</v>
      </c>
      <c r="E110" s="473">
        <f>SUM(E108:E109)</f>
        <v>312.5</v>
      </c>
      <c r="F110" s="49">
        <f>E110/D110</f>
        <v>0.8608815426997245</v>
      </c>
      <c r="G110" s="472">
        <f>SUM(G108:G109)</f>
        <v>363</v>
      </c>
      <c r="H110" s="472">
        <f>SUM(H108:H109)</f>
        <v>312.5</v>
      </c>
      <c r="I110" s="49">
        <f>H110/G110</f>
        <v>0.8608815426997245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5"/>
      <c r="H114" s="606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79"/>
      <c r="H115" s="589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79"/>
      <c r="H116" s="589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79"/>
      <c r="H117" s="589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433</v>
      </c>
      <c r="D118" s="592"/>
      <c r="E118" s="591">
        <v>6</v>
      </c>
      <c r="F118" s="592"/>
      <c r="G118" s="579"/>
      <c r="H118" s="589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79"/>
      <c r="H119" s="589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79"/>
      <c r="H120" s="589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79"/>
      <c r="H121" s="589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3"/>
      <c r="H122" s="584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400</v>
      </c>
      <c r="D123" s="590"/>
      <c r="E123" s="590">
        <v>150</v>
      </c>
      <c r="F123" s="590"/>
      <c r="G123" s="583"/>
      <c r="H123" s="584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312</v>
      </c>
      <c r="D128" s="563"/>
      <c r="E128" s="564"/>
      <c r="F128" s="562" t="s">
        <v>102</v>
      </c>
      <c r="G128" s="563"/>
      <c r="H128" s="563"/>
      <c r="I128" s="564"/>
      <c r="J128" s="562" t="s">
        <v>133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566"/>
      <c r="D129" s="567"/>
      <c r="E129" s="568"/>
      <c r="F129" s="569" t="s">
        <v>313</v>
      </c>
      <c r="G129" s="570"/>
      <c r="H129" s="570"/>
      <c r="I129" s="571"/>
      <c r="J129" s="525"/>
      <c r="K129" s="526"/>
      <c r="L129" s="526"/>
      <c r="M129" s="527"/>
    </row>
    <row r="130" spans="1:13" ht="35.25" customHeight="1">
      <c r="A130" s="553" t="s">
        <v>104</v>
      </c>
      <c r="B130" s="554"/>
      <c r="C130" s="577" t="s">
        <v>314</v>
      </c>
      <c r="D130" s="567"/>
      <c r="E130" s="568"/>
      <c r="F130" s="566"/>
      <c r="G130" s="567"/>
      <c r="H130" s="567"/>
      <c r="I130" s="568"/>
      <c r="J130" s="566"/>
      <c r="K130" s="567"/>
      <c r="L130" s="567"/>
      <c r="M130" s="578"/>
    </row>
    <row r="131" spans="1:13" ht="67.5" customHeight="1">
      <c r="A131" s="553" t="s">
        <v>105</v>
      </c>
      <c r="B131" s="554"/>
      <c r="C131" s="555" t="s">
        <v>315</v>
      </c>
      <c r="D131" s="556"/>
      <c r="E131" s="557"/>
      <c r="F131" s="555" t="s">
        <v>316</v>
      </c>
      <c r="G131" s="556"/>
      <c r="H131" s="556"/>
      <c r="I131" s="557"/>
      <c r="J131" s="555" t="s">
        <v>316</v>
      </c>
      <c r="K131" s="556"/>
      <c r="L131" s="556"/>
      <c r="M131" s="557"/>
    </row>
    <row r="132" spans="1:13" ht="35.25" customHeight="1" thickBot="1">
      <c r="A132" s="543" t="s">
        <v>106</v>
      </c>
      <c r="B132" s="544"/>
      <c r="C132" s="545" t="s">
        <v>317</v>
      </c>
      <c r="D132" s="546"/>
      <c r="E132" s="547"/>
      <c r="F132" s="548" t="s">
        <v>318</v>
      </c>
      <c r="G132" s="549"/>
      <c r="H132" s="549"/>
      <c r="I132" s="550"/>
      <c r="J132" s="548" t="s">
        <v>319</v>
      </c>
      <c r="K132" s="549"/>
      <c r="L132" s="549"/>
      <c r="M132" s="55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443</v>
      </c>
      <c r="B137" s="469" t="s">
        <v>442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v>0</v>
      </c>
      <c r="C138" s="63">
        <f>E43-E42</f>
        <v>21681</v>
      </c>
      <c r="D138" s="504">
        <v>37911</v>
      </c>
      <c r="E138" s="531" t="s">
        <v>114</v>
      </c>
      <c r="F138" s="531"/>
      <c r="G138" s="531"/>
      <c r="H138" s="505">
        <f>C138+A138+B138-D138</f>
        <v>-16230</v>
      </c>
    </row>
    <row r="139" spans="1:13" ht="14" thickBot="1">
      <c r="A139" s="8" t="s">
        <v>115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10981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15646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1865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dataConsolidate/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289D230B-75F8-054F-9AA4-99CF83E614CB}">
      <formula1>"USA, JAPAN"</formula1>
    </dataValidation>
    <dataValidation type="list" allowBlank="1" showInputMessage="1" showErrorMessage="1" sqref="G1" xr:uid="{D4EF6958-190D-B146-94C8-55096FA3AF4F}">
      <formula1>"Jan, Feb, March, April, May, June, July, Aug, Sep, Oct, Nov, Dec"</formula1>
    </dataValidation>
  </dataValidations>
  <pageMargins left="0" right="0" top="0" bottom="0" header="0" footer="0"/>
  <pageSetup paperSize="9" scale="61" fitToHeight="0" orientation="portrait" r:id="rId1"/>
  <rowBreaks count="1" manualBreakCount="1">
    <brk id="133" max="12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E92C-AAA1-C842-AEB1-079677314A97}">
  <sheetPr codeName="Sheet3">
    <pageSetUpPr fitToPage="1"/>
  </sheetPr>
  <dimension ref="A1:N150"/>
  <sheetViews>
    <sheetView zoomScale="75" zoomScaleNormal="75" zoomScaleSheetLayoutView="85" workbookViewId="0">
      <selection activeCell="O5" sqref="O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42815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3</v>
      </c>
      <c r="E10" s="691" t="s">
        <v>320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13938</v>
      </c>
      <c r="E21" s="490">
        <v>11557</v>
      </c>
      <c r="F21" s="14">
        <f t="shared" ref="F21:F26" si="0">E21/D21</f>
        <v>0.82917204763954655</v>
      </c>
      <c r="G21" s="479">
        <f>D21+'2017JAN'!G21</f>
        <v>27828</v>
      </c>
      <c r="H21" s="479">
        <f>E21+'2017JAN'!H21</f>
        <v>23240</v>
      </c>
      <c r="I21" s="14">
        <f t="shared" ref="I21:I26" si="1">H21/G21</f>
        <v>0.8351300848066695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13938</v>
      </c>
      <c r="E22" s="487">
        <f>SUM(E21:E21)</f>
        <v>11557</v>
      </c>
      <c r="F22" s="16">
        <f t="shared" si="0"/>
        <v>0.82917204763954655</v>
      </c>
      <c r="G22" s="487">
        <f>SUM(G21:G21)</f>
        <v>27828</v>
      </c>
      <c r="H22" s="487">
        <f>SUM(H21:H21)</f>
        <v>23240</v>
      </c>
      <c r="I22" s="16">
        <f t="shared" si="1"/>
        <v>0.8351300848066695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4699</v>
      </c>
      <c r="E23" s="490">
        <v>4161</v>
      </c>
      <c r="F23" s="14">
        <f t="shared" si="0"/>
        <v>0.88550755479889343</v>
      </c>
      <c r="G23" s="479">
        <f>D23+'2017JAN'!G23</f>
        <v>9414</v>
      </c>
      <c r="H23" s="479">
        <f>E23+'2017JAN'!H23</f>
        <v>8383</v>
      </c>
      <c r="I23" s="14">
        <f t="shared" si="1"/>
        <v>0.89048226046314005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4699</v>
      </c>
      <c r="E25" s="487">
        <f>SUM(E23:E24)</f>
        <v>4161</v>
      </c>
      <c r="F25" s="16">
        <f t="shared" si="0"/>
        <v>0.88550755479889343</v>
      </c>
      <c r="G25" s="487">
        <f>SUM(G23:G24)</f>
        <v>9414</v>
      </c>
      <c r="H25" s="487">
        <f>SUM(H23:H24)</f>
        <v>8383</v>
      </c>
      <c r="I25" s="16">
        <f t="shared" si="1"/>
        <v>0.89048226046314005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18637</v>
      </c>
      <c r="E26" s="489">
        <f>SUM(E22,E25)</f>
        <v>15718</v>
      </c>
      <c r="F26" s="17">
        <f t="shared" si="0"/>
        <v>0.84337607984117613</v>
      </c>
      <c r="G26" s="489">
        <f>SUM(G22,G25)</f>
        <v>37242</v>
      </c>
      <c r="H26" s="489">
        <f>SUM(H22,H25)</f>
        <v>31623</v>
      </c>
      <c r="I26" s="17">
        <f t="shared" si="1"/>
        <v>0.84912195907845978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539</v>
      </c>
      <c r="F28" s="14">
        <f>E28/D28</f>
        <v>2.6949999999999998</v>
      </c>
      <c r="G28" s="479">
        <f>D28+'2017JAN'!G28</f>
        <v>400</v>
      </c>
      <c r="H28" s="479">
        <f>E28+'2017JAN'!H28</f>
        <v>3011</v>
      </c>
      <c r="I28" s="14">
        <f>H28/G28</f>
        <v>7.5274999999999999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539</v>
      </c>
      <c r="F30" s="14">
        <f t="shared" si="2"/>
        <v>2.6949999999999998</v>
      </c>
      <c r="G30" s="487">
        <f>SUM(G28:G29)</f>
        <v>400</v>
      </c>
      <c r="H30" s="487">
        <f>SUM(H28:H29)</f>
        <v>3011</v>
      </c>
      <c r="I30" s="14">
        <f t="shared" si="3"/>
        <v>7.5274999999999999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1700</v>
      </c>
      <c r="E31" s="490">
        <v>1177</v>
      </c>
      <c r="F31" s="14">
        <f t="shared" si="2"/>
        <v>0.69235294117647062</v>
      </c>
      <c r="G31" s="479">
        <f>D31+'2017JAN'!G31</f>
        <v>2900</v>
      </c>
      <c r="H31" s="479">
        <f>E31+'2017JAN'!H31</f>
        <v>3931</v>
      </c>
      <c r="I31" s="14">
        <f t="shared" si="3"/>
        <v>1.3555172413793104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1900</v>
      </c>
      <c r="E32" s="485">
        <f>SUM(E30,E31)</f>
        <v>1716</v>
      </c>
      <c r="F32" s="14">
        <f t="shared" si="2"/>
        <v>0.90315789473684216</v>
      </c>
      <c r="G32" s="485">
        <f>SUM(G30,G31)</f>
        <v>3300</v>
      </c>
      <c r="H32" s="485">
        <f>SUM(H30,H31)</f>
        <v>6942</v>
      </c>
      <c r="I32" s="14">
        <f t="shared" si="3"/>
        <v>2.1036363636363635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D33+'2017JAN'!G33</f>
        <v>70000</v>
      </c>
      <c r="H33" s="479">
        <f>E33+'2017JAN'!H33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70000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70000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998</v>
      </c>
      <c r="F40" s="21">
        <f t="shared" si="2"/>
        <v>3.3266666666666667</v>
      </c>
      <c r="G40" s="483">
        <f>D40+'2017JAN'!G40</f>
        <v>600</v>
      </c>
      <c r="H40" s="483">
        <f>E40+'2017JAN'!H40</f>
        <v>1548</v>
      </c>
      <c r="I40" s="21">
        <f t="shared" si="3"/>
        <v>2.58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>D41+'2017JAN'!G41</f>
        <v>4500</v>
      </c>
      <c r="H41" s="483">
        <f>E41+'2017JAN'!H41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51000</v>
      </c>
      <c r="F42" s="21">
        <f t="shared" si="2"/>
        <v>3</v>
      </c>
      <c r="G42" s="483">
        <f>D42+'2017JAN'!G42</f>
        <v>34000</v>
      </c>
      <c r="H42" s="483">
        <f>E42+'2017JAN'!H42</f>
        <v>51000</v>
      </c>
      <c r="I42" s="21">
        <f t="shared" si="3"/>
        <v>1.5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75087</v>
      </c>
      <c r="E43" s="484">
        <f>SUM(E26,E32,E39,E40:E42)</f>
        <v>69432</v>
      </c>
      <c r="F43" s="22">
        <f t="shared" si="2"/>
        <v>0.92468736265931517</v>
      </c>
      <c r="G43" s="484">
        <f>SUM(G26,G32,G39,G40:G42)</f>
        <v>149642</v>
      </c>
      <c r="H43" s="484">
        <f>SUM(H26,H32,H39,H40:H42)</f>
        <v>91113</v>
      </c>
      <c r="I43" s="22">
        <f t="shared" si="3"/>
        <v>0.60887317731652879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74787</v>
      </c>
      <c r="E44" s="484">
        <f>E43-E40</f>
        <v>68434</v>
      </c>
      <c r="F44" s="22">
        <f t="shared" si="2"/>
        <v>0.91505208124406645</v>
      </c>
      <c r="G44" s="484">
        <f>G43-G40</f>
        <v>149042</v>
      </c>
      <c r="H44" s="484">
        <f>H43-H40</f>
        <v>89565</v>
      </c>
      <c r="I44" s="22">
        <f t="shared" si="3"/>
        <v>0.60093799063351272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57787</v>
      </c>
      <c r="E45" s="482">
        <f>E44-E42</f>
        <v>17434</v>
      </c>
      <c r="F45" s="23">
        <f t="shared" si="2"/>
        <v>0.301694152664094</v>
      </c>
      <c r="G45" s="482">
        <f>G44-G42</f>
        <v>115042</v>
      </c>
      <c r="H45" s="482">
        <f>H44-H42</f>
        <v>38565</v>
      </c>
      <c r="I45" s="23">
        <f t="shared" si="3"/>
        <v>0.33522539594235151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D51+'2017JAN'!G51</f>
        <v>10</v>
      </c>
      <c r="H51" s="479">
        <f>E51+'2017JAN'!H51</f>
        <v>3</v>
      </c>
      <c r="I51" s="28">
        <f t="shared" ref="I51:I77" si="5">H51/G51</f>
        <v>0.3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417</v>
      </c>
      <c r="E52" s="490">
        <v>405</v>
      </c>
      <c r="F52" s="28">
        <f t="shared" si="4"/>
        <v>0.97122302158273377</v>
      </c>
      <c r="G52" s="479">
        <f>D52+'2017JAN'!G52</f>
        <v>837</v>
      </c>
      <c r="H52" s="479">
        <f>E52+'2017JAN'!H52</f>
        <v>815</v>
      </c>
      <c r="I52" s="28">
        <f t="shared" si="5"/>
        <v>0.97371565113500602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422</v>
      </c>
      <c r="E53" s="487">
        <f>SUM(E51:E52)</f>
        <v>406</v>
      </c>
      <c r="F53" s="30">
        <f t="shared" si="4"/>
        <v>0.96208530805687209</v>
      </c>
      <c r="G53" s="487">
        <f>SUM(G51:G52)</f>
        <v>847</v>
      </c>
      <c r="H53" s="487">
        <f>SUM(H51:H52)</f>
        <v>818</v>
      </c>
      <c r="I53" s="30">
        <f t="shared" si="5"/>
        <v>0.96576151121605669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3</v>
      </c>
      <c r="F54" s="28">
        <f t="shared" si="4"/>
        <v>1.5</v>
      </c>
      <c r="G54" s="479">
        <f>D54+'2017JAN'!G54</f>
        <v>4</v>
      </c>
      <c r="H54" s="479">
        <f>E54+'2017JAN'!H54</f>
        <v>3</v>
      </c>
      <c r="I54" s="28">
        <f t="shared" si="5"/>
        <v>0.75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311</v>
      </c>
      <c r="E55" s="490">
        <v>357</v>
      </c>
      <c r="F55" s="28">
        <f t="shared" si="4"/>
        <v>1.1479099678456592</v>
      </c>
      <c r="G55" s="479">
        <f>D55+'2017JAN'!G55</f>
        <v>624</v>
      </c>
      <c r="H55" s="479">
        <f>E55+'2017JAN'!H55</f>
        <v>718</v>
      </c>
      <c r="I55" s="28">
        <f t="shared" si="5"/>
        <v>1.1506410256410255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313</v>
      </c>
      <c r="E56" s="474">
        <f>SUM(E54:E55)</f>
        <v>360</v>
      </c>
      <c r="F56" s="28">
        <f t="shared" si="4"/>
        <v>1.1501597444089458</v>
      </c>
      <c r="G56" s="474">
        <f>SUM(G54:G55)</f>
        <v>628</v>
      </c>
      <c r="H56" s="474">
        <f>SUM(H54:H55)</f>
        <v>721</v>
      </c>
      <c r="I56" s="31">
        <f t="shared" si="5"/>
        <v>1.1480891719745223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4</v>
      </c>
      <c r="F57" s="32">
        <f t="shared" si="4"/>
        <v>0.5714285714285714</v>
      </c>
      <c r="G57" s="473">
        <f>SUM(G51,G54)</f>
        <v>14</v>
      </c>
      <c r="H57" s="473">
        <f>SUM(H51,H54)</f>
        <v>6</v>
      </c>
      <c r="I57" s="32">
        <f t="shared" si="5"/>
        <v>0.42857142857142855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728</v>
      </c>
      <c r="E58" s="473">
        <f>SUM(E52,E55)</f>
        <v>762</v>
      </c>
      <c r="F58" s="32">
        <f t="shared" si="4"/>
        <v>1.0467032967032968</v>
      </c>
      <c r="G58" s="473">
        <f>SUM(G52,G55)</f>
        <v>1461</v>
      </c>
      <c r="H58" s="473">
        <f>SUM(H52,H55)</f>
        <v>1533</v>
      </c>
      <c r="I58" s="32">
        <f t="shared" si="5"/>
        <v>1.0492813141683779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735</v>
      </c>
      <c r="E59" s="481">
        <f>SUM(E57:E58)</f>
        <v>766</v>
      </c>
      <c r="F59" s="33">
        <f t="shared" si="4"/>
        <v>1.0421768707482992</v>
      </c>
      <c r="G59" s="481">
        <f>SUM(G57:G58)</f>
        <v>1475</v>
      </c>
      <c r="H59" s="481">
        <f>SUM(H57:H58)</f>
        <v>1539</v>
      </c>
      <c r="I59" s="33">
        <f t="shared" si="5"/>
        <v>1.0433898305084746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2.2000000000000002</v>
      </c>
      <c r="F60" s="28">
        <f t="shared" si="4"/>
        <v>0.13750000000000001</v>
      </c>
      <c r="G60" s="479">
        <f>D60+'2017JAN'!G60</f>
        <v>32</v>
      </c>
      <c r="H60" s="479">
        <f>E60+'2017JAN'!H60</f>
        <v>6.5</v>
      </c>
      <c r="I60" s="28">
        <f t="shared" si="5"/>
        <v>0.203125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1363</v>
      </c>
      <c r="E61" s="479">
        <f>E70/10</f>
        <v>1153.5</v>
      </c>
      <c r="F61" s="28">
        <f t="shared" si="4"/>
        <v>0.84629493763756425</v>
      </c>
      <c r="G61" s="479">
        <f>D61+'2017JAN'!G61</f>
        <v>2736</v>
      </c>
      <c r="H61" s="479">
        <f>E61+'2017JAN'!H61</f>
        <v>2317.5</v>
      </c>
      <c r="I61" s="28">
        <f t="shared" si="5"/>
        <v>0.84703947368421051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1379</v>
      </c>
      <c r="E62" s="487">
        <f>SUM(E60:E61)</f>
        <v>1155.7</v>
      </c>
      <c r="F62" s="30">
        <f t="shared" si="4"/>
        <v>0.83807106598984771</v>
      </c>
      <c r="G62" s="487">
        <f>SUM(G60:G61)</f>
        <v>2768</v>
      </c>
      <c r="H62" s="487">
        <f>SUM(H60:H61)</f>
        <v>2324</v>
      </c>
      <c r="I62" s="30">
        <f t="shared" si="5"/>
        <v>0.83959537572254339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7.4</v>
      </c>
      <c r="F63" s="28">
        <f t="shared" si="4"/>
        <v>3.7</v>
      </c>
      <c r="G63" s="479">
        <f>D63+'2017JAN'!G63</f>
        <v>4</v>
      </c>
      <c r="H63" s="479">
        <f>E63+'2017JAN'!H63</f>
        <v>7.4</v>
      </c>
      <c r="I63" s="28">
        <f t="shared" si="5"/>
        <v>1.85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466</v>
      </c>
      <c r="E64" s="479">
        <f>E73/10</f>
        <v>408.7</v>
      </c>
      <c r="F64" s="28">
        <f t="shared" si="4"/>
        <v>0.87703862660944198</v>
      </c>
      <c r="G64" s="479">
        <f>D64+'2017JAN'!G64</f>
        <v>936</v>
      </c>
      <c r="H64" s="479">
        <f>E64+'2017JAN'!H64</f>
        <v>830.9</v>
      </c>
      <c r="I64" s="28">
        <f t="shared" si="5"/>
        <v>0.88771367521367517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468</v>
      </c>
      <c r="E65" s="474">
        <f>SUM(E63:E64)</f>
        <v>416.09999999999997</v>
      </c>
      <c r="F65" s="31">
        <f t="shared" si="4"/>
        <v>0.88910256410256405</v>
      </c>
      <c r="G65" s="474">
        <f>SUM(G63:G64)</f>
        <v>940</v>
      </c>
      <c r="H65" s="474">
        <f>SUM(H63:H64)</f>
        <v>838.3</v>
      </c>
      <c r="I65" s="31">
        <f t="shared" si="5"/>
        <v>0.8918085106382978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9.6000000000000014</v>
      </c>
      <c r="F66" s="32">
        <f t="shared" si="4"/>
        <v>0.53333333333333344</v>
      </c>
      <c r="G66" s="473">
        <f>SUM(G60,G63)</f>
        <v>36</v>
      </c>
      <c r="H66" s="473">
        <f>SUM(H60,H63)</f>
        <v>13.9</v>
      </c>
      <c r="I66" s="32">
        <f t="shared" si="5"/>
        <v>0.38611111111111113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1829</v>
      </c>
      <c r="E67" s="473">
        <f>SUM(E61,E64)</f>
        <v>1562.2</v>
      </c>
      <c r="F67" s="32">
        <f t="shared" si="4"/>
        <v>0.85412793876435211</v>
      </c>
      <c r="G67" s="473">
        <f>SUM(G61,G64)</f>
        <v>3672</v>
      </c>
      <c r="H67" s="473">
        <f>SUM(H61,H64)</f>
        <v>3148.4</v>
      </c>
      <c r="I67" s="32">
        <f t="shared" si="5"/>
        <v>0.8574074074074074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1847</v>
      </c>
      <c r="E68" s="481">
        <f>SUM(E66:E67)</f>
        <v>1571.8</v>
      </c>
      <c r="F68" s="34">
        <f t="shared" si="4"/>
        <v>0.85100162425554948</v>
      </c>
      <c r="G68" s="481">
        <f>SUM(G66:G67)</f>
        <v>3708</v>
      </c>
      <c r="H68" s="481">
        <f>SUM(H66:H67)</f>
        <v>3162.3</v>
      </c>
      <c r="I68" s="34">
        <f t="shared" si="5"/>
        <v>0.85283171521035606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310</v>
      </c>
      <c r="E69" s="490">
        <v>22</v>
      </c>
      <c r="F69" s="28">
        <f t="shared" si="4"/>
        <v>7.0967741935483872E-2</v>
      </c>
      <c r="G69" s="479">
        <f>D69+'2017JAN'!G69</f>
        <v>465</v>
      </c>
      <c r="H69" s="479">
        <f>E69+'2017JAN'!H69</f>
        <v>65</v>
      </c>
      <c r="I69" s="28">
        <f t="shared" si="5"/>
        <v>0.13978494623655913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13628</v>
      </c>
      <c r="E70" s="479">
        <f>E21-E69</f>
        <v>11535</v>
      </c>
      <c r="F70" s="28">
        <f t="shared" si="4"/>
        <v>0.84641913707073668</v>
      </c>
      <c r="G70" s="479">
        <f>D70+'2017JAN'!G70</f>
        <v>27363</v>
      </c>
      <c r="H70" s="479">
        <f>E70+'2017JAN'!H70</f>
        <v>23175</v>
      </c>
      <c r="I70" s="28">
        <f t="shared" si="5"/>
        <v>0.84694660673171807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13938</v>
      </c>
      <c r="E71" s="487">
        <f>SUM(E69:E70)</f>
        <v>11557</v>
      </c>
      <c r="F71" s="30">
        <f t="shared" si="4"/>
        <v>0.82917204763954655</v>
      </c>
      <c r="G71" s="487">
        <f>SUM(G69:G70)</f>
        <v>27828</v>
      </c>
      <c r="H71" s="487">
        <f>SUM(H69:H70)</f>
        <v>23240</v>
      </c>
      <c r="I71" s="30">
        <f t="shared" si="5"/>
        <v>0.8351300848066695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40</v>
      </c>
      <c r="E72" s="490">
        <v>74</v>
      </c>
      <c r="F72" s="28">
        <f t="shared" si="4"/>
        <v>1.85</v>
      </c>
      <c r="G72" s="479">
        <f>D72+'2017JAN'!G72</f>
        <v>60</v>
      </c>
      <c r="H72" s="479">
        <f>E72+'2017JAN'!H72</f>
        <v>74</v>
      </c>
      <c r="I72" s="28">
        <f t="shared" si="5"/>
        <v>1.2333333333333334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4659</v>
      </c>
      <c r="E73" s="479">
        <f>E23-E72</f>
        <v>4087</v>
      </c>
      <c r="F73" s="28">
        <f t="shared" si="4"/>
        <v>0.87722687271946764</v>
      </c>
      <c r="G73" s="479">
        <f>D73+'2017JAN'!G73</f>
        <v>9354</v>
      </c>
      <c r="H73" s="479">
        <f>E73+'2017JAN'!H73</f>
        <v>8309</v>
      </c>
      <c r="I73" s="28">
        <f t="shared" si="5"/>
        <v>0.88828308744921958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4699</v>
      </c>
      <c r="E74" s="474">
        <f>SUM(E72:E73)</f>
        <v>4161</v>
      </c>
      <c r="F74" s="31">
        <f t="shared" si="4"/>
        <v>0.88550755479889343</v>
      </c>
      <c r="G74" s="474">
        <f>SUM(G72:G73)</f>
        <v>9414</v>
      </c>
      <c r="H74" s="474">
        <f>SUM(H72:H73)</f>
        <v>8383</v>
      </c>
      <c r="I74" s="31">
        <f t="shared" si="5"/>
        <v>0.89048226046314005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350</v>
      </c>
      <c r="E75" s="473">
        <f>SUM(E69,E72)</f>
        <v>96</v>
      </c>
      <c r="F75" s="32">
        <f t="shared" si="4"/>
        <v>0.2742857142857143</v>
      </c>
      <c r="G75" s="473">
        <f>SUM(G69,G72)</f>
        <v>525</v>
      </c>
      <c r="H75" s="473">
        <f>SUM(H69,H72)</f>
        <v>139</v>
      </c>
      <c r="I75" s="32">
        <f t="shared" si="5"/>
        <v>0.26476190476190475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18287</v>
      </c>
      <c r="E76" s="473">
        <f>SUM(E70,E73)</f>
        <v>15622</v>
      </c>
      <c r="F76" s="32">
        <f t="shared" si="4"/>
        <v>0.85426805927708205</v>
      </c>
      <c r="G76" s="473">
        <f>SUM(G70,G73)</f>
        <v>36717</v>
      </c>
      <c r="H76" s="473">
        <f>SUM(H70,H73)</f>
        <v>31484</v>
      </c>
      <c r="I76" s="32">
        <f t="shared" si="5"/>
        <v>0.85747746275567172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18637</v>
      </c>
      <c r="E77" s="481">
        <f>SUM(E75:E76)</f>
        <v>15718</v>
      </c>
      <c r="F77" s="34">
        <f t="shared" si="4"/>
        <v>0.84337607984117613</v>
      </c>
      <c r="G77" s="481">
        <f>SUM(G75:G76)</f>
        <v>37242</v>
      </c>
      <c r="H77" s="481">
        <f>SUM(H75:H76)</f>
        <v>31623</v>
      </c>
      <c r="I77" s="34">
        <f t="shared" si="5"/>
        <v>0.84912195907845978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D84+'2017JAN'!G84</f>
        <v>2</v>
      </c>
      <c r="H84" s="479">
        <f>E84+'2017JAN'!H84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69</v>
      </c>
      <c r="F85" s="28">
        <f t="shared" ref="F85:F98" si="6">E85/D85</f>
        <v>0.81176470588235294</v>
      </c>
      <c r="G85" s="479">
        <f>D85+'2017JAN'!G85</f>
        <v>168</v>
      </c>
      <c r="H85" s="479">
        <f>E85+'2017JAN'!H85</f>
        <v>138</v>
      </c>
      <c r="I85" s="28">
        <f t="shared" ref="I85:I98" si="7">H85/G85</f>
        <v>0.8214285714285714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6"/>
        <v>0.81176470588235294</v>
      </c>
      <c r="G86" s="487">
        <f>SUM(G84:G85)</f>
        <v>170</v>
      </c>
      <c r="H86" s="487">
        <f>SUM(H84:H85)</f>
        <v>138</v>
      </c>
      <c r="I86" s="30">
        <f t="shared" si="7"/>
        <v>0.81176470588235294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D87+'2017JAN'!G87</f>
        <v>1</v>
      </c>
      <c r="H87" s="479">
        <f>E87+'2017JAN'!H87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D88+'2017JAN'!G88</f>
        <v>39</v>
      </c>
      <c r="H88" s="479">
        <f>E88+'2017JAN'!H88</f>
        <v>35</v>
      </c>
      <c r="I88" s="28">
        <f t="shared" si="7"/>
        <v>0.89743589743589747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40</v>
      </c>
      <c r="H89" s="487">
        <f>SUM(H87:H88)</f>
        <v>35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0</v>
      </c>
      <c r="F90" s="28" t="e">
        <f t="shared" si="6"/>
        <v>#DIV/0!</v>
      </c>
      <c r="G90" s="479">
        <f>D90+'2017JAN'!G90</f>
        <v>1</v>
      </c>
      <c r="H90" s="479">
        <f>E90+'2017JAN'!H90</f>
        <v>0</v>
      </c>
      <c r="I90" s="28">
        <f t="shared" si="7"/>
        <v>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50</v>
      </c>
      <c r="E91" s="490">
        <v>46</v>
      </c>
      <c r="F91" s="28">
        <f t="shared" si="6"/>
        <v>0.92</v>
      </c>
      <c r="G91" s="479">
        <f>D91+'2017JAN'!G91</f>
        <v>99</v>
      </c>
      <c r="H91" s="479">
        <f>E91+'2017JAN'!H91</f>
        <v>92</v>
      </c>
      <c r="I91" s="28">
        <f t="shared" si="7"/>
        <v>0.92929292929292928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6"/>
        <v>0.92</v>
      </c>
      <c r="G92" s="487">
        <f>SUM(G90:G91)</f>
        <v>100</v>
      </c>
      <c r="H92" s="487">
        <f>SUM(H90:H91)</f>
        <v>92</v>
      </c>
      <c r="I92" s="30">
        <f t="shared" si="7"/>
        <v>0.92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D93+'2017JAN'!G93</f>
        <v>3</v>
      </c>
      <c r="H93" s="479">
        <f>E93+'2017JAN'!H93</f>
        <v>1.5</v>
      </c>
      <c r="I93" s="28">
        <f t="shared" si="7"/>
        <v>0.5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83</v>
      </c>
      <c r="F94" s="28">
        <f t="shared" si="6"/>
        <v>0.90217391304347827</v>
      </c>
      <c r="G94" s="479">
        <f>D94+'2017JAN'!G94</f>
        <v>181</v>
      </c>
      <c r="H94" s="479">
        <f>E94+'2017JAN'!H94</f>
        <v>166.5</v>
      </c>
      <c r="I94" s="28">
        <f t="shared" si="7"/>
        <v>0.91988950276243098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83.5</v>
      </c>
      <c r="F95" s="30">
        <f t="shared" si="6"/>
        <v>0.90760869565217395</v>
      </c>
      <c r="G95" s="487">
        <f>SUM(G93:G94)</f>
        <v>184</v>
      </c>
      <c r="H95" s="487">
        <f>SUM(H93:H94)</f>
        <v>168</v>
      </c>
      <c r="I95" s="30">
        <f t="shared" si="7"/>
        <v>0.91304347826086951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0.5</v>
      </c>
      <c r="F96" s="31" t="e">
        <f t="shared" si="6"/>
        <v>#DIV/0!</v>
      </c>
      <c r="G96" s="474">
        <f>SUM(G84,G87,G90,G93)</f>
        <v>7</v>
      </c>
      <c r="H96" s="474">
        <f>SUM(H84,H87,H90,H93)</f>
        <v>1.5</v>
      </c>
      <c r="I96" s="31">
        <f t="shared" si="7"/>
        <v>0.21428571428571427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247</v>
      </c>
      <c r="E97" s="474">
        <f>SUM(E85,E88,E91,E94)</f>
        <v>215.5</v>
      </c>
      <c r="F97" s="31">
        <f t="shared" si="6"/>
        <v>0.87246963562753033</v>
      </c>
      <c r="G97" s="474">
        <f>SUM(G85,G88,G91,G94)</f>
        <v>487</v>
      </c>
      <c r="H97" s="474">
        <f>SUM(H85,H88,H91,H94)</f>
        <v>431.5</v>
      </c>
      <c r="I97" s="31">
        <f t="shared" si="7"/>
        <v>0.88603696098562623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247</v>
      </c>
      <c r="E98" s="475">
        <f>SUM(E96:E97)</f>
        <v>216</v>
      </c>
      <c r="F98" s="41">
        <f t="shared" si="6"/>
        <v>0.87449392712550611</v>
      </c>
      <c r="G98" s="475">
        <f>SUM(G96:G97)</f>
        <v>494</v>
      </c>
      <c r="H98" s="475">
        <f>SUM(H96:H97)</f>
        <v>433</v>
      </c>
      <c r="I98" s="41">
        <f t="shared" si="7"/>
        <v>0.87651821862348178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D99+'2017JAN'!G99</f>
        <v>2</v>
      </c>
      <c r="H99" s="478">
        <f>E99+'2017JAN'!H99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6">
        <f>D100+'2017JAN'!G100</f>
        <v>148</v>
      </c>
      <c r="H100" s="476">
        <f>E100+'2017JAN'!H100</f>
        <v>118</v>
      </c>
      <c r="I100" s="28">
        <f t="shared" ref="I100:I109" si="9">H100/G100</f>
        <v>0.79729729729729726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150</v>
      </c>
      <c r="H101" s="487">
        <f>SUM(H99:H100)</f>
        <v>118</v>
      </c>
      <c r="I101" s="30">
        <f t="shared" si="9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D102+'2017JAN'!G102</f>
        <v>2</v>
      </c>
      <c r="H102" s="479">
        <f>E102+'2017JAN'!H102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35</v>
      </c>
      <c r="F103" s="28">
        <f t="shared" si="8"/>
        <v>0.85365853658536583</v>
      </c>
      <c r="G103" s="479">
        <f>D103+'2017JAN'!G103</f>
        <v>80</v>
      </c>
      <c r="H103" s="479">
        <f>E103+'2017JAN'!H103</f>
        <v>71.5</v>
      </c>
      <c r="I103" s="28">
        <f t="shared" si="9"/>
        <v>0.89375000000000004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35</v>
      </c>
      <c r="F104" s="30">
        <f t="shared" si="8"/>
        <v>0.85365853658536583</v>
      </c>
      <c r="G104" s="487">
        <f>SUM(G102:G103)</f>
        <v>82</v>
      </c>
      <c r="H104" s="487">
        <f>SUM(H102:H103)</f>
        <v>71.5</v>
      </c>
      <c r="I104" s="30">
        <f t="shared" si="9"/>
        <v>0.87195121951219512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94</v>
      </c>
      <c r="F106" s="30">
        <f t="shared" si="8"/>
        <v>0.81034482758620685</v>
      </c>
      <c r="G106" s="474">
        <f>SUM(G100,G103)</f>
        <v>228</v>
      </c>
      <c r="H106" s="474">
        <f>SUM(H100,H103)</f>
        <v>189.5</v>
      </c>
      <c r="I106" s="30">
        <f t="shared" si="9"/>
        <v>0.83114035087719296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94</v>
      </c>
      <c r="F107" s="41">
        <f t="shared" si="8"/>
        <v>0.81034482758620685</v>
      </c>
      <c r="G107" s="475">
        <f>SUM(G105:G106)</f>
        <v>232</v>
      </c>
      <c r="H107" s="475">
        <f>SUM(H105:H106)</f>
        <v>189.5</v>
      </c>
      <c r="I107" s="41">
        <f t="shared" si="9"/>
        <v>0.81681034482758619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0.5</v>
      </c>
      <c r="F108" s="45" t="e">
        <f t="shared" si="8"/>
        <v>#DIV/0!</v>
      </c>
      <c r="G108" s="46">
        <f>SUM(G96,G105)</f>
        <v>11</v>
      </c>
      <c r="H108" s="46">
        <f>SUM(H96,H105)</f>
        <v>1.5</v>
      </c>
      <c r="I108" s="45">
        <f t="shared" si="9"/>
        <v>0.13636363636363635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363</v>
      </c>
      <c r="E109" s="473">
        <f>SUM(E97,E106)</f>
        <v>309.5</v>
      </c>
      <c r="F109" s="32">
        <f t="shared" si="8"/>
        <v>0.85261707988980717</v>
      </c>
      <c r="G109" s="473">
        <f>SUM(G97,G106)</f>
        <v>715</v>
      </c>
      <c r="H109" s="473">
        <f>SUM(H97,H106)</f>
        <v>621</v>
      </c>
      <c r="I109" s="32">
        <f t="shared" si="9"/>
        <v>0.86853146853146856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363</v>
      </c>
      <c r="E110" s="473">
        <f>SUM(E108:E109)</f>
        <v>310</v>
      </c>
      <c r="F110" s="49">
        <f>E110/D110</f>
        <v>0.85399449035812669</v>
      </c>
      <c r="G110" s="472">
        <f>SUM(G108:G109)</f>
        <v>726</v>
      </c>
      <c r="H110" s="472">
        <f>SUM(H108:H109)</f>
        <v>622.5</v>
      </c>
      <c r="I110" s="49">
        <f>H110/G110</f>
        <v>0.8574380165289256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352</v>
      </c>
      <c r="D118" s="592"/>
      <c r="E118" s="591">
        <v>10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458</v>
      </c>
      <c r="D123" s="590"/>
      <c r="E123" s="590">
        <v>184</v>
      </c>
      <c r="F123" s="590"/>
      <c r="G123" s="590">
        <v>356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102</v>
      </c>
      <c r="D128" s="563"/>
      <c r="E128" s="564"/>
      <c r="F128" s="562" t="s">
        <v>133</v>
      </c>
      <c r="G128" s="563"/>
      <c r="H128" s="563"/>
      <c r="I128" s="564"/>
      <c r="J128" s="562" t="s">
        <v>137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566" t="s">
        <v>321</v>
      </c>
      <c r="D129" s="567"/>
      <c r="E129" s="568"/>
      <c r="F129" s="525" t="s">
        <v>313</v>
      </c>
      <c r="G129" s="526"/>
      <c r="H129" s="526"/>
      <c r="I129" s="527"/>
      <c r="J129" s="525" t="s">
        <v>322</v>
      </c>
      <c r="K129" s="526"/>
      <c r="L129" s="526"/>
      <c r="M129" s="706"/>
    </row>
    <row r="130" spans="1:13" ht="35.25" customHeight="1">
      <c r="A130" s="553" t="s">
        <v>104</v>
      </c>
      <c r="B130" s="554"/>
      <c r="C130" s="577"/>
      <c r="D130" s="567"/>
      <c r="E130" s="568"/>
      <c r="F130" s="566"/>
      <c r="G130" s="567"/>
      <c r="H130" s="567"/>
      <c r="I130" s="568"/>
      <c r="J130" s="566"/>
      <c r="K130" s="567"/>
      <c r="L130" s="567"/>
      <c r="M130" s="578"/>
    </row>
    <row r="131" spans="1:13" ht="67.5" customHeight="1">
      <c r="A131" s="553" t="s">
        <v>105</v>
      </c>
      <c r="B131" s="554"/>
      <c r="C131" s="555" t="s">
        <v>323</v>
      </c>
      <c r="D131" s="556"/>
      <c r="E131" s="557"/>
      <c r="F131" s="555" t="s">
        <v>324</v>
      </c>
      <c r="G131" s="556"/>
      <c r="H131" s="556"/>
      <c r="I131" s="557"/>
      <c r="J131" s="555" t="s">
        <v>324</v>
      </c>
      <c r="K131" s="556"/>
      <c r="L131" s="556"/>
      <c r="M131" s="705"/>
    </row>
    <row r="132" spans="1:13" ht="35.25" customHeight="1" thickBot="1">
      <c r="A132" s="543" t="s">
        <v>106</v>
      </c>
      <c r="B132" s="544"/>
      <c r="C132" s="545" t="s">
        <v>325</v>
      </c>
      <c r="D132" s="546"/>
      <c r="E132" s="547"/>
      <c r="F132" s="545" t="s">
        <v>326</v>
      </c>
      <c r="G132" s="546"/>
      <c r="H132" s="546"/>
      <c r="I132" s="547"/>
      <c r="J132" s="546"/>
      <c r="K132" s="546"/>
      <c r="L132" s="546"/>
      <c r="M132" s="704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'2017JAN'!H138</f>
        <v>-16230</v>
      </c>
      <c r="C138" s="63">
        <f>E43-E42</f>
        <v>18432</v>
      </c>
      <c r="D138" s="504">
        <v>38591</v>
      </c>
      <c r="E138" s="531" t="s">
        <v>114</v>
      </c>
      <c r="F138" s="531"/>
      <c r="G138" s="531"/>
      <c r="H138" s="505">
        <f>C138+A138+B138-D138</f>
        <v>14611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9431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16146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1873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D3C29C25-E328-9841-BA4F-5BB678908980}">
      <formula1>"Jan, Feb, March, April, May, June, July, Aug, Sep, Oct, Nov, Dec"</formula1>
    </dataValidation>
    <dataValidation type="list" allowBlank="1" showInputMessage="1" showErrorMessage="1" sqref="L3" xr:uid="{2F5547E0-330D-6642-AEE9-F13FDD214C44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CE84-6B7F-D543-B71A-AF5295A8A9F2}">
  <sheetPr codeName="Sheet4">
    <pageSetUpPr fitToPage="1"/>
  </sheetPr>
  <dimension ref="A1:N150"/>
  <sheetViews>
    <sheetView topLeftCell="B19" zoomScale="85" zoomScaleNormal="8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42832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3</v>
      </c>
      <c r="E10" s="691" t="s">
        <v>320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13986</v>
      </c>
      <c r="E21" s="490">
        <v>11504</v>
      </c>
      <c r="F21" s="14">
        <f t="shared" ref="F21:F26" si="0">E21/D21</f>
        <v>0.82253682253682259</v>
      </c>
      <c r="G21" s="479">
        <f>D21+'2017FEB'!G21</f>
        <v>41814</v>
      </c>
      <c r="H21" s="479">
        <f>E21+'2017FEB'!H21</f>
        <v>34744</v>
      </c>
      <c r="I21" s="14">
        <f t="shared" ref="I21:I26" si="1">H21/G21</f>
        <v>0.83091787439613529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13986</v>
      </c>
      <c r="E22" s="487">
        <f>SUM(E21:E21)</f>
        <v>11504</v>
      </c>
      <c r="F22" s="16">
        <f t="shared" si="0"/>
        <v>0.82253682253682259</v>
      </c>
      <c r="G22" s="487">
        <f>SUM(G21:G21)</f>
        <v>41814</v>
      </c>
      <c r="H22" s="487">
        <f>SUM(H21:H21)</f>
        <v>34744</v>
      </c>
      <c r="I22" s="16">
        <f t="shared" si="1"/>
        <v>0.83091787439613529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4682</v>
      </c>
      <c r="E23" s="490">
        <v>4143</v>
      </c>
      <c r="F23" s="14">
        <f t="shared" si="0"/>
        <v>0.88487825715506196</v>
      </c>
      <c r="G23" s="479">
        <f>D23+'2017FEB'!G23</f>
        <v>14096</v>
      </c>
      <c r="H23" s="479">
        <f>E23+'2017FEB'!H23</f>
        <v>12526</v>
      </c>
      <c r="I23" s="14">
        <f t="shared" si="1"/>
        <v>0.88862088535754824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4682</v>
      </c>
      <c r="E25" s="487">
        <f>SUM(E23:E24)</f>
        <v>4143</v>
      </c>
      <c r="F25" s="16">
        <f t="shared" si="0"/>
        <v>0.88487825715506196</v>
      </c>
      <c r="G25" s="487">
        <f>SUM(G23:G24)</f>
        <v>14096</v>
      </c>
      <c r="H25" s="487">
        <f>SUM(H23:H24)</f>
        <v>12526</v>
      </c>
      <c r="I25" s="16">
        <f t="shared" si="1"/>
        <v>0.88862088535754824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18668</v>
      </c>
      <c r="E26" s="489">
        <f>SUM(E22,E25)</f>
        <v>15647</v>
      </c>
      <c r="F26" s="17">
        <f t="shared" si="0"/>
        <v>0.83817227340904221</v>
      </c>
      <c r="G26" s="489">
        <f>SUM(G22,G25)</f>
        <v>55910</v>
      </c>
      <c r="H26" s="489">
        <f>SUM(H22,H25)</f>
        <v>47270</v>
      </c>
      <c r="I26" s="17">
        <f t="shared" si="1"/>
        <v>0.84546592738329462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832</v>
      </c>
      <c r="F28" s="14">
        <f>E28/D28</f>
        <v>4.16</v>
      </c>
      <c r="G28" s="479">
        <f>D28+'2017FEB'!G28</f>
        <v>600</v>
      </c>
      <c r="H28" s="479">
        <f>E28+'2017FEB'!H28</f>
        <v>3843</v>
      </c>
      <c r="I28" s="14">
        <f>H28/G28</f>
        <v>6.4050000000000002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832</v>
      </c>
      <c r="F30" s="14">
        <f t="shared" si="2"/>
        <v>4.16</v>
      </c>
      <c r="G30" s="487">
        <f>SUM(G28:G29)</f>
        <v>600</v>
      </c>
      <c r="H30" s="487">
        <f>SUM(H28:H29)</f>
        <v>3843</v>
      </c>
      <c r="I30" s="14">
        <f t="shared" si="3"/>
        <v>6.4050000000000002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2200</v>
      </c>
      <c r="E31" s="490">
        <v>12468</v>
      </c>
      <c r="F31" s="14">
        <f t="shared" si="2"/>
        <v>5.667272727272727</v>
      </c>
      <c r="G31" s="479">
        <f>D31+'2017FEB'!G31</f>
        <v>5100</v>
      </c>
      <c r="H31" s="479">
        <f>E31+'2017FEB'!H31</f>
        <v>16399</v>
      </c>
      <c r="I31" s="14">
        <f t="shared" si="3"/>
        <v>3.2154901960784312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2400</v>
      </c>
      <c r="E32" s="485">
        <f>SUM(E30,E31)</f>
        <v>13300</v>
      </c>
      <c r="F32" s="14">
        <f t="shared" si="2"/>
        <v>5.541666666666667</v>
      </c>
      <c r="G32" s="485">
        <f>SUM(G30,G31)</f>
        <v>5700</v>
      </c>
      <c r="H32" s="485">
        <f>SUM(H30,H31)</f>
        <v>20242</v>
      </c>
      <c r="I32" s="14">
        <f t="shared" si="3"/>
        <v>3.5512280701754384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D33+'2017FEB'!G33</f>
        <v>105000</v>
      </c>
      <c r="H33" s="479">
        <f>E33+'2017FEB'!H33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105000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105000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492</v>
      </c>
      <c r="F40" s="21">
        <f t="shared" si="2"/>
        <v>1.64</v>
      </c>
      <c r="G40" s="483">
        <f>D40+'2017FEB'!G40</f>
        <v>900</v>
      </c>
      <c r="H40" s="483">
        <f>E40+'2017FEB'!H40</f>
        <v>2040</v>
      </c>
      <c r="I40" s="21">
        <f t="shared" si="3"/>
        <v>2.2666666666666666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>D41+'2017FEB'!G41</f>
        <v>6750</v>
      </c>
      <c r="H41" s="483">
        <f>E41+'2017FEB'!H41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0</v>
      </c>
      <c r="F42" s="21">
        <f t="shared" si="2"/>
        <v>0</v>
      </c>
      <c r="G42" s="483">
        <f>D42+'2017FEB'!G42</f>
        <v>51000</v>
      </c>
      <c r="H42" s="483">
        <f>E42+'2017FEB'!H42</f>
        <v>51000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75618</v>
      </c>
      <c r="E43" s="484">
        <f>SUM(E26,E32,E39,E40:E42)</f>
        <v>29439</v>
      </c>
      <c r="F43" s="22">
        <f t="shared" si="2"/>
        <v>0.38931206855510592</v>
      </c>
      <c r="G43" s="484">
        <f>SUM(G26,G32,G39,G40:G42)</f>
        <v>225260</v>
      </c>
      <c r="H43" s="484">
        <f>SUM(H26,H32,H39,H40:H42)</f>
        <v>120552</v>
      </c>
      <c r="I43" s="22">
        <f t="shared" si="3"/>
        <v>0.53516825002219659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75318</v>
      </c>
      <c r="E44" s="484">
        <f>E43-E40</f>
        <v>28947</v>
      </c>
      <c r="F44" s="22">
        <f t="shared" si="2"/>
        <v>0.38433043893889907</v>
      </c>
      <c r="G44" s="484">
        <f>G43-G40</f>
        <v>224360</v>
      </c>
      <c r="H44" s="484">
        <f>H43-H40</f>
        <v>118512</v>
      </c>
      <c r="I44" s="22">
        <f t="shared" si="3"/>
        <v>0.52822249955428779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58318</v>
      </c>
      <c r="E45" s="482">
        <f>E44-E42</f>
        <v>28947</v>
      </c>
      <c r="F45" s="23">
        <f t="shared" si="2"/>
        <v>0.4963647587365822</v>
      </c>
      <c r="G45" s="482">
        <f>G44-G42</f>
        <v>173360</v>
      </c>
      <c r="H45" s="482">
        <f>H44-H42</f>
        <v>67512</v>
      </c>
      <c r="I45" s="23">
        <f t="shared" si="3"/>
        <v>0.38943239501615134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D51+'2017FEB'!G51</f>
        <v>15</v>
      </c>
      <c r="H51" s="479">
        <f>E51+'2017FEB'!H51</f>
        <v>4</v>
      </c>
      <c r="I51" s="28">
        <f t="shared" ref="I51:I77" si="5">H51/G51</f>
        <v>0.26666666666666666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413</v>
      </c>
      <c r="E52" s="490">
        <v>402</v>
      </c>
      <c r="F52" s="28">
        <f t="shared" si="4"/>
        <v>0.9733656174334141</v>
      </c>
      <c r="G52" s="479">
        <f>D52+'2017FEB'!G52</f>
        <v>1250</v>
      </c>
      <c r="H52" s="479">
        <f>E52+'2017FEB'!H52</f>
        <v>1217</v>
      </c>
      <c r="I52" s="28">
        <f t="shared" si="5"/>
        <v>0.97360000000000002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418</v>
      </c>
      <c r="E53" s="487">
        <f>SUM(E51:E52)</f>
        <v>403</v>
      </c>
      <c r="F53" s="30">
        <f t="shared" si="4"/>
        <v>0.96411483253588515</v>
      </c>
      <c r="G53" s="487">
        <f>SUM(G51:G52)</f>
        <v>1265</v>
      </c>
      <c r="H53" s="487">
        <f>SUM(H51:H52)</f>
        <v>1221</v>
      </c>
      <c r="I53" s="30">
        <f t="shared" si="5"/>
        <v>0.9652173913043478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D54+'2017FEB'!G54</f>
        <v>6</v>
      </c>
      <c r="H54" s="479">
        <f>E54+'2017FEB'!H54</f>
        <v>3</v>
      </c>
      <c r="I54" s="28">
        <f t="shared" si="5"/>
        <v>0.5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308</v>
      </c>
      <c r="E55" s="490">
        <v>353</v>
      </c>
      <c r="F55" s="28">
        <f t="shared" si="4"/>
        <v>1.1461038961038961</v>
      </c>
      <c r="G55" s="479">
        <f>D55+'2017FEB'!G55</f>
        <v>932</v>
      </c>
      <c r="H55" s="479">
        <f>E55+'2017FEB'!H55</f>
        <v>1071</v>
      </c>
      <c r="I55" s="28">
        <f t="shared" si="5"/>
        <v>1.1491416309012876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310</v>
      </c>
      <c r="E56" s="474">
        <f>SUM(E54:E55)</f>
        <v>353</v>
      </c>
      <c r="F56" s="28">
        <f t="shared" si="4"/>
        <v>1.1387096774193548</v>
      </c>
      <c r="G56" s="474">
        <f>SUM(G54:G55)</f>
        <v>938</v>
      </c>
      <c r="H56" s="474">
        <f>SUM(H54:H55)</f>
        <v>1074</v>
      </c>
      <c r="I56" s="31">
        <f t="shared" si="5"/>
        <v>1.1449893390191899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21</v>
      </c>
      <c r="H57" s="473">
        <f>SUM(H51,H54)</f>
        <v>7</v>
      </c>
      <c r="I57" s="32">
        <f t="shared" si="5"/>
        <v>0.33333333333333331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721</v>
      </c>
      <c r="E58" s="473">
        <f>SUM(E52,E55)</f>
        <v>755</v>
      </c>
      <c r="F58" s="32">
        <f t="shared" si="4"/>
        <v>1.0471567267683772</v>
      </c>
      <c r="G58" s="473">
        <f>SUM(G52,G55)</f>
        <v>2182</v>
      </c>
      <c r="H58" s="473">
        <f>SUM(H52,H55)</f>
        <v>2288</v>
      </c>
      <c r="I58" s="32">
        <f t="shared" si="5"/>
        <v>1.0485792850595783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728</v>
      </c>
      <c r="E59" s="481">
        <f>SUM(E57:E58)</f>
        <v>756</v>
      </c>
      <c r="F59" s="33">
        <f t="shared" si="4"/>
        <v>1.0384615384615385</v>
      </c>
      <c r="G59" s="481">
        <f>SUM(G57:G58)</f>
        <v>2203</v>
      </c>
      <c r="H59" s="481">
        <f>SUM(H57:H58)</f>
        <v>2295</v>
      </c>
      <c r="I59" s="33">
        <f t="shared" si="5"/>
        <v>1.0417612346799818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D60+'2017FEB'!G60</f>
        <v>48</v>
      </c>
      <c r="H60" s="479">
        <f>E60+'2017FEB'!H60</f>
        <v>10</v>
      </c>
      <c r="I60" s="28">
        <f t="shared" si="5"/>
        <v>0.20833333333333334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1352</v>
      </c>
      <c r="E61" s="479">
        <f>E70/10</f>
        <v>1146.9000000000001</v>
      </c>
      <c r="F61" s="28">
        <f t="shared" si="4"/>
        <v>0.8482988165680474</v>
      </c>
      <c r="G61" s="479">
        <f>D61+'2017FEB'!G61</f>
        <v>4088</v>
      </c>
      <c r="H61" s="479">
        <f>E61+'2017FEB'!H61</f>
        <v>3464.4</v>
      </c>
      <c r="I61" s="28">
        <f t="shared" si="5"/>
        <v>0.84745596868884543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1368</v>
      </c>
      <c r="E62" s="487">
        <f>SUM(E60:E61)</f>
        <v>1150.4000000000001</v>
      </c>
      <c r="F62" s="30">
        <f t="shared" si="4"/>
        <v>0.84093567251461998</v>
      </c>
      <c r="G62" s="487">
        <f>SUM(G60:G61)</f>
        <v>4136</v>
      </c>
      <c r="H62" s="487">
        <f>SUM(H60:H61)</f>
        <v>3474.4</v>
      </c>
      <c r="I62" s="30">
        <f t="shared" si="5"/>
        <v>0.8400386847195358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D63+'2017FEB'!G63</f>
        <v>6</v>
      </c>
      <c r="H63" s="479">
        <f>E63+'2017FEB'!H63</f>
        <v>7.4</v>
      </c>
      <c r="I63" s="28">
        <f t="shared" si="5"/>
        <v>1.2333333333333334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462</v>
      </c>
      <c r="E64" s="479">
        <f>E73/10</f>
        <v>414.3</v>
      </c>
      <c r="F64" s="28">
        <f t="shared" si="4"/>
        <v>0.89675324675324675</v>
      </c>
      <c r="G64" s="479">
        <f>D64+'2017FEB'!G64</f>
        <v>1398</v>
      </c>
      <c r="H64" s="479">
        <f>E64+'2017FEB'!H64</f>
        <v>1245.2</v>
      </c>
      <c r="I64" s="28">
        <f t="shared" si="5"/>
        <v>0.89070100143061515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464</v>
      </c>
      <c r="E65" s="474">
        <f>SUM(E63:E64)</f>
        <v>414.3</v>
      </c>
      <c r="F65" s="31">
        <f t="shared" si="4"/>
        <v>0.89288793103448283</v>
      </c>
      <c r="G65" s="474">
        <f>SUM(G63:G64)</f>
        <v>1404</v>
      </c>
      <c r="H65" s="474">
        <f>SUM(H63:H64)</f>
        <v>1252.6000000000001</v>
      </c>
      <c r="I65" s="31">
        <f t="shared" si="5"/>
        <v>0.89216524216524229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54</v>
      </c>
      <c r="H66" s="473">
        <f>SUM(H60,H63)</f>
        <v>17.399999999999999</v>
      </c>
      <c r="I66" s="32">
        <f t="shared" si="5"/>
        <v>0.32222222222222219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1814</v>
      </c>
      <c r="E67" s="473">
        <f>SUM(E61,E64)</f>
        <v>1561.2</v>
      </c>
      <c r="F67" s="32">
        <f t="shared" si="4"/>
        <v>0.86063947078280045</v>
      </c>
      <c r="G67" s="473">
        <f>SUM(G61,G64)</f>
        <v>5486</v>
      </c>
      <c r="H67" s="473">
        <f>SUM(H61,H64)</f>
        <v>4709.6000000000004</v>
      </c>
      <c r="I67" s="32">
        <f t="shared" si="5"/>
        <v>0.85847612103536286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1832</v>
      </c>
      <c r="E68" s="481">
        <f>SUM(E66:E67)</f>
        <v>1564.7</v>
      </c>
      <c r="F68" s="34">
        <f t="shared" si="4"/>
        <v>0.85409388646288209</v>
      </c>
      <c r="G68" s="481">
        <f>SUM(G66:G67)</f>
        <v>5540</v>
      </c>
      <c r="H68" s="481">
        <f>SUM(H66:H67)</f>
        <v>4727</v>
      </c>
      <c r="I68" s="34">
        <f t="shared" si="5"/>
        <v>0.85324909747292421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465</v>
      </c>
      <c r="E69" s="490">
        <v>35</v>
      </c>
      <c r="F69" s="28">
        <f t="shared" si="4"/>
        <v>7.5268817204301078E-2</v>
      </c>
      <c r="G69" s="479">
        <f>D69+'2017FEB'!G69</f>
        <v>930</v>
      </c>
      <c r="H69" s="479">
        <f>E69+'2017FEB'!H69</f>
        <v>100</v>
      </c>
      <c r="I69" s="28">
        <f t="shared" si="5"/>
        <v>0.10752688172043011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13521</v>
      </c>
      <c r="E70" s="479">
        <f>E21-E69</f>
        <v>11469</v>
      </c>
      <c r="F70" s="28">
        <f t="shared" si="4"/>
        <v>0.84823607721322392</v>
      </c>
      <c r="G70" s="479">
        <f>D70+'2017FEB'!G70</f>
        <v>40884</v>
      </c>
      <c r="H70" s="479">
        <f>E70+'2017FEB'!H70</f>
        <v>34644</v>
      </c>
      <c r="I70" s="28">
        <f t="shared" si="5"/>
        <v>0.84737305547402408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13986</v>
      </c>
      <c r="E71" s="487">
        <f>SUM(E69:E70)</f>
        <v>11504</v>
      </c>
      <c r="F71" s="30">
        <f t="shared" si="4"/>
        <v>0.82253682253682259</v>
      </c>
      <c r="G71" s="487">
        <f>SUM(G69:G70)</f>
        <v>41814</v>
      </c>
      <c r="H71" s="487">
        <f>SUM(H69:H70)</f>
        <v>34744</v>
      </c>
      <c r="I71" s="30">
        <f t="shared" si="5"/>
        <v>0.83091787439613529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60</v>
      </c>
      <c r="E72" s="490">
        <v>0</v>
      </c>
      <c r="F72" s="28">
        <f t="shared" si="4"/>
        <v>0</v>
      </c>
      <c r="G72" s="479">
        <f>D72+'2017FEB'!G72</f>
        <v>120</v>
      </c>
      <c r="H72" s="479">
        <f>E72+'2017FEB'!H72</f>
        <v>74</v>
      </c>
      <c r="I72" s="28">
        <f t="shared" si="5"/>
        <v>0.6166666666666667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4622</v>
      </c>
      <c r="E73" s="479">
        <f>E23-E72</f>
        <v>4143</v>
      </c>
      <c r="F73" s="28">
        <f t="shared" si="4"/>
        <v>0.89636520986585888</v>
      </c>
      <c r="G73" s="479">
        <f>D73+'2017FEB'!G73</f>
        <v>13976</v>
      </c>
      <c r="H73" s="479">
        <f>E73+'2017FEB'!H73</f>
        <v>12452</v>
      </c>
      <c r="I73" s="28">
        <f t="shared" si="5"/>
        <v>0.89095592444190042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4682</v>
      </c>
      <c r="E74" s="474">
        <f>SUM(E72:E73)</f>
        <v>4143</v>
      </c>
      <c r="F74" s="31">
        <f t="shared" si="4"/>
        <v>0.88487825715506196</v>
      </c>
      <c r="G74" s="474">
        <f>SUM(G72:G73)</f>
        <v>14096</v>
      </c>
      <c r="H74" s="474">
        <f>SUM(H72:H73)</f>
        <v>12526</v>
      </c>
      <c r="I74" s="31">
        <f t="shared" si="5"/>
        <v>0.88862088535754824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525</v>
      </c>
      <c r="E75" s="473">
        <f>SUM(E69,E72)</f>
        <v>35</v>
      </c>
      <c r="F75" s="32">
        <f t="shared" si="4"/>
        <v>6.6666666666666666E-2</v>
      </c>
      <c r="G75" s="473">
        <f>SUM(G69,G72)</f>
        <v>1050</v>
      </c>
      <c r="H75" s="473">
        <f>SUM(H69,H72)</f>
        <v>174</v>
      </c>
      <c r="I75" s="32">
        <f t="shared" si="5"/>
        <v>0.1657142857142857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18143</v>
      </c>
      <c r="E76" s="473">
        <f>SUM(E70,E73)</f>
        <v>15612</v>
      </c>
      <c r="F76" s="32">
        <f t="shared" si="4"/>
        <v>0.8604971614396737</v>
      </c>
      <c r="G76" s="473">
        <f>SUM(G70,G73)</f>
        <v>54860</v>
      </c>
      <c r="H76" s="473">
        <f>SUM(H70,H73)</f>
        <v>47096</v>
      </c>
      <c r="I76" s="32">
        <f t="shared" si="5"/>
        <v>0.85847612103536275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18668</v>
      </c>
      <c r="E77" s="481">
        <f>SUM(E75:E76)</f>
        <v>15647</v>
      </c>
      <c r="F77" s="34">
        <f t="shared" si="4"/>
        <v>0.83817227340904221</v>
      </c>
      <c r="G77" s="481">
        <f>SUM(G75:G76)</f>
        <v>55910</v>
      </c>
      <c r="H77" s="481">
        <f>SUM(H75:H76)</f>
        <v>47270</v>
      </c>
      <c r="I77" s="34">
        <f t="shared" si="5"/>
        <v>0.84546592738329462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D84+'2017FEB'!G84</f>
        <v>2</v>
      </c>
      <c r="H84" s="479">
        <f>E84+'2017FEB'!H84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D85+'2017FEB'!G85</f>
        <v>253</v>
      </c>
      <c r="H85" s="479">
        <f>E85+'2017FEB'!H85</f>
        <v>205.5</v>
      </c>
      <c r="I85" s="28">
        <f t="shared" ref="I85:I98" si="7">H85/G85</f>
        <v>0.81225296442687744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255</v>
      </c>
      <c r="H86" s="487">
        <f>SUM(H84:H85)</f>
        <v>205.5</v>
      </c>
      <c r="I86" s="30">
        <f t="shared" si="7"/>
        <v>0.80588235294117649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D87+'2017FEB'!G87</f>
        <v>1</v>
      </c>
      <c r="H87" s="479">
        <f>E87+'2017FEB'!H87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D88+'2017FEB'!G88</f>
        <v>59</v>
      </c>
      <c r="H88" s="479">
        <f>E88+'2017FEB'!H88</f>
        <v>52.5</v>
      </c>
      <c r="I88" s="28">
        <f t="shared" si="7"/>
        <v>0.88983050847457623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60</v>
      </c>
      <c r="H89" s="487">
        <f>SUM(H87:H88)</f>
        <v>52.5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1</v>
      </c>
      <c r="E90" s="490">
        <v>1</v>
      </c>
      <c r="F90" s="28">
        <f t="shared" si="6"/>
        <v>1</v>
      </c>
      <c r="G90" s="479">
        <f>D90+'2017FEB'!G90</f>
        <v>2</v>
      </c>
      <c r="H90" s="479">
        <f>E90+'2017FEB'!H90</f>
        <v>1</v>
      </c>
      <c r="I90" s="28">
        <f t="shared" si="7"/>
        <v>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50</v>
      </c>
      <c r="E91" s="490">
        <v>46.5</v>
      </c>
      <c r="F91" s="28">
        <f t="shared" si="6"/>
        <v>0.93</v>
      </c>
      <c r="G91" s="479">
        <f>D91+'2017FEB'!G91</f>
        <v>149</v>
      </c>
      <c r="H91" s="479">
        <f>E91+'2017FEB'!H91</f>
        <v>138.5</v>
      </c>
      <c r="I91" s="28">
        <f t="shared" si="7"/>
        <v>0.92953020134228193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47.5</v>
      </c>
      <c r="F92" s="30">
        <f t="shared" si="6"/>
        <v>0.93137254901960786</v>
      </c>
      <c r="G92" s="487">
        <f>SUM(G90:G91)</f>
        <v>151</v>
      </c>
      <c r="H92" s="487">
        <f>SUM(H90:H91)</f>
        <v>139.5</v>
      </c>
      <c r="I92" s="30">
        <f t="shared" si="7"/>
        <v>0.92384105960264906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D93+'2017FEB'!G93</f>
        <v>3</v>
      </c>
      <c r="H93" s="479">
        <f>E93+'2017FEB'!H93</f>
        <v>2</v>
      </c>
      <c r="I93" s="28">
        <f t="shared" si="7"/>
        <v>0.66666666666666663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D94+'2017FEB'!G94</f>
        <v>273</v>
      </c>
      <c r="H94" s="479">
        <f>E94+'2017FEB'!H94</f>
        <v>248.5</v>
      </c>
      <c r="I94" s="28">
        <f t="shared" si="7"/>
        <v>0.91025641025641024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276</v>
      </c>
      <c r="H95" s="487">
        <f>SUM(H93:H94)</f>
        <v>250.5</v>
      </c>
      <c r="I95" s="30">
        <f t="shared" si="7"/>
        <v>0.90760869565217395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1</v>
      </c>
      <c r="E96" s="474">
        <f>SUM(E84,E87,E90,E93)</f>
        <v>1.5</v>
      </c>
      <c r="F96" s="31">
        <f t="shared" si="6"/>
        <v>1.5</v>
      </c>
      <c r="G96" s="474">
        <f>SUM(G84,G87,G90,G93)</f>
        <v>8</v>
      </c>
      <c r="H96" s="474">
        <f>SUM(H84,H87,H90,H93)</f>
        <v>3</v>
      </c>
      <c r="I96" s="31">
        <f t="shared" si="7"/>
        <v>0.375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247</v>
      </c>
      <c r="E97" s="474">
        <f>SUM(E85,E88,E91,E94)</f>
        <v>213.5</v>
      </c>
      <c r="F97" s="31">
        <f t="shared" si="6"/>
        <v>0.86437246963562753</v>
      </c>
      <c r="G97" s="474">
        <f>SUM(G85,G88,G91,G94)</f>
        <v>734</v>
      </c>
      <c r="H97" s="474">
        <f>SUM(H85,H88,H91,H94)</f>
        <v>645</v>
      </c>
      <c r="I97" s="31">
        <f t="shared" si="7"/>
        <v>0.87874659400544963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742</v>
      </c>
      <c r="H98" s="475">
        <f>SUM(H96:H97)</f>
        <v>648</v>
      </c>
      <c r="I98" s="41">
        <f t="shared" si="7"/>
        <v>0.87331536388140163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D99+'2017FEB'!G99</f>
        <v>2</v>
      </c>
      <c r="H99" s="478">
        <f>E99+'2017FEB'!H99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7">
        <f>D100+'2017FEB'!G100</f>
        <v>223</v>
      </c>
      <c r="H100" s="477">
        <f>E100+'2017FEB'!H100</f>
        <v>177</v>
      </c>
      <c r="I100" s="28">
        <f t="shared" ref="I100:I109" si="9">H100/G100</f>
        <v>0.79372197309417036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225</v>
      </c>
      <c r="H101" s="487">
        <f>SUM(H99:H100)</f>
        <v>177</v>
      </c>
      <c r="I101" s="30">
        <f t="shared" si="9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D102+'2017FEB'!G102</f>
        <v>2</v>
      </c>
      <c r="H102" s="479">
        <f>E102+'2017FEB'!H102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34.5</v>
      </c>
      <c r="F103" s="28">
        <f t="shared" si="8"/>
        <v>0.84146341463414631</v>
      </c>
      <c r="G103" s="479">
        <f>D103+'2017FEB'!G103</f>
        <v>121</v>
      </c>
      <c r="H103" s="479">
        <f>E103+'2017FEB'!H103</f>
        <v>106</v>
      </c>
      <c r="I103" s="28">
        <f t="shared" si="9"/>
        <v>0.87603305785123964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34.5</v>
      </c>
      <c r="F104" s="30">
        <f t="shared" si="8"/>
        <v>0.84146341463414631</v>
      </c>
      <c r="G104" s="487">
        <f>SUM(G102:G103)</f>
        <v>123</v>
      </c>
      <c r="H104" s="487">
        <f>SUM(H102:H103)</f>
        <v>106</v>
      </c>
      <c r="I104" s="30">
        <f t="shared" si="9"/>
        <v>0.86178861788617889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93.5</v>
      </c>
      <c r="F106" s="30">
        <f t="shared" si="8"/>
        <v>0.80603448275862066</v>
      </c>
      <c r="G106" s="474">
        <f>SUM(G100,G103)</f>
        <v>344</v>
      </c>
      <c r="H106" s="474">
        <f>SUM(H100,H103)</f>
        <v>283</v>
      </c>
      <c r="I106" s="30">
        <f t="shared" si="9"/>
        <v>0.82267441860465118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93.5</v>
      </c>
      <c r="F107" s="41">
        <f t="shared" si="8"/>
        <v>0.80603448275862066</v>
      </c>
      <c r="G107" s="475">
        <f>SUM(G105:G106)</f>
        <v>348</v>
      </c>
      <c r="H107" s="475">
        <f>SUM(H105:H106)</f>
        <v>283</v>
      </c>
      <c r="I107" s="41">
        <f t="shared" si="9"/>
        <v>0.81321839080459768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1.5</v>
      </c>
      <c r="F108" s="45">
        <f t="shared" si="8"/>
        <v>1.5</v>
      </c>
      <c r="G108" s="46">
        <f>SUM(G96,G105)</f>
        <v>12</v>
      </c>
      <c r="H108" s="46">
        <f>SUM(H96,H105)</f>
        <v>3</v>
      </c>
      <c r="I108" s="45">
        <f t="shared" si="9"/>
        <v>0.25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363</v>
      </c>
      <c r="E109" s="473">
        <f>SUM(E97,E106)</f>
        <v>307</v>
      </c>
      <c r="F109" s="32">
        <f t="shared" si="8"/>
        <v>0.84573002754820936</v>
      </c>
      <c r="G109" s="473">
        <f>SUM(G97,G106)</f>
        <v>1078</v>
      </c>
      <c r="H109" s="473">
        <f>SUM(H97,H106)</f>
        <v>928</v>
      </c>
      <c r="I109" s="32">
        <f t="shared" si="9"/>
        <v>0.86085343228200373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308.5</v>
      </c>
      <c r="F110" s="49">
        <f>E110/D110</f>
        <v>0.84752747252747251</v>
      </c>
      <c r="G110" s="472">
        <f>SUM(G108:G109)</f>
        <v>1090</v>
      </c>
      <c r="H110" s="472">
        <f>SUM(H108:H109)</f>
        <v>931</v>
      </c>
      <c r="I110" s="49">
        <f>H110/G110</f>
        <v>0.85412844036697244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630</v>
      </c>
      <c r="D118" s="592"/>
      <c r="E118" s="591">
        <v>7</v>
      </c>
      <c r="F118" s="592"/>
      <c r="G118" s="591">
        <v>3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383</v>
      </c>
      <c r="D123" s="590"/>
      <c r="E123" s="590">
        <v>97</v>
      </c>
      <c r="F123" s="590"/>
      <c r="G123" s="590">
        <v>12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327</v>
      </c>
      <c r="D128" s="563"/>
      <c r="E128" s="564"/>
      <c r="F128" s="562" t="s">
        <v>328</v>
      </c>
      <c r="G128" s="563"/>
      <c r="H128" s="563"/>
      <c r="I128" s="564"/>
      <c r="J128" s="562" t="s">
        <v>329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713" t="s">
        <v>15</v>
      </c>
      <c r="D129" s="567"/>
      <c r="E129" s="568"/>
      <c r="F129" s="525" t="s">
        <v>322</v>
      </c>
      <c r="G129" s="526"/>
      <c r="H129" s="526"/>
      <c r="I129" s="527"/>
      <c r="J129" s="525" t="s">
        <v>330</v>
      </c>
      <c r="K129" s="526"/>
      <c r="L129" s="526"/>
      <c r="M129" s="706"/>
    </row>
    <row r="130" spans="1:13" ht="35.25" customHeight="1">
      <c r="A130" s="553" t="s">
        <v>104</v>
      </c>
      <c r="B130" s="554"/>
      <c r="C130" s="714" t="s">
        <v>15</v>
      </c>
      <c r="D130" s="567"/>
      <c r="E130" s="568"/>
      <c r="F130" s="713" t="s">
        <v>15</v>
      </c>
      <c r="G130" s="567"/>
      <c r="H130" s="567"/>
      <c r="I130" s="568"/>
      <c r="J130" s="715" t="s">
        <v>15</v>
      </c>
      <c r="K130" s="716"/>
      <c r="L130" s="716"/>
      <c r="M130" s="717"/>
    </row>
    <row r="131" spans="1:13" ht="67.5" customHeight="1">
      <c r="A131" s="553" t="s">
        <v>105</v>
      </c>
      <c r="B131" s="554"/>
      <c r="C131" s="555" t="s">
        <v>323</v>
      </c>
      <c r="D131" s="556"/>
      <c r="E131" s="557"/>
      <c r="F131" s="555" t="s">
        <v>324</v>
      </c>
      <c r="G131" s="556"/>
      <c r="H131" s="556"/>
      <c r="I131" s="557"/>
      <c r="J131" s="555" t="s">
        <v>15</v>
      </c>
      <c r="K131" s="556"/>
      <c r="L131" s="556"/>
      <c r="M131" s="705"/>
    </row>
    <row r="132" spans="1:13" ht="35.25" customHeight="1" thickBot="1">
      <c r="A132" s="543" t="s">
        <v>106</v>
      </c>
      <c r="B132" s="544"/>
      <c r="C132" s="545" t="s">
        <v>331</v>
      </c>
      <c r="D132" s="546"/>
      <c r="E132" s="547"/>
      <c r="F132" s="709" t="s">
        <v>15</v>
      </c>
      <c r="G132" s="546"/>
      <c r="H132" s="546"/>
      <c r="I132" s="547"/>
      <c r="J132" s="710" t="s">
        <v>15</v>
      </c>
      <c r="K132" s="711"/>
      <c r="L132" s="711"/>
      <c r="M132" s="712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'2017FEB'!H138</f>
        <v>14611</v>
      </c>
      <c r="C138" s="63">
        <f>E43-E42</f>
        <v>29439</v>
      </c>
      <c r="D138" s="504">
        <v>38591</v>
      </c>
      <c r="E138" s="531" t="s">
        <v>114</v>
      </c>
      <c r="F138" s="531"/>
      <c r="G138" s="531"/>
      <c r="H138" s="505">
        <f>C138+A138+B138-D138</f>
        <v>5459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9431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16146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1873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323E3FEF-8480-0743-8DEF-A9C83A4B8789}">
      <formula1>"USA, JAPAN"</formula1>
    </dataValidation>
    <dataValidation type="list" allowBlank="1" showInputMessage="1" showErrorMessage="1" sqref="G1" xr:uid="{34DB3433-4FDA-CC47-B996-3D727091F9C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FFD2-C9E2-A947-A9B5-1A90FA8DBC89}">
  <sheetPr codeName="Sheet5">
    <pageSetUpPr fitToPage="1"/>
  </sheetPr>
  <dimension ref="A1:N150"/>
  <sheetViews>
    <sheetView zoomScale="80" zoomScaleNormal="8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42864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14035</v>
      </c>
      <c r="E21" s="490">
        <v>11382</v>
      </c>
      <c r="F21" s="14">
        <f t="shared" ref="F21:F26" si="0">E21/D21</f>
        <v>0.8109725685785536</v>
      </c>
      <c r="G21" s="479">
        <f>D21+'2017MAR'!G21</f>
        <v>55849</v>
      </c>
      <c r="H21" s="479">
        <f>E21+'2017MAR'!H21</f>
        <v>46126</v>
      </c>
      <c r="I21" s="14">
        <f t="shared" ref="I21:I26" si="1">H21/G21</f>
        <v>0.82590556679618254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14035</v>
      </c>
      <c r="E22" s="487">
        <f>SUM(E21:E21)</f>
        <v>11382</v>
      </c>
      <c r="F22" s="16">
        <f t="shared" si="0"/>
        <v>0.8109725685785536</v>
      </c>
      <c r="G22" s="487">
        <f>SUM(G21:G21)</f>
        <v>55849</v>
      </c>
      <c r="H22" s="487">
        <f>SUM(H21:H21)</f>
        <v>46126</v>
      </c>
      <c r="I22" s="16">
        <f t="shared" si="1"/>
        <v>0.82590556679618254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4666</v>
      </c>
      <c r="E23" s="490">
        <v>4104</v>
      </c>
      <c r="F23" s="14">
        <f t="shared" si="0"/>
        <v>0.87955422203171885</v>
      </c>
      <c r="G23" s="479">
        <f>D23+'2017MAR'!G23</f>
        <v>18762</v>
      </c>
      <c r="H23" s="479">
        <f>E23+'2017MAR'!H23</f>
        <v>16630</v>
      </c>
      <c r="I23" s="14">
        <f t="shared" si="1"/>
        <v>0.88636605905553778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4666</v>
      </c>
      <c r="E25" s="487">
        <f>SUM(E23:E24)</f>
        <v>4104</v>
      </c>
      <c r="F25" s="16">
        <f t="shared" si="0"/>
        <v>0.87955422203171885</v>
      </c>
      <c r="G25" s="487">
        <f>SUM(G23:G24)</f>
        <v>18762</v>
      </c>
      <c r="H25" s="487">
        <f>SUM(H23:H24)</f>
        <v>16630</v>
      </c>
      <c r="I25" s="16">
        <f t="shared" si="1"/>
        <v>0.88636605905553778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18701</v>
      </c>
      <c r="E26" s="489">
        <f>SUM(E22,E25)</f>
        <v>15486</v>
      </c>
      <c r="F26" s="17">
        <f t="shared" si="0"/>
        <v>0.82808405967595311</v>
      </c>
      <c r="G26" s="489">
        <f>SUM(G22,G25)</f>
        <v>74611</v>
      </c>
      <c r="H26" s="489">
        <f>SUM(H22,H25)</f>
        <v>62756</v>
      </c>
      <c r="I26" s="17">
        <f t="shared" si="1"/>
        <v>0.84110921982013376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1164</v>
      </c>
      <c r="F28" s="14">
        <f>E28/D28</f>
        <v>5.82</v>
      </c>
      <c r="G28" s="479">
        <f>D28+'2017MAR'!G28</f>
        <v>800</v>
      </c>
      <c r="H28" s="479">
        <f>E28+'2017MAR'!H28</f>
        <v>5007</v>
      </c>
      <c r="I28" s="14">
        <f>H28/G28</f>
        <v>6.25875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1164</v>
      </c>
      <c r="F30" s="14">
        <f t="shared" si="2"/>
        <v>5.82</v>
      </c>
      <c r="G30" s="487">
        <f>SUM(G28:G29)</f>
        <v>800</v>
      </c>
      <c r="H30" s="487">
        <f>SUM(H28:H29)</f>
        <v>5007</v>
      </c>
      <c r="I30" s="14">
        <f t="shared" si="3"/>
        <v>6.25875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2700</v>
      </c>
      <c r="E31" s="490">
        <v>2459</v>
      </c>
      <c r="F31" s="14">
        <f t="shared" si="2"/>
        <v>0.91074074074074074</v>
      </c>
      <c r="G31" s="479">
        <f>D31+'2017MAR'!G31</f>
        <v>7800</v>
      </c>
      <c r="H31" s="479">
        <f>E31+'2017MAR'!H31</f>
        <v>18858</v>
      </c>
      <c r="I31" s="14">
        <f t="shared" si="3"/>
        <v>2.4176923076923078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2900</v>
      </c>
      <c r="E32" s="485">
        <f>SUM(E30,E31)</f>
        <v>3623</v>
      </c>
      <c r="F32" s="14">
        <f t="shared" si="2"/>
        <v>1.2493103448275862</v>
      </c>
      <c r="G32" s="485">
        <f>SUM(G30,G31)</f>
        <v>8600</v>
      </c>
      <c r="H32" s="485">
        <f>SUM(H30,H31)</f>
        <v>23865</v>
      </c>
      <c r="I32" s="14">
        <f t="shared" si="3"/>
        <v>2.7749999999999999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D33+'2017MAR'!G33</f>
        <v>140000</v>
      </c>
      <c r="H33" s="479">
        <f>E33+'2017MAR'!H33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140000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v>2222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2222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142222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1303</v>
      </c>
      <c r="F40" s="21">
        <f t="shared" si="2"/>
        <v>4.3433333333333337</v>
      </c>
      <c r="G40" s="483">
        <f>D40+'2017MAR'!G40</f>
        <v>1200</v>
      </c>
      <c r="H40" s="483">
        <f>E40+'2017MAR'!H40</f>
        <v>3343</v>
      </c>
      <c r="I40" s="21">
        <f t="shared" si="3"/>
        <v>2.7858333333333332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D41+'2017MAR'!G41</f>
        <v>10500</v>
      </c>
      <c r="H41" s="483">
        <f>E41+'2017MAR'!H41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51000</v>
      </c>
      <c r="F42" s="21">
        <f t="shared" si="2"/>
        <v>3</v>
      </c>
      <c r="G42" s="483">
        <f>D42+'2017MAR'!G42</f>
        <v>68000</v>
      </c>
      <c r="H42" s="483">
        <f>E42+'2017MAR'!H42</f>
        <v>102000</v>
      </c>
      <c r="I42" s="21">
        <f t="shared" si="3"/>
        <v>1.5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79873</v>
      </c>
      <c r="E43" s="484">
        <f>SUM(E26,E32,E39,E40:E42)</f>
        <v>71412</v>
      </c>
      <c r="F43" s="22">
        <f t="shared" si="2"/>
        <v>0.89406933506942265</v>
      </c>
      <c r="G43" s="484">
        <f>SUM(G26,G32,G39,G40:G42)</f>
        <v>305133</v>
      </c>
      <c r="H43" s="484">
        <f>SUM(H26,H32,H39,H40:H42)</f>
        <v>191964</v>
      </c>
      <c r="I43" s="22">
        <f t="shared" si="3"/>
        <v>0.62911582817984291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79573</v>
      </c>
      <c r="E44" s="484">
        <f>E43-E40</f>
        <v>70109</v>
      </c>
      <c r="F44" s="22">
        <f t="shared" si="2"/>
        <v>0.88106518542721779</v>
      </c>
      <c r="G44" s="484">
        <f>G43-G40</f>
        <v>303933</v>
      </c>
      <c r="H44" s="484">
        <f>H43-H40</f>
        <v>188621</v>
      </c>
      <c r="I44" s="22">
        <f t="shared" si="3"/>
        <v>0.62060059289382863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62573</v>
      </c>
      <c r="E45" s="482">
        <f>E44-E42</f>
        <v>19109</v>
      </c>
      <c r="F45" s="23">
        <f t="shared" si="2"/>
        <v>0.30538730762469435</v>
      </c>
      <c r="G45" s="482">
        <f>G44-G42</f>
        <v>235933</v>
      </c>
      <c r="H45" s="482">
        <f>H44-H42</f>
        <v>86621</v>
      </c>
      <c r="I45" s="23">
        <f t="shared" si="3"/>
        <v>0.36714236668884809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D51+'2017MAR'!G51</f>
        <v>20</v>
      </c>
      <c r="H51" s="479">
        <f>E51+'2017MAR'!H51</f>
        <v>5</v>
      </c>
      <c r="I51" s="28">
        <f t="shared" ref="I51:I77" si="5">H51/G51</f>
        <v>0.25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410</v>
      </c>
      <c r="E52" s="490">
        <v>397</v>
      </c>
      <c r="F52" s="28">
        <f t="shared" si="4"/>
        <v>0.96829268292682924</v>
      </c>
      <c r="G52" s="479">
        <f>D52+'2017MAR'!G52</f>
        <v>1660</v>
      </c>
      <c r="H52" s="479">
        <f>E52+'2017MAR'!H52</f>
        <v>1614</v>
      </c>
      <c r="I52" s="28">
        <f t="shared" si="5"/>
        <v>0.97228915662650606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415</v>
      </c>
      <c r="E53" s="487">
        <f>SUM(E51:E52)</f>
        <v>398</v>
      </c>
      <c r="F53" s="30">
        <f t="shared" si="4"/>
        <v>0.95903614457831321</v>
      </c>
      <c r="G53" s="487">
        <f>SUM(G51:G52)</f>
        <v>1680</v>
      </c>
      <c r="H53" s="487">
        <f>SUM(H51:H52)</f>
        <v>1619</v>
      </c>
      <c r="I53" s="30">
        <f t="shared" si="5"/>
        <v>0.96369047619047621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D54+'2017MAR'!G54</f>
        <v>8</v>
      </c>
      <c r="H54" s="479">
        <f>E54+'2017MAR'!H54</f>
        <v>3</v>
      </c>
      <c r="I54" s="28">
        <f t="shared" si="5"/>
        <v>0.375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306</v>
      </c>
      <c r="E55" s="490">
        <v>350</v>
      </c>
      <c r="F55" s="28">
        <f t="shared" si="4"/>
        <v>1.1437908496732025</v>
      </c>
      <c r="G55" s="479">
        <f>D55+'2017MAR'!G55</f>
        <v>1238</v>
      </c>
      <c r="H55" s="479">
        <f>E55+'2017MAR'!H55</f>
        <v>1421</v>
      </c>
      <c r="I55" s="28">
        <f t="shared" si="5"/>
        <v>1.1478190630048466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308</v>
      </c>
      <c r="E56" s="474">
        <f>SUM(E54:E55)</f>
        <v>350</v>
      </c>
      <c r="F56" s="28">
        <f t="shared" si="4"/>
        <v>1.1363636363636365</v>
      </c>
      <c r="G56" s="474">
        <f>SUM(G54:G55)</f>
        <v>1246</v>
      </c>
      <c r="H56" s="474">
        <f>SUM(H54:H55)</f>
        <v>1424</v>
      </c>
      <c r="I56" s="31">
        <f t="shared" si="5"/>
        <v>1.1428571428571428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28</v>
      </c>
      <c r="H57" s="473">
        <f>SUM(H51,H54)</f>
        <v>8</v>
      </c>
      <c r="I57" s="32">
        <f t="shared" si="5"/>
        <v>0.2857142857142857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716</v>
      </c>
      <c r="E58" s="473">
        <f>SUM(E52,E55)</f>
        <v>747</v>
      </c>
      <c r="F58" s="32">
        <f t="shared" si="4"/>
        <v>1.0432960893854748</v>
      </c>
      <c r="G58" s="473">
        <f>SUM(G52,G55)</f>
        <v>2898</v>
      </c>
      <c r="H58" s="473">
        <f>SUM(H52,H55)</f>
        <v>3035</v>
      </c>
      <c r="I58" s="32">
        <f t="shared" si="5"/>
        <v>1.0472739820565908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723</v>
      </c>
      <c r="E59" s="481">
        <f>SUM(E57:E58)</f>
        <v>748</v>
      </c>
      <c r="F59" s="33">
        <f t="shared" si="4"/>
        <v>1.0345781466113417</v>
      </c>
      <c r="G59" s="481">
        <f>SUM(G57:G58)</f>
        <v>2926</v>
      </c>
      <c r="H59" s="481">
        <f>SUM(H57:H58)</f>
        <v>3043</v>
      </c>
      <c r="I59" s="33">
        <f t="shared" si="5"/>
        <v>1.0399863294600136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D60+'2017MAR'!G60</f>
        <v>64</v>
      </c>
      <c r="H60" s="479">
        <f>E60+'2017MAR'!H60</f>
        <v>13.5</v>
      </c>
      <c r="I60" s="28">
        <f t="shared" si="5"/>
        <v>0.2109375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1341</v>
      </c>
      <c r="E61" s="479">
        <f>E70/10</f>
        <v>1134.7</v>
      </c>
      <c r="F61" s="28">
        <f t="shared" si="4"/>
        <v>0.84615958240119316</v>
      </c>
      <c r="G61" s="479">
        <f>D61+'2017MAR'!G61</f>
        <v>5429</v>
      </c>
      <c r="H61" s="479">
        <f>E61+'2017MAR'!H61</f>
        <v>4599.1000000000004</v>
      </c>
      <c r="I61" s="28">
        <f t="shared" si="5"/>
        <v>0.84713575244059691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1357</v>
      </c>
      <c r="E62" s="487">
        <f>SUM(E60:E61)</f>
        <v>1138.2</v>
      </c>
      <c r="F62" s="30">
        <f t="shared" si="4"/>
        <v>0.83876197494473104</v>
      </c>
      <c r="G62" s="487">
        <f>SUM(G60:G61)</f>
        <v>5493</v>
      </c>
      <c r="H62" s="487">
        <f>SUM(H60:H61)</f>
        <v>4612.6000000000004</v>
      </c>
      <c r="I62" s="30">
        <f t="shared" si="5"/>
        <v>0.8397232841798653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D63+'2017MAR'!G63</f>
        <v>8</v>
      </c>
      <c r="H63" s="479">
        <f>E63+'2017MAR'!H63</f>
        <v>7.4</v>
      </c>
      <c r="I63" s="28">
        <f t="shared" si="5"/>
        <v>0.92500000000000004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459</v>
      </c>
      <c r="E64" s="479">
        <f>E73/10</f>
        <v>410.4</v>
      </c>
      <c r="F64" s="28">
        <f t="shared" si="4"/>
        <v>0.89411764705882346</v>
      </c>
      <c r="G64" s="479">
        <f>D64+'2017MAR'!G64</f>
        <v>1857</v>
      </c>
      <c r="H64" s="479">
        <f>E64+'2017MAR'!H64</f>
        <v>1655.6</v>
      </c>
      <c r="I64" s="28">
        <f t="shared" si="5"/>
        <v>0.89154550350026918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461</v>
      </c>
      <c r="E65" s="474">
        <f>SUM(E63:E64)</f>
        <v>410.4</v>
      </c>
      <c r="F65" s="31">
        <f t="shared" si="4"/>
        <v>0.89023861171366592</v>
      </c>
      <c r="G65" s="474">
        <f>SUM(G63:G64)</f>
        <v>1865</v>
      </c>
      <c r="H65" s="474">
        <f>SUM(H63:H64)</f>
        <v>1663</v>
      </c>
      <c r="I65" s="31">
        <f t="shared" si="5"/>
        <v>0.89168900804289541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72</v>
      </c>
      <c r="H66" s="473">
        <f>SUM(H60,H63)</f>
        <v>20.9</v>
      </c>
      <c r="I66" s="32">
        <f t="shared" si="5"/>
        <v>0.29027777777777775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1800</v>
      </c>
      <c r="E67" s="473">
        <f>SUM(E61,E64)</f>
        <v>1545.1</v>
      </c>
      <c r="F67" s="32">
        <f t="shared" si="4"/>
        <v>0.85838888888888887</v>
      </c>
      <c r="G67" s="473">
        <f>SUM(G61,G64)</f>
        <v>7286</v>
      </c>
      <c r="H67" s="473">
        <f>SUM(H61,H64)</f>
        <v>6254.7000000000007</v>
      </c>
      <c r="I67" s="32">
        <f t="shared" si="5"/>
        <v>0.85845457040900364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1818</v>
      </c>
      <c r="E68" s="481">
        <f>SUM(E66:E67)</f>
        <v>1548.6</v>
      </c>
      <c r="F68" s="34">
        <f t="shared" si="4"/>
        <v>0.85181518151815172</v>
      </c>
      <c r="G68" s="481">
        <f>SUM(G66:G67)</f>
        <v>7358</v>
      </c>
      <c r="H68" s="481">
        <f>SUM(H66:H67)</f>
        <v>6275.6</v>
      </c>
      <c r="I68" s="34">
        <f t="shared" si="5"/>
        <v>0.85289480837184017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620</v>
      </c>
      <c r="E69" s="490">
        <v>35</v>
      </c>
      <c r="F69" s="28">
        <f t="shared" si="4"/>
        <v>5.6451612903225805E-2</v>
      </c>
      <c r="G69" s="479">
        <f>D69+'2017MAR'!G69</f>
        <v>1550</v>
      </c>
      <c r="H69" s="479">
        <f>E69+'2017MAR'!H69</f>
        <v>135</v>
      </c>
      <c r="I69" s="28">
        <f t="shared" si="5"/>
        <v>8.7096774193548387E-2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13415</v>
      </c>
      <c r="E70" s="479">
        <f>E21-E69</f>
        <v>11347</v>
      </c>
      <c r="F70" s="28">
        <f t="shared" si="4"/>
        <v>0.845844204248975</v>
      </c>
      <c r="G70" s="479">
        <f>D70+'2017MAR'!G70</f>
        <v>54299</v>
      </c>
      <c r="H70" s="479">
        <f>E70+'2017MAR'!H70</f>
        <v>45991</v>
      </c>
      <c r="I70" s="28">
        <f t="shared" si="5"/>
        <v>0.84699534061400761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14035</v>
      </c>
      <c r="E71" s="487">
        <f>SUM(E69:E70)</f>
        <v>11382</v>
      </c>
      <c r="F71" s="30">
        <f t="shared" si="4"/>
        <v>0.8109725685785536</v>
      </c>
      <c r="G71" s="487">
        <f>SUM(G69:G70)</f>
        <v>55849</v>
      </c>
      <c r="H71" s="487">
        <f>SUM(H69:H70)</f>
        <v>46126</v>
      </c>
      <c r="I71" s="30">
        <f t="shared" si="5"/>
        <v>0.82590556679618254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80</v>
      </c>
      <c r="E72" s="490">
        <v>0</v>
      </c>
      <c r="F72" s="28">
        <f t="shared" si="4"/>
        <v>0</v>
      </c>
      <c r="G72" s="479">
        <f>D72+'2017MAR'!G72</f>
        <v>200</v>
      </c>
      <c r="H72" s="479">
        <f>E72+'2017MAR'!H72</f>
        <v>74</v>
      </c>
      <c r="I72" s="28">
        <f t="shared" si="5"/>
        <v>0.37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4586</v>
      </c>
      <c r="E73" s="479">
        <f>E23-E72</f>
        <v>4104</v>
      </c>
      <c r="F73" s="28">
        <f t="shared" si="4"/>
        <v>0.89489751417357177</v>
      </c>
      <c r="G73" s="479">
        <f>D73+'2017MAR'!G73</f>
        <v>18562</v>
      </c>
      <c r="H73" s="479">
        <f>E73+'2017MAR'!H73</f>
        <v>16556</v>
      </c>
      <c r="I73" s="28">
        <f t="shared" si="5"/>
        <v>0.89192974894946664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4666</v>
      </c>
      <c r="E74" s="474">
        <f>SUM(E72:E73)</f>
        <v>4104</v>
      </c>
      <c r="F74" s="31">
        <f t="shared" si="4"/>
        <v>0.87955422203171885</v>
      </c>
      <c r="G74" s="474">
        <f>SUM(G72:G73)</f>
        <v>18762</v>
      </c>
      <c r="H74" s="474">
        <f>SUM(H72:H73)</f>
        <v>16630</v>
      </c>
      <c r="I74" s="31">
        <f t="shared" si="5"/>
        <v>0.88636605905553778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700</v>
      </c>
      <c r="E75" s="473">
        <f>SUM(E69,E72)</f>
        <v>35</v>
      </c>
      <c r="F75" s="32">
        <f t="shared" si="4"/>
        <v>0.05</v>
      </c>
      <c r="G75" s="473">
        <f>SUM(G69,G72)</f>
        <v>1750</v>
      </c>
      <c r="H75" s="473">
        <f>SUM(H69,H72)</f>
        <v>209</v>
      </c>
      <c r="I75" s="32">
        <f t="shared" si="5"/>
        <v>0.11942857142857143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18001</v>
      </c>
      <c r="E76" s="473">
        <f>SUM(E70,E73)</f>
        <v>15451</v>
      </c>
      <c r="F76" s="32">
        <f t="shared" si="4"/>
        <v>0.85834120326648522</v>
      </c>
      <c r="G76" s="473">
        <f>SUM(G70,G73)</f>
        <v>72861</v>
      </c>
      <c r="H76" s="473">
        <f>SUM(H70,H73)</f>
        <v>62547</v>
      </c>
      <c r="I76" s="32">
        <f t="shared" si="5"/>
        <v>0.85844278832297116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18701</v>
      </c>
      <c r="E77" s="481">
        <f>SUM(E75:E76)</f>
        <v>15486</v>
      </c>
      <c r="F77" s="34">
        <f t="shared" si="4"/>
        <v>0.82808405967595311</v>
      </c>
      <c r="G77" s="481">
        <f>SUM(G75:G76)</f>
        <v>74611</v>
      </c>
      <c r="H77" s="481">
        <f>SUM(H75:H76)</f>
        <v>62756</v>
      </c>
      <c r="I77" s="34">
        <f t="shared" si="5"/>
        <v>0.84110921982013376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D84+'2017MAR'!G84</f>
        <v>2</v>
      </c>
      <c r="H84" s="479">
        <f>E84+'2017MAR'!H84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66.5</v>
      </c>
      <c r="F85" s="28">
        <f t="shared" ref="F85:F98" si="6">E85/D85</f>
        <v>0.78235294117647058</v>
      </c>
      <c r="G85" s="479">
        <f>D85+'2017MAR'!G85</f>
        <v>338</v>
      </c>
      <c r="H85" s="479">
        <f>E85+'2017MAR'!H85</f>
        <v>272</v>
      </c>
      <c r="I85" s="28">
        <f t="shared" ref="I85:I98" si="7">H85/G85</f>
        <v>0.80473372781065089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66.5</v>
      </c>
      <c r="F86" s="30">
        <f t="shared" si="6"/>
        <v>0.78235294117647058</v>
      </c>
      <c r="G86" s="487">
        <f>SUM(G84:G85)</f>
        <v>340</v>
      </c>
      <c r="H86" s="487">
        <f>SUM(H84:H85)</f>
        <v>272</v>
      </c>
      <c r="I86" s="30">
        <f t="shared" si="7"/>
        <v>0.8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D87+'2017MAR'!G87</f>
        <v>1</v>
      </c>
      <c r="H87" s="479">
        <f>E87+'2017MAR'!H87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D88+'2017MAR'!G88</f>
        <v>79</v>
      </c>
      <c r="H88" s="479">
        <f>E88+'2017MAR'!H88</f>
        <v>70</v>
      </c>
      <c r="I88" s="28">
        <f t="shared" si="7"/>
        <v>0.88607594936708856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80</v>
      </c>
      <c r="H89" s="487">
        <f>SUM(H87:H88)</f>
        <v>70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1</v>
      </c>
      <c r="F90" s="28" t="e">
        <f t="shared" si="6"/>
        <v>#DIV/0!</v>
      </c>
      <c r="G90" s="479">
        <f>D90+'2017MAR'!G90</f>
        <v>2</v>
      </c>
      <c r="H90" s="479">
        <f>E90+'2017MAR'!H90</f>
        <v>2</v>
      </c>
      <c r="I90" s="28">
        <f t="shared" si="7"/>
        <v>1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47.5</v>
      </c>
      <c r="F91" s="28">
        <f t="shared" si="6"/>
        <v>0.93137254901960786</v>
      </c>
      <c r="G91" s="479">
        <f>D91+'2017MAR'!G91</f>
        <v>200</v>
      </c>
      <c r="H91" s="479">
        <f>E91+'2017MAR'!H91</f>
        <v>186</v>
      </c>
      <c r="I91" s="28">
        <f t="shared" si="7"/>
        <v>0.93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48.5</v>
      </c>
      <c r="F92" s="30">
        <f t="shared" si="6"/>
        <v>0.9509803921568627</v>
      </c>
      <c r="G92" s="487">
        <f>SUM(G90:G91)</f>
        <v>202</v>
      </c>
      <c r="H92" s="487">
        <f>SUM(H90:H91)</f>
        <v>188</v>
      </c>
      <c r="I92" s="30">
        <f t="shared" si="7"/>
        <v>0.93069306930693074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D93+'2017MAR'!G93</f>
        <v>3</v>
      </c>
      <c r="H93" s="479">
        <f>E93+'2017MAR'!H93</f>
        <v>2.5</v>
      </c>
      <c r="I93" s="28">
        <f t="shared" si="7"/>
        <v>0.83333333333333337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D94+'2017MAR'!G94</f>
        <v>365</v>
      </c>
      <c r="H94" s="479">
        <f>E94+'2017MAR'!H94</f>
        <v>330.5</v>
      </c>
      <c r="I94" s="28">
        <f t="shared" si="7"/>
        <v>0.90547945205479452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368</v>
      </c>
      <c r="H95" s="487">
        <f>SUM(H93:H94)</f>
        <v>333</v>
      </c>
      <c r="I95" s="30">
        <f t="shared" si="7"/>
        <v>0.90489130434782605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1.5</v>
      </c>
      <c r="F96" s="31" t="e">
        <f t="shared" si="6"/>
        <v>#DIV/0!</v>
      </c>
      <c r="G96" s="474">
        <f>SUM(G84,G87,G90,G93)</f>
        <v>8</v>
      </c>
      <c r="H96" s="474">
        <f>SUM(H84,H87,H90,H93)</f>
        <v>4.5</v>
      </c>
      <c r="I96" s="31">
        <f t="shared" si="7"/>
        <v>0.5625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213.5</v>
      </c>
      <c r="F97" s="31">
        <f t="shared" si="6"/>
        <v>0.86088709677419351</v>
      </c>
      <c r="G97" s="474">
        <f>SUM(G85,G88,G91,G94)</f>
        <v>982</v>
      </c>
      <c r="H97" s="474">
        <f>SUM(H85,H88,H91,H94)</f>
        <v>858.5</v>
      </c>
      <c r="I97" s="31">
        <f t="shared" si="7"/>
        <v>0.87423625254582482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990</v>
      </c>
      <c r="H98" s="475">
        <f>SUM(H96:H97)</f>
        <v>863</v>
      </c>
      <c r="I98" s="41">
        <f t="shared" si="7"/>
        <v>0.87171717171717167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D99+'2017MAR'!G99</f>
        <v>2</v>
      </c>
      <c r="H99" s="478">
        <f>E99+'2017MAR'!H99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57</v>
      </c>
      <c r="F100" s="28">
        <f t="shared" ref="F100:F109" si="8">E100/D100</f>
        <v>0.76</v>
      </c>
      <c r="G100" s="477">
        <f>D100+'2017MAR'!G100</f>
        <v>298</v>
      </c>
      <c r="H100" s="477">
        <f>E100+'2017MAR'!H100</f>
        <v>234</v>
      </c>
      <c r="I100" s="28">
        <f t="shared" ref="I100:I109" si="9">H100/G100</f>
        <v>0.78523489932885904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57</v>
      </c>
      <c r="F101" s="30">
        <f t="shared" si="8"/>
        <v>0.76</v>
      </c>
      <c r="G101" s="487">
        <f>SUM(G99:G100)</f>
        <v>300</v>
      </c>
      <c r="H101" s="487">
        <f>SUM(H99:H100)</f>
        <v>234</v>
      </c>
      <c r="I101" s="30">
        <f t="shared" si="9"/>
        <v>0.78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D102+'2017MAR'!G102</f>
        <v>2</v>
      </c>
      <c r="H102" s="479">
        <f>E102+'2017MAR'!H102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D103+'2017MAR'!G103</f>
        <v>162</v>
      </c>
      <c r="H103" s="479">
        <f>E103+'2017MAR'!H103</f>
        <v>139.5</v>
      </c>
      <c r="I103" s="28">
        <f t="shared" si="9"/>
        <v>0.86111111111111116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164</v>
      </c>
      <c r="H104" s="487">
        <f>SUM(H102:H103)</f>
        <v>139.5</v>
      </c>
      <c r="I104" s="30">
        <f t="shared" si="9"/>
        <v>0.85060975609756095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90.5</v>
      </c>
      <c r="F106" s="30">
        <f t="shared" si="8"/>
        <v>0.78017241379310343</v>
      </c>
      <c r="G106" s="474">
        <f>SUM(G100,G103)</f>
        <v>460</v>
      </c>
      <c r="H106" s="474">
        <f>SUM(H100,H103)</f>
        <v>373.5</v>
      </c>
      <c r="I106" s="30">
        <f t="shared" si="9"/>
        <v>0.81195652173913047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90.5</v>
      </c>
      <c r="F107" s="41">
        <f t="shared" si="8"/>
        <v>0.78017241379310343</v>
      </c>
      <c r="G107" s="475">
        <f>SUM(G105:G106)</f>
        <v>464</v>
      </c>
      <c r="H107" s="475">
        <f>SUM(H105:H106)</f>
        <v>373.5</v>
      </c>
      <c r="I107" s="41">
        <f t="shared" si="9"/>
        <v>0.80495689655172409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1.5</v>
      </c>
      <c r="F108" s="45" t="e">
        <f t="shared" si="8"/>
        <v>#DIV/0!</v>
      </c>
      <c r="G108" s="46">
        <f>SUM(G96,G105)</f>
        <v>12</v>
      </c>
      <c r="H108" s="46">
        <f>SUM(H96,H105)</f>
        <v>4.5</v>
      </c>
      <c r="I108" s="45">
        <f t="shared" si="9"/>
        <v>0.375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304</v>
      </c>
      <c r="F109" s="32">
        <f t="shared" si="8"/>
        <v>0.8351648351648352</v>
      </c>
      <c r="G109" s="473">
        <f>SUM(G97,G106)</f>
        <v>1442</v>
      </c>
      <c r="H109" s="473">
        <f>SUM(H97,H106)</f>
        <v>1232</v>
      </c>
      <c r="I109" s="32">
        <f t="shared" si="9"/>
        <v>0.85436893203883491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1454</v>
      </c>
      <c r="H110" s="472">
        <f>SUM(H108:H109)</f>
        <v>1236.5</v>
      </c>
      <c r="I110" s="49">
        <f>H110/G110</f>
        <v>0.85041265474552963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791</v>
      </c>
      <c r="D118" s="592"/>
      <c r="E118" s="591">
        <v>7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349</v>
      </c>
      <c r="D123" s="590"/>
      <c r="E123" s="590">
        <v>157</v>
      </c>
      <c r="F123" s="590"/>
      <c r="G123" s="590">
        <v>797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328</v>
      </c>
      <c r="D128" s="563"/>
      <c r="E128" s="564"/>
      <c r="F128" s="562" t="s">
        <v>329</v>
      </c>
      <c r="G128" s="563"/>
      <c r="H128" s="563"/>
      <c r="I128" s="564"/>
      <c r="J128" s="562" t="s">
        <v>333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334</v>
      </c>
      <c r="D129" s="736"/>
      <c r="E129" s="737"/>
      <c r="F129" s="738" t="s">
        <v>330</v>
      </c>
      <c r="G129" s="739"/>
      <c r="H129" s="739"/>
      <c r="I129" s="740"/>
      <c r="J129" s="741" t="s">
        <v>335</v>
      </c>
      <c r="K129" s="741"/>
      <c r="L129" s="741"/>
      <c r="M129" s="742"/>
    </row>
    <row r="130" spans="1:13" ht="35.25" customHeight="1">
      <c r="A130" s="729" t="s">
        <v>104</v>
      </c>
      <c r="B130" s="730"/>
      <c r="C130" s="735" t="s">
        <v>15</v>
      </c>
      <c r="D130" s="736"/>
      <c r="E130" s="737"/>
      <c r="F130" s="735" t="s">
        <v>15</v>
      </c>
      <c r="G130" s="736"/>
      <c r="H130" s="736"/>
      <c r="I130" s="737"/>
      <c r="J130" s="743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336</v>
      </c>
      <c r="D131" s="732"/>
      <c r="E131" s="733"/>
      <c r="F131" s="731" t="s">
        <v>337</v>
      </c>
      <c r="G131" s="732"/>
      <c r="H131" s="732"/>
      <c r="I131" s="733"/>
      <c r="J131" s="731" t="s">
        <v>336</v>
      </c>
      <c r="K131" s="732"/>
      <c r="L131" s="732"/>
      <c r="M131" s="734"/>
    </row>
    <row r="132" spans="1:13" ht="35.25" customHeight="1" thickBot="1">
      <c r="A132" s="718" t="s">
        <v>106</v>
      </c>
      <c r="B132" s="719"/>
      <c r="C132" s="720"/>
      <c r="D132" s="721"/>
      <c r="E132" s="722"/>
      <c r="F132" s="723" t="s">
        <v>338</v>
      </c>
      <c r="G132" s="724"/>
      <c r="H132" s="724"/>
      <c r="I132" s="725"/>
      <c r="J132" s="726" t="s">
        <v>339</v>
      </c>
      <c r="K132" s="727"/>
      <c r="L132" s="727"/>
      <c r="M132" s="728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'2017MAR'!H138</f>
        <v>5459</v>
      </c>
      <c r="C138" s="63">
        <f>E43-E42</f>
        <v>20412</v>
      </c>
      <c r="D138" s="504">
        <v>48161</v>
      </c>
      <c r="E138" s="531" t="s">
        <v>114</v>
      </c>
      <c r="F138" s="531"/>
      <c r="G138" s="531"/>
      <c r="H138" s="505">
        <f>C138+A138+B138-D138</f>
        <v>28710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16615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17251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1868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77CE2780-333C-444E-B884-1682797890B2}">
      <formula1>"Jan, Feb, March, April, May, June, July, Aug, Sep, Oct, Nov, Dec"</formula1>
    </dataValidation>
    <dataValidation type="list" allowBlank="1" showInputMessage="1" showErrorMessage="1" sqref="L3" xr:uid="{955D4179-44E7-E74A-A7CF-871F0FED903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26F-02D4-0146-B77F-D2206AF8F8AD}">
  <sheetPr codeName="Sheet6">
    <pageSetUpPr fitToPage="1"/>
  </sheetPr>
  <dimension ref="A1:N150"/>
  <sheetViews>
    <sheetView topLeftCell="A17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42894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14085</v>
      </c>
      <c r="E21" s="490">
        <v>11109</v>
      </c>
      <c r="F21" s="14">
        <f t="shared" ref="F21:F26" si="0">E21/D21</f>
        <v>0.7887113951011715</v>
      </c>
      <c r="G21" s="479">
        <f>D21+'2017APR'!G21</f>
        <v>69934</v>
      </c>
      <c r="H21" s="479">
        <f>E21+'2017APR'!H21</f>
        <v>57235</v>
      </c>
      <c r="I21" s="14">
        <f t="shared" ref="I21:I26" si="1">H21/G21</f>
        <v>0.81841450510481306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14085</v>
      </c>
      <c r="E22" s="487">
        <f>SUM(E21:E21)</f>
        <v>11109</v>
      </c>
      <c r="F22" s="16">
        <f t="shared" si="0"/>
        <v>0.7887113951011715</v>
      </c>
      <c r="G22" s="487">
        <f>SUM(G21:G21)</f>
        <v>69934</v>
      </c>
      <c r="H22" s="487">
        <f>SUM(H21:H21)</f>
        <v>57235</v>
      </c>
      <c r="I22" s="16">
        <f t="shared" si="1"/>
        <v>0.81841450510481306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4650</v>
      </c>
      <c r="E23" s="490">
        <v>4070</v>
      </c>
      <c r="F23" s="14">
        <f t="shared" si="0"/>
        <v>0.87526881720430105</v>
      </c>
      <c r="G23" s="479">
        <f>D23+'2017APR'!G23</f>
        <v>23412</v>
      </c>
      <c r="H23" s="479">
        <f>E23+'2017APR'!H23</f>
        <v>20700</v>
      </c>
      <c r="I23" s="14">
        <f t="shared" si="1"/>
        <v>0.8841619682214249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4650</v>
      </c>
      <c r="E25" s="487">
        <f>SUM(E23:E24)</f>
        <v>4070</v>
      </c>
      <c r="F25" s="16">
        <f t="shared" si="0"/>
        <v>0.87526881720430105</v>
      </c>
      <c r="G25" s="487">
        <f>SUM(G23:G24)</f>
        <v>23412</v>
      </c>
      <c r="H25" s="487">
        <f>SUM(H23:H24)</f>
        <v>20700</v>
      </c>
      <c r="I25" s="16">
        <f t="shared" si="1"/>
        <v>0.8841619682214249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18735</v>
      </c>
      <c r="E26" s="489">
        <f>SUM(E22,E25)</f>
        <v>15179</v>
      </c>
      <c r="F26" s="17">
        <f t="shared" si="0"/>
        <v>0.81019482252468644</v>
      </c>
      <c r="G26" s="489">
        <f>SUM(G22,G25)</f>
        <v>93346</v>
      </c>
      <c r="H26" s="489">
        <f>SUM(H22,H25)</f>
        <v>77935</v>
      </c>
      <c r="I26" s="17">
        <f t="shared" si="1"/>
        <v>0.83490454866839503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201</v>
      </c>
      <c r="F28" s="14">
        <f>E28/D28</f>
        <v>1.0049999999999999</v>
      </c>
      <c r="G28" s="479">
        <f>D28+'2017APR'!G28</f>
        <v>1000</v>
      </c>
      <c r="H28" s="479">
        <f>E28+'2017APR'!H28</f>
        <v>5208</v>
      </c>
      <c r="I28" s="14">
        <f>H28/G28</f>
        <v>5.2080000000000002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201</v>
      </c>
      <c r="F30" s="14">
        <f t="shared" si="2"/>
        <v>1.0049999999999999</v>
      </c>
      <c r="G30" s="487">
        <f>SUM(G28:G29)</f>
        <v>1000</v>
      </c>
      <c r="H30" s="487">
        <f>SUM(H28:H29)</f>
        <v>5208</v>
      </c>
      <c r="I30" s="14">
        <f t="shared" si="3"/>
        <v>5.2080000000000002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3200</v>
      </c>
      <c r="E31" s="490">
        <v>1389</v>
      </c>
      <c r="F31" s="14">
        <f t="shared" si="2"/>
        <v>0.43406250000000002</v>
      </c>
      <c r="G31" s="479">
        <f>D31+'2017APR'!G31</f>
        <v>11000</v>
      </c>
      <c r="H31" s="479">
        <f>E31+'2017APR'!H31</f>
        <v>20247</v>
      </c>
      <c r="I31" s="14">
        <f t="shared" si="3"/>
        <v>1.8406363636363636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3400</v>
      </c>
      <c r="E32" s="485">
        <f>SUM(E30,E31)</f>
        <v>1590</v>
      </c>
      <c r="F32" s="14">
        <f t="shared" si="2"/>
        <v>0.46764705882352942</v>
      </c>
      <c r="G32" s="485">
        <f>SUM(G30,G31)</f>
        <v>12000</v>
      </c>
      <c r="H32" s="485">
        <f>SUM(H30,H31)</f>
        <v>25455</v>
      </c>
      <c r="I32" s="14">
        <f t="shared" si="3"/>
        <v>2.1212499999999999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D33+'2017APR'!G33</f>
        <v>175000</v>
      </c>
      <c r="H33" s="479">
        <f>E33+'2017APR'!H33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175000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D36+'2017APR'!G36</f>
        <v>4444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4444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179444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799</v>
      </c>
      <c r="F40" s="21">
        <f t="shared" si="2"/>
        <v>2.6633333333333336</v>
      </c>
      <c r="G40" s="483">
        <f>D40+'2017APR'!G40</f>
        <v>1500</v>
      </c>
      <c r="H40" s="483">
        <f>E40+'2017APR'!H40</f>
        <v>4142</v>
      </c>
      <c r="I40" s="21">
        <f t="shared" si="3"/>
        <v>2.7613333333333334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D41+'2017APR'!G41</f>
        <v>14250</v>
      </c>
      <c r="H41" s="483">
        <f>E41+'2017APR'!H41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D42+'2017APR'!G42</f>
        <v>85000</v>
      </c>
      <c r="H42" s="483">
        <f>E42+'2017APR'!H42</f>
        <v>102000</v>
      </c>
      <c r="I42" s="21">
        <f t="shared" si="3"/>
        <v>1.2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80407</v>
      </c>
      <c r="E43" s="484">
        <f>SUM(E26,E32,E39,E40:E42)</f>
        <v>17568</v>
      </c>
      <c r="F43" s="22">
        <f t="shared" si="2"/>
        <v>0.2184884400611887</v>
      </c>
      <c r="G43" s="484">
        <f>SUM(G26,G32,G39,G40:G42)</f>
        <v>385540</v>
      </c>
      <c r="H43" s="484">
        <f>SUM(H26,H32,H39,H40:H42)</f>
        <v>209532</v>
      </c>
      <c r="I43" s="22">
        <f t="shared" si="3"/>
        <v>0.54347668205633659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80107</v>
      </c>
      <c r="E44" s="484">
        <f>E43-E40</f>
        <v>16769</v>
      </c>
      <c r="F44" s="22">
        <f t="shared" si="2"/>
        <v>0.20933251775749934</v>
      </c>
      <c r="G44" s="484">
        <f>G43-G40</f>
        <v>384040</v>
      </c>
      <c r="H44" s="484">
        <f>H43-H40</f>
        <v>205390</v>
      </c>
      <c r="I44" s="22">
        <f t="shared" si="3"/>
        <v>0.53481408186647228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63107</v>
      </c>
      <c r="E45" s="482">
        <f>E44-E42</f>
        <v>16769</v>
      </c>
      <c r="F45" s="23">
        <f t="shared" si="2"/>
        <v>0.26572329535550732</v>
      </c>
      <c r="G45" s="482">
        <f>G44-G42</f>
        <v>299040</v>
      </c>
      <c r="H45" s="482">
        <f>H44-H42</f>
        <v>103390</v>
      </c>
      <c r="I45" s="23">
        <f t="shared" si="3"/>
        <v>0.34573970037453183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8</v>
      </c>
      <c r="F51" s="28">
        <f t="shared" ref="F51:F77" si="4">E51/D51</f>
        <v>1.6</v>
      </c>
      <c r="G51" s="479">
        <f>D51+'2017APR'!G51</f>
        <v>25</v>
      </c>
      <c r="H51" s="479">
        <f>E51+'2017APR'!H51</f>
        <v>13</v>
      </c>
      <c r="I51" s="28">
        <f t="shared" ref="I51:I77" si="5">H51/G51</f>
        <v>0.52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407</v>
      </c>
      <c r="E52" s="490">
        <v>385</v>
      </c>
      <c r="F52" s="28">
        <f t="shared" si="4"/>
        <v>0.94594594594594594</v>
      </c>
      <c r="G52" s="479">
        <f>D52+'2017APR'!G52</f>
        <v>2067</v>
      </c>
      <c r="H52" s="479">
        <f>E52+'2017APR'!H52</f>
        <v>1999</v>
      </c>
      <c r="I52" s="28">
        <f t="shared" si="5"/>
        <v>0.96710208030962752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412</v>
      </c>
      <c r="E53" s="487">
        <f>SUM(E51:E52)</f>
        <v>393</v>
      </c>
      <c r="F53" s="30">
        <f t="shared" si="4"/>
        <v>0.95388349514563109</v>
      </c>
      <c r="G53" s="487">
        <f>SUM(G51:G52)</f>
        <v>2092</v>
      </c>
      <c r="H53" s="487">
        <f>SUM(H51:H52)</f>
        <v>2012</v>
      </c>
      <c r="I53" s="30">
        <f t="shared" si="5"/>
        <v>0.96175908221797324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D54+'2017APR'!G54</f>
        <v>10</v>
      </c>
      <c r="H54" s="479">
        <f>E54+'2017APR'!H54</f>
        <v>3</v>
      </c>
      <c r="I54" s="28">
        <f t="shared" si="5"/>
        <v>0.3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303</v>
      </c>
      <c r="E55" s="490">
        <v>346</v>
      </c>
      <c r="F55" s="28">
        <f t="shared" si="4"/>
        <v>1.141914191419142</v>
      </c>
      <c r="G55" s="479">
        <f>D55+'2017APR'!G55</f>
        <v>1541</v>
      </c>
      <c r="H55" s="479">
        <f>E55+'2017APR'!H55</f>
        <v>1767</v>
      </c>
      <c r="I55" s="28">
        <f t="shared" si="5"/>
        <v>1.1466580142764438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305</v>
      </c>
      <c r="E56" s="474">
        <f>SUM(E54:E55)</f>
        <v>346</v>
      </c>
      <c r="F56" s="28">
        <f t="shared" si="4"/>
        <v>1.1344262295081968</v>
      </c>
      <c r="G56" s="474">
        <f>SUM(G54:G55)</f>
        <v>1551</v>
      </c>
      <c r="H56" s="474">
        <f>SUM(H54:H55)</f>
        <v>1770</v>
      </c>
      <c r="I56" s="31">
        <f t="shared" si="5"/>
        <v>1.1411992263056092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8</v>
      </c>
      <c r="F57" s="32">
        <f t="shared" si="4"/>
        <v>1.1428571428571428</v>
      </c>
      <c r="G57" s="473">
        <f>SUM(G51,G54)</f>
        <v>35</v>
      </c>
      <c r="H57" s="473">
        <f>SUM(H51,H54)</f>
        <v>16</v>
      </c>
      <c r="I57" s="32">
        <f t="shared" si="5"/>
        <v>0.45714285714285713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710</v>
      </c>
      <c r="E58" s="473">
        <f>SUM(E52,E55)</f>
        <v>731</v>
      </c>
      <c r="F58" s="32">
        <f t="shared" si="4"/>
        <v>1.0295774647887324</v>
      </c>
      <c r="G58" s="473">
        <f>SUM(G52,G55)</f>
        <v>3608</v>
      </c>
      <c r="H58" s="473">
        <f>SUM(H52,H55)</f>
        <v>3766</v>
      </c>
      <c r="I58" s="32">
        <f t="shared" si="5"/>
        <v>1.0437915742793791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717</v>
      </c>
      <c r="E59" s="481">
        <f>SUM(E57:E58)</f>
        <v>739</v>
      </c>
      <c r="F59" s="33">
        <f t="shared" si="4"/>
        <v>1.0306834030683403</v>
      </c>
      <c r="G59" s="481">
        <f>SUM(G57:G58)</f>
        <v>3643</v>
      </c>
      <c r="H59" s="481">
        <f>SUM(H57:H58)</f>
        <v>3782</v>
      </c>
      <c r="I59" s="33">
        <f t="shared" si="5"/>
        <v>1.0381553664562173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27.8</v>
      </c>
      <c r="F60" s="28">
        <f t="shared" si="4"/>
        <v>1.7375</v>
      </c>
      <c r="G60" s="479">
        <f>D60+'2017APR'!G60</f>
        <v>80</v>
      </c>
      <c r="H60" s="479">
        <f>E60+'2017APR'!H60</f>
        <v>41.3</v>
      </c>
      <c r="I60" s="28">
        <f t="shared" si="5"/>
        <v>0.51624999999999999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1331</v>
      </c>
      <c r="E61" s="479">
        <f>E70/10</f>
        <v>1083.0999999999999</v>
      </c>
      <c r="F61" s="28">
        <f t="shared" si="4"/>
        <v>0.81374906085649878</v>
      </c>
      <c r="G61" s="479">
        <f>D61+'2017APR'!G61</f>
        <v>6760</v>
      </c>
      <c r="H61" s="479">
        <f>E61+'2017APR'!H61</f>
        <v>5682.2000000000007</v>
      </c>
      <c r="I61" s="28">
        <f t="shared" si="5"/>
        <v>0.84056213017751491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1347</v>
      </c>
      <c r="E62" s="487">
        <f>SUM(E60:E61)</f>
        <v>1110.8999999999999</v>
      </c>
      <c r="F62" s="30">
        <f t="shared" si="4"/>
        <v>0.82472160356347424</v>
      </c>
      <c r="G62" s="487">
        <f>SUM(G60:G61)</f>
        <v>6840</v>
      </c>
      <c r="H62" s="487">
        <f>SUM(H60:H61)</f>
        <v>5723.5000000000009</v>
      </c>
      <c r="I62" s="30">
        <f t="shared" si="5"/>
        <v>0.83676900584795333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D63+'2017APR'!G63</f>
        <v>10</v>
      </c>
      <c r="H63" s="479">
        <f>E63+'2017APR'!H63</f>
        <v>7.4</v>
      </c>
      <c r="I63" s="28">
        <f t="shared" si="5"/>
        <v>0.74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455</v>
      </c>
      <c r="E64" s="479">
        <f>E73/10</f>
        <v>407</v>
      </c>
      <c r="F64" s="28">
        <f t="shared" si="4"/>
        <v>0.89450549450549455</v>
      </c>
      <c r="G64" s="479">
        <f>D64+'2017APR'!G64</f>
        <v>2312</v>
      </c>
      <c r="H64" s="479">
        <f>E64+'2017APR'!H64</f>
        <v>2062.6</v>
      </c>
      <c r="I64" s="28">
        <f t="shared" si="5"/>
        <v>0.89212802768166088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457</v>
      </c>
      <c r="E65" s="474">
        <f>SUM(E63:E64)</f>
        <v>407</v>
      </c>
      <c r="F65" s="31">
        <f t="shared" si="4"/>
        <v>0.89059080962800874</v>
      </c>
      <c r="G65" s="474">
        <f>SUM(G63:G64)</f>
        <v>2322</v>
      </c>
      <c r="H65" s="474">
        <f>SUM(H63:H64)</f>
        <v>2070</v>
      </c>
      <c r="I65" s="31">
        <f t="shared" si="5"/>
        <v>0.89147286821705429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27.8</v>
      </c>
      <c r="F66" s="32">
        <f t="shared" si="4"/>
        <v>1.5444444444444445</v>
      </c>
      <c r="G66" s="473">
        <f>SUM(G60,G63)</f>
        <v>90</v>
      </c>
      <c r="H66" s="473">
        <f>SUM(H60,H63)</f>
        <v>48.699999999999996</v>
      </c>
      <c r="I66" s="32">
        <f t="shared" si="5"/>
        <v>0.5411111111111111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1786</v>
      </c>
      <c r="E67" s="473">
        <f>SUM(E61,E64)</f>
        <v>1490.1</v>
      </c>
      <c r="F67" s="32">
        <f t="shared" si="4"/>
        <v>0.83432250839865618</v>
      </c>
      <c r="G67" s="473">
        <f>SUM(G61,G64)</f>
        <v>9072</v>
      </c>
      <c r="H67" s="473">
        <f>SUM(H61,H64)</f>
        <v>7744.8000000000011</v>
      </c>
      <c r="I67" s="32">
        <f t="shared" si="5"/>
        <v>0.85370370370370385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1804</v>
      </c>
      <c r="E68" s="481">
        <f>SUM(E66:E67)</f>
        <v>1517.8999999999999</v>
      </c>
      <c r="F68" s="34">
        <f t="shared" si="4"/>
        <v>0.84140798226164071</v>
      </c>
      <c r="G68" s="481">
        <f>SUM(G66:G67)</f>
        <v>9162</v>
      </c>
      <c r="H68" s="481">
        <f>SUM(H66:H67)</f>
        <v>7793.5000000000009</v>
      </c>
      <c r="I68" s="34">
        <f t="shared" si="5"/>
        <v>0.85063304955249952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775</v>
      </c>
      <c r="E69" s="490">
        <v>278</v>
      </c>
      <c r="F69" s="28">
        <f t="shared" si="4"/>
        <v>0.35870967741935483</v>
      </c>
      <c r="G69" s="479">
        <f>D69+'2017APR'!G69</f>
        <v>2325</v>
      </c>
      <c r="H69" s="479">
        <f>E69+'2017APR'!H69</f>
        <v>413</v>
      </c>
      <c r="I69" s="28">
        <f t="shared" si="5"/>
        <v>0.17763440860215055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13310</v>
      </c>
      <c r="E70" s="479">
        <f>E21-E69</f>
        <v>10831</v>
      </c>
      <c r="F70" s="28">
        <f t="shared" si="4"/>
        <v>0.8137490608564989</v>
      </c>
      <c r="G70" s="479">
        <f>D70+'2017APR'!G70</f>
        <v>67609</v>
      </c>
      <c r="H70" s="479">
        <f>E70+'2017APR'!H70</f>
        <v>56822</v>
      </c>
      <c r="I70" s="28">
        <f t="shared" si="5"/>
        <v>0.84045023591533674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14085</v>
      </c>
      <c r="E71" s="487">
        <f>SUM(E69:E70)</f>
        <v>11109</v>
      </c>
      <c r="F71" s="30">
        <f t="shared" si="4"/>
        <v>0.7887113951011715</v>
      </c>
      <c r="G71" s="487">
        <f>SUM(G69:G70)</f>
        <v>69934</v>
      </c>
      <c r="H71" s="487">
        <f>SUM(H69:H70)</f>
        <v>57235</v>
      </c>
      <c r="I71" s="30">
        <f t="shared" si="5"/>
        <v>0.81841450510481306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100</v>
      </c>
      <c r="E72" s="490">
        <v>0</v>
      </c>
      <c r="F72" s="28">
        <f t="shared" si="4"/>
        <v>0</v>
      </c>
      <c r="G72" s="479">
        <f>D72+'2017APR'!G72</f>
        <v>300</v>
      </c>
      <c r="H72" s="479">
        <f>E72+'2017APR'!H72</f>
        <v>74</v>
      </c>
      <c r="I72" s="28">
        <f t="shared" si="5"/>
        <v>0.24666666666666667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4550</v>
      </c>
      <c r="E73" s="479">
        <f>E23-E72</f>
        <v>4070</v>
      </c>
      <c r="F73" s="28">
        <f t="shared" si="4"/>
        <v>0.89450549450549455</v>
      </c>
      <c r="G73" s="479">
        <f>D73+'2017APR'!G73</f>
        <v>23112</v>
      </c>
      <c r="H73" s="479">
        <f>E73+'2017APR'!H73</f>
        <v>20626</v>
      </c>
      <c r="I73" s="28">
        <f t="shared" si="5"/>
        <v>0.89243682935271718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4650</v>
      </c>
      <c r="E74" s="474">
        <f>SUM(E72:E73)</f>
        <v>4070</v>
      </c>
      <c r="F74" s="31">
        <f t="shared" si="4"/>
        <v>0.87526881720430105</v>
      </c>
      <c r="G74" s="474">
        <f>SUM(G72:G73)</f>
        <v>23412</v>
      </c>
      <c r="H74" s="474">
        <f>SUM(H72:H73)</f>
        <v>20700</v>
      </c>
      <c r="I74" s="31">
        <f t="shared" si="5"/>
        <v>0.8841619682214249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875</v>
      </c>
      <c r="E75" s="473">
        <f>SUM(E69,E72)</f>
        <v>278</v>
      </c>
      <c r="F75" s="32">
        <f t="shared" si="4"/>
        <v>0.31771428571428573</v>
      </c>
      <c r="G75" s="473">
        <f>SUM(G69,G72)</f>
        <v>2625</v>
      </c>
      <c r="H75" s="473">
        <f>SUM(H69,H72)</f>
        <v>487</v>
      </c>
      <c r="I75" s="32">
        <f t="shared" si="5"/>
        <v>0.18552380952380954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17860</v>
      </c>
      <c r="E76" s="473">
        <f>SUM(E70,E73)</f>
        <v>14901</v>
      </c>
      <c r="F76" s="32">
        <f t="shared" si="4"/>
        <v>0.83432250839865618</v>
      </c>
      <c r="G76" s="473">
        <f>SUM(G70,G73)</f>
        <v>90721</v>
      </c>
      <c r="H76" s="473">
        <f>SUM(H70,H73)</f>
        <v>77448</v>
      </c>
      <c r="I76" s="32">
        <f t="shared" si="5"/>
        <v>0.85369429349323755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18735</v>
      </c>
      <c r="E77" s="481">
        <f>SUM(E75:E76)</f>
        <v>15179</v>
      </c>
      <c r="F77" s="34">
        <f t="shared" si="4"/>
        <v>0.81019482252468644</v>
      </c>
      <c r="G77" s="481">
        <f>SUM(G75:G76)</f>
        <v>93346</v>
      </c>
      <c r="H77" s="481">
        <f>SUM(H75:H76)</f>
        <v>77935</v>
      </c>
      <c r="I77" s="34">
        <f t="shared" si="5"/>
        <v>0.83490454866839503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D84+'2017APR'!G84</f>
        <v>2</v>
      </c>
      <c r="H84" s="479">
        <f>E84+'2017APR'!H84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65.5</v>
      </c>
      <c r="F85" s="28">
        <f t="shared" ref="F85:F98" si="6">E85/D85</f>
        <v>0.77058823529411768</v>
      </c>
      <c r="G85" s="479">
        <f>D85+'2017APR'!G85</f>
        <v>423</v>
      </c>
      <c r="H85" s="479">
        <f>E85+'2017APR'!H85</f>
        <v>337.5</v>
      </c>
      <c r="I85" s="28">
        <f t="shared" ref="I85:I98" si="7">H85/G85</f>
        <v>0.7978723404255319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65.5</v>
      </c>
      <c r="F86" s="30">
        <f t="shared" si="6"/>
        <v>0.77058823529411768</v>
      </c>
      <c r="G86" s="487">
        <f>SUM(G84:G85)</f>
        <v>425</v>
      </c>
      <c r="H86" s="487">
        <f>SUM(H84:H85)</f>
        <v>337.5</v>
      </c>
      <c r="I86" s="30">
        <f t="shared" si="7"/>
        <v>0.79411764705882348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D87+'2017APR'!G87</f>
        <v>1</v>
      </c>
      <c r="H87" s="479">
        <f>E87+'2017APR'!H87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D88+'2017APR'!G88</f>
        <v>99</v>
      </c>
      <c r="H88" s="479">
        <f>E88+'2017APR'!H88</f>
        <v>86.5</v>
      </c>
      <c r="I88" s="28">
        <f t="shared" si="7"/>
        <v>0.8737373737373737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100</v>
      </c>
      <c r="H89" s="487">
        <f>SUM(H87:H88)</f>
        <v>86.5</v>
      </c>
      <c r="I89" s="30">
        <f t="shared" si="7"/>
        <v>0.86499999999999999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2</v>
      </c>
      <c r="F90" s="28" t="e">
        <f t="shared" si="6"/>
        <v>#DIV/0!</v>
      </c>
      <c r="G90" s="479">
        <f>D90+'2017APR'!G90</f>
        <v>2</v>
      </c>
      <c r="H90" s="479">
        <f>E90+'2017APR'!H90</f>
        <v>4</v>
      </c>
      <c r="I90" s="28">
        <f t="shared" si="7"/>
        <v>2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38.5</v>
      </c>
      <c r="F91" s="28">
        <f t="shared" si="6"/>
        <v>0.75490196078431371</v>
      </c>
      <c r="G91" s="479">
        <f>D91+'2017APR'!G91</f>
        <v>251</v>
      </c>
      <c r="H91" s="479">
        <f>E91+'2017APR'!H91</f>
        <v>224.5</v>
      </c>
      <c r="I91" s="28">
        <f t="shared" si="7"/>
        <v>0.89442231075697209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40.5</v>
      </c>
      <c r="F92" s="30">
        <f t="shared" si="6"/>
        <v>0.79411764705882348</v>
      </c>
      <c r="G92" s="487">
        <f>SUM(G90:G91)</f>
        <v>253</v>
      </c>
      <c r="H92" s="487">
        <f>SUM(H90:H91)</f>
        <v>228.5</v>
      </c>
      <c r="I92" s="30">
        <f t="shared" si="7"/>
        <v>0.90316205533596838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6</v>
      </c>
      <c r="F93" s="28" t="e">
        <f t="shared" si="6"/>
        <v>#DIV/0!</v>
      </c>
      <c r="G93" s="479">
        <f>D93+'2017APR'!G93</f>
        <v>3</v>
      </c>
      <c r="H93" s="479">
        <f>E93+'2017APR'!H93</f>
        <v>8.5</v>
      </c>
      <c r="I93" s="28">
        <f t="shared" si="7"/>
        <v>2.8333333333333335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87.5</v>
      </c>
      <c r="F94" s="28">
        <f t="shared" si="6"/>
        <v>0.95108695652173914</v>
      </c>
      <c r="G94" s="479">
        <f>D94+'2017APR'!G94</f>
        <v>457</v>
      </c>
      <c r="H94" s="479">
        <f>E94+'2017APR'!H94</f>
        <v>418</v>
      </c>
      <c r="I94" s="28">
        <f t="shared" si="7"/>
        <v>0.91466083150984678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93.5</v>
      </c>
      <c r="F95" s="30">
        <f t="shared" si="6"/>
        <v>1.0163043478260869</v>
      </c>
      <c r="G95" s="487">
        <f>SUM(G93:G94)</f>
        <v>460</v>
      </c>
      <c r="H95" s="487">
        <f>SUM(H93:H94)</f>
        <v>426.5</v>
      </c>
      <c r="I95" s="30">
        <f t="shared" si="7"/>
        <v>0.92717391304347829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8</v>
      </c>
      <c r="F96" s="31" t="e">
        <f t="shared" si="6"/>
        <v>#DIV/0!</v>
      </c>
      <c r="G96" s="474">
        <f>SUM(G84,G87,G90,G93)</f>
        <v>8</v>
      </c>
      <c r="H96" s="474">
        <f>SUM(H84,H87,H90,H93)</f>
        <v>12.5</v>
      </c>
      <c r="I96" s="31">
        <f t="shared" si="7"/>
        <v>1.5625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208</v>
      </c>
      <c r="F97" s="31">
        <f t="shared" si="6"/>
        <v>0.83870967741935487</v>
      </c>
      <c r="G97" s="474">
        <f>SUM(G85,G88,G91,G94)</f>
        <v>1230</v>
      </c>
      <c r="H97" s="474">
        <f>SUM(H85,H88,H91,H94)</f>
        <v>1066.5</v>
      </c>
      <c r="I97" s="31">
        <f t="shared" si="7"/>
        <v>0.86707317073170731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216</v>
      </c>
      <c r="F98" s="41">
        <f t="shared" si="6"/>
        <v>0.87096774193548387</v>
      </c>
      <c r="G98" s="475">
        <f>SUM(G96:G97)</f>
        <v>1238</v>
      </c>
      <c r="H98" s="475">
        <f>SUM(H96:H97)</f>
        <v>1079</v>
      </c>
      <c r="I98" s="41">
        <f t="shared" si="7"/>
        <v>0.87156704361873993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D99+'2017APR'!G99</f>
        <v>2</v>
      </c>
      <c r="H99" s="478">
        <f>E99+'2017APR'!H99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56</v>
      </c>
      <c r="F100" s="28">
        <f t="shared" ref="F100:F109" si="8">E100/D100</f>
        <v>0.7466666666666667</v>
      </c>
      <c r="G100" s="477">
        <f>D100+'2017APR'!G100</f>
        <v>373</v>
      </c>
      <c r="H100" s="477">
        <f>E100+'2017APR'!H100</f>
        <v>290</v>
      </c>
      <c r="I100" s="28">
        <f t="shared" ref="I100:I109" si="9">H100/G100</f>
        <v>0.77747989276139406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56</v>
      </c>
      <c r="F101" s="30">
        <f t="shared" si="8"/>
        <v>0.7466666666666667</v>
      </c>
      <c r="G101" s="487">
        <f>SUM(G99:G100)</f>
        <v>375</v>
      </c>
      <c r="H101" s="487">
        <f>SUM(H99:H100)</f>
        <v>290</v>
      </c>
      <c r="I101" s="30">
        <f t="shared" si="9"/>
        <v>0.77333333333333332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D102+'2017APR'!G102</f>
        <v>2</v>
      </c>
      <c r="H102" s="479">
        <f>E102+'2017APR'!H102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D103+'2017APR'!G103</f>
        <v>203</v>
      </c>
      <c r="H103" s="479">
        <f>E103+'2017APR'!H103</f>
        <v>173</v>
      </c>
      <c r="I103" s="28">
        <f t="shared" si="9"/>
        <v>0.85221674876847286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205</v>
      </c>
      <c r="H104" s="487">
        <f>SUM(H102:H103)</f>
        <v>173</v>
      </c>
      <c r="I104" s="30">
        <f t="shared" si="9"/>
        <v>0.84390243902439022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89.5</v>
      </c>
      <c r="F106" s="30">
        <f t="shared" si="8"/>
        <v>0.77155172413793105</v>
      </c>
      <c r="G106" s="474">
        <f>SUM(G100,G103)</f>
        <v>576</v>
      </c>
      <c r="H106" s="474">
        <f>SUM(H100,H103)</f>
        <v>463</v>
      </c>
      <c r="I106" s="30">
        <f t="shared" si="9"/>
        <v>0.80381944444444442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89.5</v>
      </c>
      <c r="F107" s="41">
        <f t="shared" si="8"/>
        <v>0.77155172413793105</v>
      </c>
      <c r="G107" s="475">
        <f>SUM(G105:G106)</f>
        <v>580</v>
      </c>
      <c r="H107" s="475">
        <f>SUM(H105:H106)</f>
        <v>463</v>
      </c>
      <c r="I107" s="41">
        <f t="shared" si="9"/>
        <v>0.7982758620689655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8</v>
      </c>
      <c r="F108" s="45" t="e">
        <f t="shared" si="8"/>
        <v>#DIV/0!</v>
      </c>
      <c r="G108" s="46">
        <f>SUM(G96,G105)</f>
        <v>12</v>
      </c>
      <c r="H108" s="46">
        <f>SUM(H96,H105)</f>
        <v>12.5</v>
      </c>
      <c r="I108" s="45">
        <f t="shared" si="9"/>
        <v>1.0416666666666667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297.5</v>
      </c>
      <c r="F109" s="32">
        <f t="shared" si="8"/>
        <v>0.81730769230769229</v>
      </c>
      <c r="G109" s="473">
        <f>SUM(G97,G106)</f>
        <v>1806</v>
      </c>
      <c r="H109" s="473">
        <f>SUM(H97,H106)</f>
        <v>1529.5</v>
      </c>
      <c r="I109" s="32">
        <f t="shared" si="9"/>
        <v>0.8468992248062015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1818</v>
      </c>
      <c r="H110" s="472">
        <f>SUM(H108:H109)</f>
        <v>1542</v>
      </c>
      <c r="I110" s="49">
        <f>H110/G110</f>
        <v>0.84818481848184824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1133</v>
      </c>
      <c r="D118" s="592"/>
      <c r="E118" s="591">
        <v>8</v>
      </c>
      <c r="F118" s="592"/>
      <c r="G118" s="591">
        <v>5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536</v>
      </c>
      <c r="D123" s="590"/>
      <c r="E123" s="590">
        <v>84</v>
      </c>
      <c r="F123" s="590"/>
      <c r="G123" s="590">
        <v>179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329</v>
      </c>
      <c r="D128" s="563"/>
      <c r="E128" s="564"/>
      <c r="F128" s="562" t="s">
        <v>333</v>
      </c>
      <c r="G128" s="563"/>
      <c r="H128" s="563"/>
      <c r="I128" s="564"/>
      <c r="J128" s="562" t="s">
        <v>340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341</v>
      </c>
      <c r="D129" s="736"/>
      <c r="E129" s="737"/>
      <c r="F129" s="753" t="s">
        <v>335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15</v>
      </c>
      <c r="D130" s="736"/>
      <c r="E130" s="737"/>
      <c r="F130" s="757" t="s">
        <v>15</v>
      </c>
      <c r="G130" s="758"/>
      <c r="H130" s="758"/>
      <c r="I130" s="759"/>
      <c r="J130" s="743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324</v>
      </c>
      <c r="D131" s="732"/>
      <c r="E131" s="733"/>
      <c r="F131" s="750" t="s">
        <v>337</v>
      </c>
      <c r="G131" s="751"/>
      <c r="H131" s="751"/>
      <c r="I131" s="752"/>
      <c r="J131" s="731" t="s">
        <v>336</v>
      </c>
      <c r="K131" s="732"/>
      <c r="L131" s="732"/>
      <c r="M131" s="734"/>
    </row>
    <row r="132" spans="1:13" ht="35.25" customHeight="1" thickBot="1">
      <c r="A132" s="718" t="s">
        <v>106</v>
      </c>
      <c r="B132" s="719"/>
      <c r="C132" s="720" t="s">
        <v>342</v>
      </c>
      <c r="D132" s="721"/>
      <c r="E132" s="722"/>
      <c r="F132" s="746" t="s">
        <v>339</v>
      </c>
      <c r="G132" s="747"/>
      <c r="H132" s="747"/>
      <c r="I132" s="748"/>
      <c r="J132" s="749" t="s">
        <v>343</v>
      </c>
      <c r="K132" s="727"/>
      <c r="L132" s="727"/>
      <c r="M132" s="728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'2017APR'!H138</f>
        <v>28710</v>
      </c>
      <c r="C138" s="63">
        <f>E43-E42</f>
        <v>17568</v>
      </c>
      <c r="D138" s="504">
        <v>49321</v>
      </c>
      <c r="E138" s="531" t="s">
        <v>114</v>
      </c>
      <c r="F138" s="531"/>
      <c r="G138" s="531"/>
      <c r="H138" s="505">
        <f>C138+A138+B138-D138</f>
        <v>-3043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19607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17256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1872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D94C6969-2736-7B4B-8713-67E559307D9F}">
      <formula1>"USA, JAPAN"</formula1>
    </dataValidation>
    <dataValidation type="list" allowBlank="1" showInputMessage="1" showErrorMessage="1" sqref="G1" xr:uid="{17102DE5-7FF9-4B4B-B7DE-53376B6423DB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DAEF-1632-0749-BC86-4A4D6EDC9B02}">
  <sheetPr codeName="Sheet7">
    <pageSetUpPr fitToPage="1"/>
  </sheetPr>
  <dimension ref="A1:N150"/>
  <sheetViews>
    <sheetView topLeftCell="A16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42894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14136</v>
      </c>
      <c r="E21" s="490">
        <v>11343</v>
      </c>
      <c r="F21" s="14">
        <f t="shared" ref="F21:F26" si="0">E21/D21</f>
        <v>0.80241935483870963</v>
      </c>
      <c r="G21" s="479">
        <f>D21+'2017MAY'!G21</f>
        <v>84070</v>
      </c>
      <c r="H21" s="479">
        <f>E21+'2017MAY'!H21</f>
        <v>68578</v>
      </c>
      <c r="I21" s="14">
        <f t="shared" ref="I21:I26" si="1">H21/G21</f>
        <v>0.81572499107886287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14136</v>
      </c>
      <c r="E22" s="487">
        <f>SUM(E21:E21)</f>
        <v>11343</v>
      </c>
      <c r="F22" s="16">
        <f t="shared" si="0"/>
        <v>0.80241935483870963</v>
      </c>
      <c r="G22" s="487">
        <f>SUM(G21:G21)</f>
        <v>84070</v>
      </c>
      <c r="H22" s="487">
        <f>SUM(H21:H21)</f>
        <v>68578</v>
      </c>
      <c r="I22" s="16">
        <f t="shared" si="1"/>
        <v>0.81572499107886287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4634</v>
      </c>
      <c r="E23" s="490">
        <v>4035</v>
      </c>
      <c r="F23" s="14">
        <f t="shared" si="0"/>
        <v>0.87073802330599914</v>
      </c>
      <c r="G23" s="479">
        <f>D23+'2017MAY'!G23</f>
        <v>28046</v>
      </c>
      <c r="H23" s="479">
        <f>E23+'2017MAY'!H23</f>
        <v>24735</v>
      </c>
      <c r="I23" s="14">
        <f t="shared" si="1"/>
        <v>0.88194394922627117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4634</v>
      </c>
      <c r="E25" s="487">
        <f>SUM(E23:E24)</f>
        <v>4035</v>
      </c>
      <c r="F25" s="16">
        <f t="shared" si="0"/>
        <v>0.87073802330599914</v>
      </c>
      <c r="G25" s="487">
        <f>SUM(G23:G24)</f>
        <v>28046</v>
      </c>
      <c r="H25" s="487">
        <f>SUM(H23:H24)</f>
        <v>24735</v>
      </c>
      <c r="I25" s="16">
        <f t="shared" si="1"/>
        <v>0.88194394922627117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18770</v>
      </c>
      <c r="E26" s="489">
        <f>SUM(E22,E25)</f>
        <v>15378</v>
      </c>
      <c r="F26" s="17">
        <f t="shared" si="0"/>
        <v>0.81928609483217896</v>
      </c>
      <c r="G26" s="489">
        <f>SUM(G22,G25)</f>
        <v>112116</v>
      </c>
      <c r="H26" s="489">
        <f>SUM(H22,H25)</f>
        <v>93313</v>
      </c>
      <c r="I26" s="17">
        <f t="shared" si="1"/>
        <v>0.83228977130828785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613</v>
      </c>
      <c r="F28" s="14">
        <f>E28/D28</f>
        <v>3.0649999999999999</v>
      </c>
      <c r="G28" s="479">
        <f>D28+'2017MAY'!G28</f>
        <v>1200</v>
      </c>
      <c r="H28" s="479">
        <f>E28+'2017MAY'!H28</f>
        <v>5821</v>
      </c>
      <c r="I28" s="14">
        <f>H28/G28</f>
        <v>4.8508333333333331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613</v>
      </c>
      <c r="F30" s="14">
        <f t="shared" si="2"/>
        <v>3.0649999999999999</v>
      </c>
      <c r="G30" s="487">
        <f>SUM(G28:G29)</f>
        <v>1200</v>
      </c>
      <c r="H30" s="487">
        <f>SUM(H28:H29)</f>
        <v>5821</v>
      </c>
      <c r="I30" s="14">
        <f t="shared" si="3"/>
        <v>4.8508333333333331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2750</v>
      </c>
      <c r="F31" s="14">
        <f t="shared" si="2"/>
        <v>0.7432432432432432</v>
      </c>
      <c r="G31" s="479">
        <f>D31+'2017MAY'!G31</f>
        <v>14700</v>
      </c>
      <c r="H31" s="479">
        <f>E31+'2017MAY'!H31</f>
        <v>22997</v>
      </c>
      <c r="I31" s="14">
        <f t="shared" si="3"/>
        <v>1.5644217687074831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3363</v>
      </c>
      <c r="F32" s="14">
        <f t="shared" si="2"/>
        <v>0.86230769230769233</v>
      </c>
      <c r="G32" s="485">
        <f>SUM(G30,G31)</f>
        <v>15900</v>
      </c>
      <c r="H32" s="485">
        <f>SUM(H30,H31)</f>
        <v>28818</v>
      </c>
      <c r="I32" s="14">
        <f t="shared" si="3"/>
        <v>1.8124528301886793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D33+'2017MAY'!G33</f>
        <v>210000</v>
      </c>
      <c r="H33" s="479">
        <f>E33+'2017MAY'!H33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210000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D36+'2017MAY'!G36</f>
        <v>6666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6666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216666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1241</v>
      </c>
      <c r="F40" s="21">
        <f t="shared" si="2"/>
        <v>4.1366666666666667</v>
      </c>
      <c r="G40" s="483">
        <f>D40+'2017MAY'!G40</f>
        <v>1800</v>
      </c>
      <c r="H40" s="483">
        <f>E40+'2017MAY'!H40</f>
        <v>5383</v>
      </c>
      <c r="I40" s="21">
        <f t="shared" si="3"/>
        <v>2.9905555555555554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D41+'2017MAY'!G41</f>
        <v>18000</v>
      </c>
      <c r="H41" s="483">
        <f>E41+'2017MAY'!H41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D42+'2017MAY'!G42</f>
        <v>102000</v>
      </c>
      <c r="H42" s="483">
        <f>E42+'2017MAY'!H42</f>
        <v>102000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80942</v>
      </c>
      <c r="E43" s="484">
        <f>SUM(E26,E32,E39,E40:E42)</f>
        <v>19982</v>
      </c>
      <c r="F43" s="22">
        <f t="shared" si="2"/>
        <v>0.24686812779521139</v>
      </c>
      <c r="G43" s="484">
        <f>SUM(G26,G32,G39,G40:G42)</f>
        <v>466482</v>
      </c>
      <c r="H43" s="484">
        <f>SUM(H26,H32,H39,H40:H42)</f>
        <v>229514</v>
      </c>
      <c r="I43" s="22">
        <f t="shared" si="3"/>
        <v>0.49201040983360561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80642</v>
      </c>
      <c r="E44" s="484">
        <f>E43-E40</f>
        <v>18741</v>
      </c>
      <c r="F44" s="22">
        <f t="shared" si="2"/>
        <v>0.23239750998239131</v>
      </c>
      <c r="G44" s="484">
        <f>G43-G40</f>
        <v>464682</v>
      </c>
      <c r="H44" s="484">
        <f>H43-H40</f>
        <v>224131</v>
      </c>
      <c r="I44" s="22">
        <f t="shared" si="3"/>
        <v>0.48233200339156673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63642</v>
      </c>
      <c r="E45" s="482">
        <f>E44-E42</f>
        <v>18741</v>
      </c>
      <c r="F45" s="23">
        <f t="shared" si="2"/>
        <v>0.29447534646931273</v>
      </c>
      <c r="G45" s="482">
        <f>G44-G42</f>
        <v>362682</v>
      </c>
      <c r="H45" s="482">
        <f>H44-H42</f>
        <v>122131</v>
      </c>
      <c r="I45" s="23">
        <f t="shared" si="3"/>
        <v>0.33674403471912034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12</v>
      </c>
      <c r="F51" s="28">
        <f t="shared" ref="F51:F77" si="4">E51/D51</f>
        <v>2.4</v>
      </c>
      <c r="G51" s="479">
        <f>D51+'2017MAY'!G51</f>
        <v>30</v>
      </c>
      <c r="H51" s="479">
        <f>E51+'2017MAY'!H51</f>
        <v>25</v>
      </c>
      <c r="I51" s="28">
        <f t="shared" ref="I51:I77" si="5">H51/G51</f>
        <v>0.83333333333333337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404</v>
      </c>
      <c r="E52" s="490">
        <v>391</v>
      </c>
      <c r="F52" s="28">
        <f t="shared" si="4"/>
        <v>0.96782178217821779</v>
      </c>
      <c r="G52" s="479">
        <f>D52+'2017MAY'!G52</f>
        <v>2471</v>
      </c>
      <c r="H52" s="479">
        <f>E52+'2017MAY'!H52</f>
        <v>2390</v>
      </c>
      <c r="I52" s="28">
        <f t="shared" si="5"/>
        <v>0.96721974908943742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409</v>
      </c>
      <c r="E53" s="487">
        <f>SUM(E51:E52)</f>
        <v>403</v>
      </c>
      <c r="F53" s="30">
        <f t="shared" si="4"/>
        <v>0.9853300733496333</v>
      </c>
      <c r="G53" s="487">
        <f>SUM(G51:G52)</f>
        <v>2501</v>
      </c>
      <c r="H53" s="487">
        <f>SUM(H51:H52)</f>
        <v>2415</v>
      </c>
      <c r="I53" s="30">
        <f t="shared" si="5"/>
        <v>0.96561375449820075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D54+'2017MAY'!G54</f>
        <v>12</v>
      </c>
      <c r="H54" s="479">
        <f>E54+'2017MAY'!H54</f>
        <v>3</v>
      </c>
      <c r="I54" s="28">
        <f t="shared" si="5"/>
        <v>0.25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301</v>
      </c>
      <c r="E55" s="490">
        <v>343</v>
      </c>
      <c r="F55" s="28">
        <f t="shared" si="4"/>
        <v>1.1395348837209303</v>
      </c>
      <c r="G55" s="479">
        <f>D55+'2017MAY'!G55</f>
        <v>1842</v>
      </c>
      <c r="H55" s="479">
        <f>E55+'2017MAY'!H55</f>
        <v>2110</v>
      </c>
      <c r="I55" s="28">
        <f t="shared" si="5"/>
        <v>1.1454940282301846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303</v>
      </c>
      <c r="E56" s="474">
        <f>SUM(E54:E55)</f>
        <v>343</v>
      </c>
      <c r="F56" s="28">
        <f t="shared" si="4"/>
        <v>1.1320132013201321</v>
      </c>
      <c r="G56" s="474">
        <f>SUM(G54:G55)</f>
        <v>1854</v>
      </c>
      <c r="H56" s="474">
        <f>SUM(H54:H55)</f>
        <v>2113</v>
      </c>
      <c r="I56" s="31">
        <f t="shared" si="5"/>
        <v>1.1396979503775619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42</v>
      </c>
      <c r="H57" s="473">
        <f>SUM(H51,H54)</f>
        <v>28</v>
      </c>
      <c r="I57" s="32">
        <f t="shared" si="5"/>
        <v>0.66666666666666663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705</v>
      </c>
      <c r="E58" s="473">
        <f>SUM(E52,E55)</f>
        <v>734</v>
      </c>
      <c r="F58" s="32">
        <f t="shared" si="4"/>
        <v>1.0411347517730496</v>
      </c>
      <c r="G58" s="473">
        <f>SUM(G52,G55)</f>
        <v>4313</v>
      </c>
      <c r="H58" s="473">
        <f>SUM(H52,H55)</f>
        <v>4500</v>
      </c>
      <c r="I58" s="32">
        <f t="shared" si="5"/>
        <v>1.0433572919081846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712</v>
      </c>
      <c r="E59" s="481">
        <f>SUM(E57:E58)</f>
        <v>746</v>
      </c>
      <c r="F59" s="33">
        <f t="shared" si="4"/>
        <v>1.047752808988764</v>
      </c>
      <c r="G59" s="481">
        <f>SUM(G57:G58)</f>
        <v>4355</v>
      </c>
      <c r="H59" s="481">
        <f>SUM(H57:H58)</f>
        <v>4528</v>
      </c>
      <c r="I59" s="33">
        <f t="shared" si="5"/>
        <v>1.0397244546498279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41.7</v>
      </c>
      <c r="F60" s="28">
        <f t="shared" si="4"/>
        <v>2.6062500000000002</v>
      </c>
      <c r="G60" s="479">
        <f>D60+'2017MAY'!G60</f>
        <v>96</v>
      </c>
      <c r="H60" s="479">
        <f>E60+'2017MAY'!H60</f>
        <v>83</v>
      </c>
      <c r="I60" s="28">
        <f t="shared" si="5"/>
        <v>0.86458333333333337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1320</v>
      </c>
      <c r="E61" s="479">
        <f>E70/10</f>
        <v>1092.5999999999999</v>
      </c>
      <c r="F61" s="28">
        <f t="shared" si="4"/>
        <v>0.82772727272727264</v>
      </c>
      <c r="G61" s="479">
        <f>D61+'2017MAY'!G61</f>
        <v>8080</v>
      </c>
      <c r="H61" s="479">
        <f>E61+'2017MAY'!H61</f>
        <v>6774.8000000000011</v>
      </c>
      <c r="I61" s="28">
        <f t="shared" si="5"/>
        <v>0.83846534653465365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1336</v>
      </c>
      <c r="E62" s="487">
        <f>SUM(E60:E61)</f>
        <v>1134.3</v>
      </c>
      <c r="F62" s="30">
        <f t="shared" si="4"/>
        <v>0.8490269461077844</v>
      </c>
      <c r="G62" s="487">
        <f>SUM(G60:G61)</f>
        <v>8176</v>
      </c>
      <c r="H62" s="487">
        <f>SUM(H60:H61)</f>
        <v>6857.8000000000011</v>
      </c>
      <c r="I62" s="30">
        <f t="shared" si="5"/>
        <v>0.83877201565557746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D63+'2017MAY'!G63</f>
        <v>12</v>
      </c>
      <c r="H63" s="479">
        <f>E63+'2017MAY'!H63</f>
        <v>7.4</v>
      </c>
      <c r="I63" s="28">
        <f t="shared" si="5"/>
        <v>0.6166666666666667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451</v>
      </c>
      <c r="E64" s="479">
        <f>E73/10</f>
        <v>403.5</v>
      </c>
      <c r="F64" s="28">
        <f t="shared" si="4"/>
        <v>0.89467849223946783</v>
      </c>
      <c r="G64" s="479">
        <f>D64+'2017MAY'!G64</f>
        <v>2763</v>
      </c>
      <c r="H64" s="479">
        <f>E64+'2017MAY'!H64</f>
        <v>2466.1</v>
      </c>
      <c r="I64" s="28">
        <f t="shared" si="5"/>
        <v>0.89254433586681137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453</v>
      </c>
      <c r="E65" s="474">
        <f>SUM(E63:E64)</f>
        <v>403.5</v>
      </c>
      <c r="F65" s="31">
        <f t="shared" si="4"/>
        <v>0.89072847682119205</v>
      </c>
      <c r="G65" s="474">
        <f>SUM(G63:G64)</f>
        <v>2775</v>
      </c>
      <c r="H65" s="474">
        <f>SUM(H63:H64)</f>
        <v>2473.5</v>
      </c>
      <c r="I65" s="31">
        <f t="shared" si="5"/>
        <v>0.89135135135135135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41.7</v>
      </c>
      <c r="F66" s="32">
        <f t="shared" si="4"/>
        <v>2.3166666666666669</v>
      </c>
      <c r="G66" s="473">
        <f>SUM(G60,G63)</f>
        <v>108</v>
      </c>
      <c r="H66" s="473">
        <f>SUM(H60,H63)</f>
        <v>90.4</v>
      </c>
      <c r="I66" s="32">
        <f t="shared" si="5"/>
        <v>0.83703703703703713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1771</v>
      </c>
      <c r="E67" s="473">
        <f>SUM(E61,E64)</f>
        <v>1496.1</v>
      </c>
      <c r="F67" s="32">
        <f t="shared" si="4"/>
        <v>0.84477696216826648</v>
      </c>
      <c r="G67" s="473">
        <f>SUM(G61,G64)</f>
        <v>10843</v>
      </c>
      <c r="H67" s="473">
        <f>SUM(H61,H64)</f>
        <v>9240.9000000000015</v>
      </c>
      <c r="I67" s="32">
        <f t="shared" si="5"/>
        <v>0.85224568846260274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1789</v>
      </c>
      <c r="E68" s="481">
        <f>SUM(E66:E67)</f>
        <v>1537.8</v>
      </c>
      <c r="F68" s="34">
        <f t="shared" si="4"/>
        <v>0.85958636109558406</v>
      </c>
      <c r="G68" s="481">
        <f>SUM(G66:G67)</f>
        <v>10951</v>
      </c>
      <c r="H68" s="481">
        <f>SUM(H66:H67)</f>
        <v>9331.3000000000011</v>
      </c>
      <c r="I68" s="34">
        <f t="shared" si="5"/>
        <v>0.85209569902292037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930</v>
      </c>
      <c r="E69" s="490">
        <v>417</v>
      </c>
      <c r="F69" s="28">
        <f t="shared" si="4"/>
        <v>0.44838709677419353</v>
      </c>
      <c r="G69" s="479">
        <f>D69+'2017MAY'!G69</f>
        <v>3255</v>
      </c>
      <c r="H69" s="479">
        <f>E69+'2017MAY'!H69</f>
        <v>830</v>
      </c>
      <c r="I69" s="28">
        <f t="shared" si="5"/>
        <v>0.25499231950844853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13206</v>
      </c>
      <c r="E70" s="479">
        <f>E21-E69</f>
        <v>10926</v>
      </c>
      <c r="F70" s="28">
        <f t="shared" si="4"/>
        <v>0.82735120399818263</v>
      </c>
      <c r="G70" s="479">
        <f>D70+'2017MAY'!G70</f>
        <v>80815</v>
      </c>
      <c r="H70" s="479">
        <f>E70+'2017MAY'!H70</f>
        <v>67748</v>
      </c>
      <c r="I70" s="28">
        <f t="shared" si="5"/>
        <v>0.83830971973024815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14136</v>
      </c>
      <c r="E71" s="487">
        <f>SUM(E69:E70)</f>
        <v>11343</v>
      </c>
      <c r="F71" s="30">
        <f t="shared" si="4"/>
        <v>0.80241935483870963</v>
      </c>
      <c r="G71" s="487">
        <f>SUM(G69:G70)</f>
        <v>84070</v>
      </c>
      <c r="H71" s="487">
        <f>SUM(H69:H70)</f>
        <v>68578</v>
      </c>
      <c r="I71" s="30">
        <f t="shared" si="5"/>
        <v>0.81572499107886287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120</v>
      </c>
      <c r="E72" s="490">
        <v>0</v>
      </c>
      <c r="F72" s="28">
        <f t="shared" si="4"/>
        <v>0</v>
      </c>
      <c r="G72" s="479">
        <f>D72+'2017MAY'!G72</f>
        <v>420</v>
      </c>
      <c r="H72" s="479">
        <f>E72+'2017MAY'!H72</f>
        <v>74</v>
      </c>
      <c r="I72" s="28">
        <f t="shared" si="5"/>
        <v>0.1761904761904762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4514</v>
      </c>
      <c r="E73" s="479">
        <f>E23-E72</f>
        <v>4035</v>
      </c>
      <c r="F73" s="28">
        <f t="shared" si="4"/>
        <v>0.89388568896765619</v>
      </c>
      <c r="G73" s="479">
        <f>D73+'2017MAY'!G73</f>
        <v>27626</v>
      </c>
      <c r="H73" s="479">
        <f>E73+'2017MAY'!H73</f>
        <v>24661</v>
      </c>
      <c r="I73" s="28">
        <f t="shared" si="5"/>
        <v>0.89267356837761525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4634</v>
      </c>
      <c r="E74" s="474">
        <f>SUM(E72:E73)</f>
        <v>4035</v>
      </c>
      <c r="F74" s="31">
        <f t="shared" si="4"/>
        <v>0.87073802330599914</v>
      </c>
      <c r="G74" s="474">
        <f>SUM(G72:G73)</f>
        <v>28046</v>
      </c>
      <c r="H74" s="474">
        <f>SUM(H72:H73)</f>
        <v>24735</v>
      </c>
      <c r="I74" s="31">
        <f t="shared" si="5"/>
        <v>0.88194394922627117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1050</v>
      </c>
      <c r="E75" s="473">
        <f>SUM(E69,E72)</f>
        <v>417</v>
      </c>
      <c r="F75" s="32">
        <f t="shared" si="4"/>
        <v>0.39714285714285713</v>
      </c>
      <c r="G75" s="473">
        <f>SUM(G69,G72)</f>
        <v>3675</v>
      </c>
      <c r="H75" s="473">
        <f>SUM(H69,H72)</f>
        <v>904</v>
      </c>
      <c r="I75" s="32">
        <f t="shared" si="5"/>
        <v>0.24598639455782312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17720</v>
      </c>
      <c r="E76" s="473">
        <f>SUM(E70,E73)</f>
        <v>14961</v>
      </c>
      <c r="F76" s="32">
        <f t="shared" si="4"/>
        <v>0.84430022573363428</v>
      </c>
      <c r="G76" s="473">
        <f>SUM(G70,G73)</f>
        <v>108441</v>
      </c>
      <c r="H76" s="473">
        <f>SUM(H70,H73)</f>
        <v>92409</v>
      </c>
      <c r="I76" s="32">
        <f t="shared" si="5"/>
        <v>0.85215923866434284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18770</v>
      </c>
      <c r="E77" s="481">
        <f>SUM(E75:E76)</f>
        <v>15378</v>
      </c>
      <c r="F77" s="34">
        <f t="shared" si="4"/>
        <v>0.81928609483217896</v>
      </c>
      <c r="G77" s="481">
        <f>SUM(G75:G76)</f>
        <v>112116</v>
      </c>
      <c r="H77" s="481">
        <f>SUM(H75:H76)</f>
        <v>93313</v>
      </c>
      <c r="I77" s="34">
        <f t="shared" si="5"/>
        <v>0.83228977130828785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D84+'2017MAY'!G84</f>
        <v>2</v>
      </c>
      <c r="H84" s="479">
        <f>E84+'2017MAY'!H84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64.5</v>
      </c>
      <c r="F85" s="28">
        <f t="shared" ref="F85:F98" si="6">E85/D85</f>
        <v>0.75882352941176467</v>
      </c>
      <c r="G85" s="479">
        <f>D85+'2017MAY'!G85</f>
        <v>508</v>
      </c>
      <c r="H85" s="479">
        <f>E85+'2017MAY'!H85</f>
        <v>402</v>
      </c>
      <c r="I85" s="28">
        <f t="shared" ref="I85:I98" si="7">H85/G85</f>
        <v>0.79133858267716539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64.5</v>
      </c>
      <c r="F86" s="30">
        <f t="shared" si="6"/>
        <v>0.75882352941176467</v>
      </c>
      <c r="G86" s="487">
        <f>SUM(G84:G85)</f>
        <v>510</v>
      </c>
      <c r="H86" s="487">
        <f>SUM(H84:H85)</f>
        <v>402</v>
      </c>
      <c r="I86" s="30">
        <f t="shared" si="7"/>
        <v>0.78823529411764703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D87+'2017MAY'!G87</f>
        <v>1</v>
      </c>
      <c r="H87" s="479">
        <f>E87+'2017MAY'!H87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D88+'2017MAY'!G88</f>
        <v>119</v>
      </c>
      <c r="H88" s="479">
        <f>E88+'2017MAY'!H88</f>
        <v>103</v>
      </c>
      <c r="I88" s="28">
        <f t="shared" si="7"/>
        <v>0.86554621848739499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120</v>
      </c>
      <c r="H89" s="487">
        <f>SUM(H87:H88)</f>
        <v>103</v>
      </c>
      <c r="I89" s="30">
        <f t="shared" si="7"/>
        <v>0.85833333333333328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4</v>
      </c>
      <c r="F90" s="28" t="e">
        <f t="shared" si="6"/>
        <v>#DIV/0!</v>
      </c>
      <c r="G90" s="479">
        <f>D90+'2017MAY'!G90</f>
        <v>2</v>
      </c>
      <c r="H90" s="479">
        <f>E90+'2017MAY'!H90</f>
        <v>8</v>
      </c>
      <c r="I90" s="28">
        <f t="shared" si="7"/>
        <v>4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42.5</v>
      </c>
      <c r="F91" s="28">
        <f t="shared" si="6"/>
        <v>0.83333333333333337</v>
      </c>
      <c r="G91" s="479">
        <f>D91+'2017MAY'!G91</f>
        <v>302</v>
      </c>
      <c r="H91" s="479">
        <f>E91+'2017MAY'!H91</f>
        <v>267</v>
      </c>
      <c r="I91" s="28">
        <f t="shared" si="7"/>
        <v>0.88410596026490063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46.5</v>
      </c>
      <c r="F92" s="30">
        <f t="shared" si="6"/>
        <v>0.91176470588235292</v>
      </c>
      <c r="G92" s="487">
        <f>SUM(G90:G91)</f>
        <v>304</v>
      </c>
      <c r="H92" s="487">
        <f>SUM(H90:H91)</f>
        <v>275</v>
      </c>
      <c r="I92" s="30">
        <f t="shared" si="7"/>
        <v>0.90460526315789469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7</v>
      </c>
      <c r="F93" s="28" t="e">
        <f t="shared" si="6"/>
        <v>#DIV/0!</v>
      </c>
      <c r="G93" s="479">
        <f>D93+'2017MAY'!G93</f>
        <v>3</v>
      </c>
      <c r="H93" s="479">
        <f>E93+'2017MAY'!H93</f>
        <v>15.5</v>
      </c>
      <c r="I93" s="28">
        <f t="shared" si="7"/>
        <v>5.166666666666667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93.5</v>
      </c>
      <c r="F94" s="28">
        <f t="shared" si="6"/>
        <v>1.0163043478260869</v>
      </c>
      <c r="G94" s="479">
        <f>D94+'2017MAY'!G94</f>
        <v>549</v>
      </c>
      <c r="H94" s="479">
        <f>E94+'2017MAY'!H94</f>
        <v>511.5</v>
      </c>
      <c r="I94" s="28">
        <f t="shared" si="7"/>
        <v>0.93169398907103829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100.5</v>
      </c>
      <c r="F95" s="30">
        <f t="shared" si="6"/>
        <v>1.0923913043478262</v>
      </c>
      <c r="G95" s="487">
        <f>SUM(G93:G94)</f>
        <v>552</v>
      </c>
      <c r="H95" s="487">
        <f>SUM(H93:H94)</f>
        <v>527</v>
      </c>
      <c r="I95" s="30">
        <f t="shared" si="7"/>
        <v>0.95471014492753625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11</v>
      </c>
      <c r="F96" s="31" t="e">
        <f t="shared" si="6"/>
        <v>#DIV/0!</v>
      </c>
      <c r="G96" s="474">
        <f>SUM(G84,G87,G90,G93)</f>
        <v>8</v>
      </c>
      <c r="H96" s="474">
        <f>SUM(H84,H87,H90,H93)</f>
        <v>23.5</v>
      </c>
      <c r="I96" s="31">
        <f t="shared" si="7"/>
        <v>2.9375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217</v>
      </c>
      <c r="F97" s="31">
        <f t="shared" si="6"/>
        <v>0.875</v>
      </c>
      <c r="G97" s="474">
        <f>SUM(G85,G88,G91,G94)</f>
        <v>1478</v>
      </c>
      <c r="H97" s="474">
        <f>SUM(H85,H88,H91,H94)</f>
        <v>1283.5</v>
      </c>
      <c r="I97" s="31">
        <f t="shared" si="7"/>
        <v>0.86840324763193499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228</v>
      </c>
      <c r="F98" s="41">
        <f t="shared" si="6"/>
        <v>0.91935483870967738</v>
      </c>
      <c r="G98" s="475">
        <f>SUM(G96:G97)</f>
        <v>1486</v>
      </c>
      <c r="H98" s="475">
        <f>SUM(H96:H97)</f>
        <v>1307</v>
      </c>
      <c r="I98" s="41">
        <f t="shared" si="7"/>
        <v>0.87954239569313597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D99+'2017MAY'!G99</f>
        <v>2</v>
      </c>
      <c r="H99" s="500">
        <f>E99+'2017MAY'!H99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55.5</v>
      </c>
      <c r="F100" s="28">
        <f t="shared" ref="F100:F109" si="8">E100/D100</f>
        <v>0.74</v>
      </c>
      <c r="G100" s="477">
        <f>D100+'2017MAY'!G100</f>
        <v>448</v>
      </c>
      <c r="H100" s="479">
        <f>E100+'2017MAY'!H100</f>
        <v>345.5</v>
      </c>
      <c r="I100" s="28">
        <f t="shared" ref="I100:I109" si="9">H100/G100</f>
        <v>0.7712053571428571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55.5</v>
      </c>
      <c r="F101" s="30">
        <f t="shared" si="8"/>
        <v>0.74</v>
      </c>
      <c r="G101" s="487">
        <f>SUM(G99:G100)</f>
        <v>450</v>
      </c>
      <c r="H101" s="487">
        <f>SUM(H99:H100)</f>
        <v>345.5</v>
      </c>
      <c r="I101" s="30">
        <f t="shared" si="9"/>
        <v>0.76777777777777778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1</v>
      </c>
      <c r="F102" s="28" t="e">
        <f t="shared" si="8"/>
        <v>#DIV/0!</v>
      </c>
      <c r="G102" s="479">
        <f>D102+'2017MAY'!G102</f>
        <v>2</v>
      </c>
      <c r="H102" s="479">
        <f>E102+'2017MAY'!H102</f>
        <v>1</v>
      </c>
      <c r="I102" s="28">
        <f t="shared" si="9"/>
        <v>0.5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D103+'2017MAY'!G103</f>
        <v>244</v>
      </c>
      <c r="H103" s="479">
        <f>E103+'2017MAY'!H103</f>
        <v>205</v>
      </c>
      <c r="I103" s="28">
        <f t="shared" si="9"/>
        <v>0.8401639344262295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</v>
      </c>
      <c r="F104" s="30">
        <f t="shared" si="8"/>
        <v>0.80487804878048785</v>
      </c>
      <c r="G104" s="487">
        <f>SUM(G102:G103)</f>
        <v>246</v>
      </c>
      <c r="H104" s="487">
        <f>SUM(H102:H103)</f>
        <v>206</v>
      </c>
      <c r="I104" s="30">
        <f t="shared" si="9"/>
        <v>0.83739837398373984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1</v>
      </c>
      <c r="I105" s="30">
        <f t="shared" si="9"/>
        <v>0.25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87.5</v>
      </c>
      <c r="F106" s="30">
        <f t="shared" si="8"/>
        <v>0.75431034482758619</v>
      </c>
      <c r="G106" s="474">
        <f>SUM(G100,G103)</f>
        <v>692</v>
      </c>
      <c r="H106" s="474">
        <f>SUM(H100,H103)</f>
        <v>550.5</v>
      </c>
      <c r="I106" s="30">
        <f t="shared" si="9"/>
        <v>0.79552023121387283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88.5</v>
      </c>
      <c r="F107" s="41">
        <f t="shared" si="8"/>
        <v>0.76293103448275867</v>
      </c>
      <c r="G107" s="475">
        <f>SUM(G105:G106)</f>
        <v>696</v>
      </c>
      <c r="H107" s="475">
        <f>SUM(H105:H106)</f>
        <v>551.5</v>
      </c>
      <c r="I107" s="41">
        <f t="shared" si="9"/>
        <v>0.79238505747126442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12</v>
      </c>
      <c r="F108" s="45" t="e">
        <f t="shared" si="8"/>
        <v>#DIV/0!</v>
      </c>
      <c r="G108" s="46">
        <f>SUM(G96,G105)</f>
        <v>12</v>
      </c>
      <c r="H108" s="46">
        <f>SUM(H96,H105)</f>
        <v>24.5</v>
      </c>
      <c r="I108" s="45">
        <f t="shared" si="9"/>
        <v>2.0416666666666665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304.5</v>
      </c>
      <c r="F109" s="32">
        <f t="shared" si="8"/>
        <v>0.83653846153846156</v>
      </c>
      <c r="G109" s="473">
        <f>SUM(G97,G106)</f>
        <v>2170</v>
      </c>
      <c r="H109" s="473">
        <f>SUM(H97,H106)</f>
        <v>1834</v>
      </c>
      <c r="I109" s="32">
        <f t="shared" si="9"/>
        <v>0.84516129032258069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316.5</v>
      </c>
      <c r="F110" s="49">
        <f>E110/D110</f>
        <v>0.86950549450549453</v>
      </c>
      <c r="G110" s="472">
        <f>SUM(G108:G109)</f>
        <v>2182</v>
      </c>
      <c r="H110" s="472">
        <f>SUM(H108:H109)</f>
        <v>1858.5</v>
      </c>
      <c r="I110" s="49">
        <f>H110/G110</f>
        <v>0.8517415215398717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929</v>
      </c>
      <c r="D118" s="592"/>
      <c r="E118" s="591">
        <v>16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763</v>
      </c>
      <c r="D123" s="590"/>
      <c r="E123" s="590">
        <v>460</v>
      </c>
      <c r="F123" s="590"/>
      <c r="G123" s="590">
        <v>18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333</v>
      </c>
      <c r="D128" s="563"/>
      <c r="E128" s="564"/>
      <c r="F128" s="562" t="s">
        <v>340</v>
      </c>
      <c r="G128" s="563"/>
      <c r="H128" s="563"/>
      <c r="I128" s="564"/>
      <c r="J128" s="562" t="s">
        <v>344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345</v>
      </c>
      <c r="D129" s="736"/>
      <c r="E129" s="737"/>
      <c r="F129" s="750" t="s">
        <v>15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62" t="s">
        <v>346</v>
      </c>
      <c r="D130" s="763"/>
      <c r="E130" s="764"/>
      <c r="F130" s="762" t="s">
        <v>347</v>
      </c>
      <c r="G130" s="763"/>
      <c r="H130" s="763"/>
      <c r="I130" s="764"/>
      <c r="J130" s="765" t="s">
        <v>348</v>
      </c>
      <c r="K130" s="766"/>
      <c r="L130" s="766"/>
      <c r="M130" s="767"/>
    </row>
    <row r="131" spans="1:13" ht="67.5" customHeight="1">
      <c r="A131" s="729" t="s">
        <v>105</v>
      </c>
      <c r="B131" s="730"/>
      <c r="C131" s="731" t="s">
        <v>349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52"/>
    </row>
    <row r="132" spans="1:13" ht="35.25" customHeight="1" thickBot="1">
      <c r="A132" s="718" t="s">
        <v>106</v>
      </c>
      <c r="B132" s="719"/>
      <c r="C132" s="720" t="s">
        <v>350</v>
      </c>
      <c r="D132" s="721"/>
      <c r="E132" s="722"/>
      <c r="F132" s="746" t="s">
        <v>343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'2017MAY'!H138</f>
        <v>-3043</v>
      </c>
      <c r="C138" s="63">
        <f>E43-E42</f>
        <v>19982</v>
      </c>
      <c r="D138" s="504">
        <v>48501</v>
      </c>
      <c r="E138" s="531" t="s">
        <v>114</v>
      </c>
      <c r="F138" s="531"/>
      <c r="G138" s="531"/>
      <c r="H138" s="505">
        <f>C138+A138+B138-D138</f>
        <v>-31562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21000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17353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1877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2E581FAA-D434-ED4A-854C-E7F040AB8E17}">
      <formula1>"Jan, Feb, March, April, May, June, July, Aug, Sep, Oct, Nov, Dec"</formula1>
    </dataValidation>
    <dataValidation type="list" allowBlank="1" showInputMessage="1" showErrorMessage="1" sqref="L3" xr:uid="{6485F732-46BC-C74D-96B7-5F0FBE6A28A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3BD2-9844-104F-8C76-EB5A18AD382A}">
  <sheetPr codeName="Sheet8">
    <pageSetUpPr fitToPage="1"/>
  </sheetPr>
  <dimension ref="A1:N150"/>
  <sheetViews>
    <sheetView topLeftCell="A4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144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42957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14188</v>
      </c>
      <c r="E21" s="490">
        <v>12209</v>
      </c>
      <c r="F21" s="14">
        <f t="shared" ref="F21:F26" si="0">E21/D21</f>
        <v>0.86051592895404572</v>
      </c>
      <c r="G21" s="479">
        <f>D21+'2017JUN'!G21</f>
        <v>98258</v>
      </c>
      <c r="H21" s="479">
        <f>E21+'2017JUN'!H21</f>
        <v>80787</v>
      </c>
      <c r="I21" s="14">
        <f t="shared" ref="I21:I26" si="1">H21/G21</f>
        <v>0.82219259500498687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14188</v>
      </c>
      <c r="E22" s="487">
        <f>SUM(E21:E21)</f>
        <v>12209</v>
      </c>
      <c r="F22" s="16">
        <f t="shared" si="0"/>
        <v>0.86051592895404572</v>
      </c>
      <c r="G22" s="487">
        <f>SUM(G21:G21)</f>
        <v>98258</v>
      </c>
      <c r="H22" s="487">
        <f>SUM(H21:H21)</f>
        <v>80787</v>
      </c>
      <c r="I22" s="16">
        <f t="shared" si="1"/>
        <v>0.82219259500498687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4619</v>
      </c>
      <c r="E23" s="490">
        <v>3791</v>
      </c>
      <c r="F23" s="14">
        <f t="shared" si="0"/>
        <v>0.8207404200043299</v>
      </c>
      <c r="G23" s="479">
        <f>D23+'2017JUN'!G23</f>
        <v>32665</v>
      </c>
      <c r="H23" s="479">
        <f>E23+'2017JUN'!H23</f>
        <v>28526</v>
      </c>
      <c r="I23" s="14">
        <f t="shared" si="1"/>
        <v>0.87328945354354814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4619</v>
      </c>
      <c r="E25" s="487">
        <f>SUM(E23:E24)</f>
        <v>3791</v>
      </c>
      <c r="F25" s="16">
        <f t="shared" si="0"/>
        <v>0.8207404200043299</v>
      </c>
      <c r="G25" s="487">
        <f>SUM(G23:G24)</f>
        <v>32665</v>
      </c>
      <c r="H25" s="487">
        <f>SUM(H23:H24)</f>
        <v>28526</v>
      </c>
      <c r="I25" s="16">
        <f t="shared" si="1"/>
        <v>0.87328945354354814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18807</v>
      </c>
      <c r="E26" s="489">
        <f>SUM(E22,E25)</f>
        <v>16000</v>
      </c>
      <c r="F26" s="17">
        <f t="shared" si="0"/>
        <v>0.85074706226405061</v>
      </c>
      <c r="G26" s="489">
        <f>SUM(G22,G25)</f>
        <v>130923</v>
      </c>
      <c r="H26" s="489">
        <f>SUM(H22,H25)</f>
        <v>109313</v>
      </c>
      <c r="I26" s="17">
        <f t="shared" si="1"/>
        <v>0.83494114861407087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241</v>
      </c>
      <c r="F28" s="14">
        <f>E28/D28</f>
        <v>1.2050000000000001</v>
      </c>
      <c r="G28" s="479">
        <f>D28+'2017JUN'!G28</f>
        <v>1400</v>
      </c>
      <c r="H28" s="479">
        <f>E28+'2017JUN'!H28</f>
        <v>6062</v>
      </c>
      <c r="I28" s="14">
        <f>H28/G28</f>
        <v>4.33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241</v>
      </c>
      <c r="F30" s="14">
        <f t="shared" si="2"/>
        <v>1.2050000000000001</v>
      </c>
      <c r="G30" s="487">
        <f>SUM(G28:G29)</f>
        <v>1400</v>
      </c>
      <c r="H30" s="487">
        <f>SUM(H28:H29)</f>
        <v>6062</v>
      </c>
      <c r="I30" s="14">
        <f t="shared" si="3"/>
        <v>4.33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4985</v>
      </c>
      <c r="F31" s="14">
        <f t="shared" si="2"/>
        <v>1.3472972972972972</v>
      </c>
      <c r="G31" s="479">
        <f>D31+'2017JUN'!G31</f>
        <v>18400</v>
      </c>
      <c r="H31" s="479">
        <f>E31+'2017JUN'!H31</f>
        <v>27982</v>
      </c>
      <c r="I31" s="14">
        <f t="shared" si="3"/>
        <v>1.5207608695652175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5226</v>
      </c>
      <c r="F32" s="14">
        <f t="shared" si="2"/>
        <v>1.34</v>
      </c>
      <c r="G32" s="485">
        <f>SUM(G30,G31)</f>
        <v>19800</v>
      </c>
      <c r="H32" s="485">
        <f>SUM(H30,H31)</f>
        <v>34044</v>
      </c>
      <c r="I32" s="14">
        <f t="shared" si="3"/>
        <v>1.7193939393939395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D33+'2017JUN'!G33</f>
        <v>245000</v>
      </c>
      <c r="H33" s="479">
        <f>E33+'2017JUN'!H33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245000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479">
        <v>2222</v>
      </c>
      <c r="E36" s="490">
        <v>28435</v>
      </c>
      <c r="F36" s="14">
        <f t="shared" si="2"/>
        <v>12.797029702970297</v>
      </c>
      <c r="G36" s="479">
        <f>D36+'2017JUN'!G36</f>
        <v>8888</v>
      </c>
      <c r="H36" s="479">
        <f>E36</f>
        <v>28435</v>
      </c>
      <c r="I36" s="14">
        <f t="shared" si="3"/>
        <v>3.1992574257425743</v>
      </c>
      <c r="J36" s="623" t="s">
        <v>351</v>
      </c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28435</v>
      </c>
      <c r="F38" s="16">
        <f t="shared" si="2"/>
        <v>12.797029702970297</v>
      </c>
      <c r="G38" s="487">
        <f>SUM(G36:G37)</f>
        <v>8888</v>
      </c>
      <c r="H38" s="487">
        <f>SUM(H36:H37)</f>
        <v>28435</v>
      </c>
      <c r="I38" s="16">
        <f t="shared" si="3"/>
        <v>3.1992574257425743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28435</v>
      </c>
      <c r="F39" s="19">
        <f t="shared" si="2"/>
        <v>0.76392993391005315</v>
      </c>
      <c r="G39" s="485">
        <f>SUM(G35,G38)</f>
        <v>253888</v>
      </c>
      <c r="H39" s="485">
        <f>SUM(H35,H38)</f>
        <v>28435</v>
      </c>
      <c r="I39" s="19">
        <f t="shared" si="3"/>
        <v>0.11199820393244266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799</v>
      </c>
      <c r="F40" s="21">
        <f t="shared" si="2"/>
        <v>2.6633333333333336</v>
      </c>
      <c r="G40" s="483">
        <f>D40+'2017JUN'!G40</f>
        <v>2100</v>
      </c>
      <c r="H40" s="483">
        <f>E40+'2017JUN'!H40</f>
        <v>6182</v>
      </c>
      <c r="I40" s="21">
        <f t="shared" si="3"/>
        <v>2.9438095238095237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5250</v>
      </c>
      <c r="E41" s="483">
        <v>0</v>
      </c>
      <c r="F41" s="21">
        <f t="shared" si="2"/>
        <v>0</v>
      </c>
      <c r="G41" s="483">
        <f>D41+'2017JUN'!G41</f>
        <v>23250</v>
      </c>
      <c r="H41" s="483">
        <f>E41+'2017JUN'!H41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51000</v>
      </c>
      <c r="F42" s="21">
        <f t="shared" si="2"/>
        <v>3</v>
      </c>
      <c r="G42" s="483">
        <f>D42+'2017JUN'!G42</f>
        <v>119000</v>
      </c>
      <c r="H42" s="483">
        <f>E42+'2017JUN'!H42</f>
        <v>153000</v>
      </c>
      <c r="I42" s="21">
        <f t="shared" si="3"/>
        <v>1.2857142857142858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82479</v>
      </c>
      <c r="E43" s="484">
        <f>SUM(E26,E32,E39,E40:E42)</f>
        <v>101460</v>
      </c>
      <c r="F43" s="22">
        <f t="shared" si="2"/>
        <v>1.2301313061506565</v>
      </c>
      <c r="G43" s="484">
        <f>SUM(G26,G32,G39,G40:G42)</f>
        <v>548961</v>
      </c>
      <c r="H43" s="484">
        <f>SUM(H26,H32,H39,H40:H42)</f>
        <v>330974</v>
      </c>
      <c r="I43" s="22">
        <f t="shared" si="3"/>
        <v>0.60290986062762197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82179</v>
      </c>
      <c r="E44" s="484">
        <f>E43-E40</f>
        <v>100661</v>
      </c>
      <c r="F44" s="22">
        <f t="shared" si="2"/>
        <v>1.2248993051752881</v>
      </c>
      <c r="G44" s="484">
        <f>G43-G40</f>
        <v>546861</v>
      </c>
      <c r="H44" s="484">
        <f>H43-H40</f>
        <v>324792</v>
      </c>
      <c r="I44" s="22">
        <f t="shared" si="3"/>
        <v>0.59392057579531177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65179</v>
      </c>
      <c r="E45" s="482">
        <f>E44-E42</f>
        <v>49661</v>
      </c>
      <c r="F45" s="23">
        <f t="shared" si="2"/>
        <v>0.76191718191442026</v>
      </c>
      <c r="G45" s="482">
        <f>G44-G42</f>
        <v>427861</v>
      </c>
      <c r="H45" s="482">
        <f>H44-H42</f>
        <v>171792</v>
      </c>
      <c r="I45" s="23">
        <f t="shared" si="3"/>
        <v>0.40151357567060331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32</v>
      </c>
      <c r="F51" s="28">
        <f t="shared" ref="F51:F77" si="4">E51/D51</f>
        <v>6.4</v>
      </c>
      <c r="G51" s="479">
        <f>D51+'2017JUN'!G51</f>
        <v>35</v>
      </c>
      <c r="H51" s="479">
        <f>E51+'2017JUN'!H51</f>
        <v>57</v>
      </c>
      <c r="I51" s="28">
        <f t="shared" ref="I51:I77" si="5">H51/G51</f>
        <v>1.6285714285714286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401</v>
      </c>
      <c r="E52" s="490">
        <v>411</v>
      </c>
      <c r="F52" s="28">
        <f t="shared" si="4"/>
        <v>1.0249376558603491</v>
      </c>
      <c r="G52" s="479">
        <f>D52+'2017JUN'!G52</f>
        <v>2872</v>
      </c>
      <c r="H52" s="479">
        <f>E52+'2017JUN'!H52</f>
        <v>2801</v>
      </c>
      <c r="I52" s="28">
        <f t="shared" si="5"/>
        <v>0.97527855153203347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406</v>
      </c>
      <c r="E53" s="487">
        <f>SUM(E51:E52)</f>
        <v>443</v>
      </c>
      <c r="F53" s="30">
        <f t="shared" si="4"/>
        <v>1.0911330049261083</v>
      </c>
      <c r="G53" s="487">
        <f>SUM(G51:G52)</f>
        <v>2907</v>
      </c>
      <c r="H53" s="487">
        <f>SUM(H51:H52)</f>
        <v>2858</v>
      </c>
      <c r="I53" s="30">
        <f t="shared" si="5"/>
        <v>0.9831441348469212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9</v>
      </c>
      <c r="F54" s="28">
        <f t="shared" si="4"/>
        <v>4.5</v>
      </c>
      <c r="G54" s="479">
        <f>D54+'2017JUN'!G54</f>
        <v>14</v>
      </c>
      <c r="H54" s="479">
        <f>E54+'2017JUN'!H54</f>
        <v>12</v>
      </c>
      <c r="I54" s="28">
        <f t="shared" si="5"/>
        <v>0.8571428571428571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299</v>
      </c>
      <c r="E55" s="490">
        <v>341</v>
      </c>
      <c r="F55" s="28">
        <f t="shared" si="4"/>
        <v>1.1404682274247491</v>
      </c>
      <c r="G55" s="479">
        <f>D55+'2017JUN'!G55</f>
        <v>2141</v>
      </c>
      <c r="H55" s="479">
        <f>E55+'2017JUN'!H55</f>
        <v>2451</v>
      </c>
      <c r="I55" s="28">
        <f t="shared" si="5"/>
        <v>1.1447921531994396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301</v>
      </c>
      <c r="E56" s="474">
        <f>SUM(E54:E55)</f>
        <v>350</v>
      </c>
      <c r="F56" s="28">
        <f t="shared" si="4"/>
        <v>1.1627906976744187</v>
      </c>
      <c r="G56" s="474">
        <f>SUM(G54:G55)</f>
        <v>2155</v>
      </c>
      <c r="H56" s="474">
        <f>SUM(H54:H55)</f>
        <v>2463</v>
      </c>
      <c r="I56" s="31">
        <f t="shared" si="5"/>
        <v>1.1429234338747101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41</v>
      </c>
      <c r="F57" s="32">
        <f t="shared" si="4"/>
        <v>5.8571428571428568</v>
      </c>
      <c r="G57" s="473">
        <f>SUM(G51,G54)</f>
        <v>49</v>
      </c>
      <c r="H57" s="473">
        <f>SUM(H51,H54)</f>
        <v>69</v>
      </c>
      <c r="I57" s="32">
        <f t="shared" si="5"/>
        <v>1.4081632653061225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700</v>
      </c>
      <c r="E58" s="473">
        <f>SUM(E52,E55)</f>
        <v>752</v>
      </c>
      <c r="F58" s="32">
        <f t="shared" si="4"/>
        <v>1.0742857142857143</v>
      </c>
      <c r="G58" s="473">
        <f>SUM(G52,G55)</f>
        <v>5013</v>
      </c>
      <c r="H58" s="473">
        <f>SUM(H52,H55)</f>
        <v>5252</v>
      </c>
      <c r="I58" s="32">
        <f t="shared" si="5"/>
        <v>1.047676042290046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707</v>
      </c>
      <c r="E59" s="481">
        <f>SUM(E57:E58)</f>
        <v>793</v>
      </c>
      <c r="F59" s="33">
        <f t="shared" si="4"/>
        <v>1.1216407355021216</v>
      </c>
      <c r="G59" s="481">
        <f>SUM(G57:G58)</f>
        <v>5062</v>
      </c>
      <c r="H59" s="481">
        <f>SUM(H57:H58)</f>
        <v>5321</v>
      </c>
      <c r="I59" s="33">
        <f t="shared" si="5"/>
        <v>1.0511655472145398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D60+'2017JUN'!G60</f>
        <v>112</v>
      </c>
      <c r="H60" s="479">
        <f>E60+'2017JUN'!H60</f>
        <v>204.7</v>
      </c>
      <c r="I60" s="28">
        <f t="shared" si="5"/>
        <v>1.8276785714285713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1310</v>
      </c>
      <c r="E61" s="479">
        <f>E70/10</f>
        <v>1099.2</v>
      </c>
      <c r="F61" s="28">
        <f t="shared" si="4"/>
        <v>0.83908396946564889</v>
      </c>
      <c r="G61" s="479">
        <f>D61+'2017JUN'!G61</f>
        <v>9390</v>
      </c>
      <c r="H61" s="479">
        <f>E61+'2017JUN'!H61</f>
        <v>7874.0000000000009</v>
      </c>
      <c r="I61" s="28">
        <f t="shared" si="5"/>
        <v>0.83855165069222581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1326</v>
      </c>
      <c r="E62" s="487">
        <f>SUM(E60:E61)</f>
        <v>1220.9000000000001</v>
      </c>
      <c r="F62" s="30">
        <f t="shared" si="4"/>
        <v>0.92073906485671198</v>
      </c>
      <c r="G62" s="487">
        <f>SUM(G60:G61)</f>
        <v>9502</v>
      </c>
      <c r="H62" s="487">
        <f>SUM(H60:H61)</f>
        <v>8078.7000000000007</v>
      </c>
      <c r="I62" s="30">
        <f t="shared" si="5"/>
        <v>0.85021048200378879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17</v>
      </c>
      <c r="F63" s="28">
        <f t="shared" si="4"/>
        <v>8.5</v>
      </c>
      <c r="G63" s="479">
        <f>D63+'2017JUN'!G63</f>
        <v>14</v>
      </c>
      <c r="H63" s="479">
        <f>E63+'2017JUN'!H63</f>
        <v>24.4</v>
      </c>
      <c r="I63" s="28">
        <f t="shared" si="5"/>
        <v>1.7428571428571427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448</v>
      </c>
      <c r="E64" s="479">
        <f>E73/10</f>
        <v>362.1</v>
      </c>
      <c r="F64" s="28">
        <f t="shared" si="4"/>
        <v>0.80825892857142867</v>
      </c>
      <c r="G64" s="479">
        <f>D64+'2017JUN'!G64</f>
        <v>3211</v>
      </c>
      <c r="H64" s="479">
        <f>E64+'2017JUN'!H64</f>
        <v>2828.2</v>
      </c>
      <c r="I64" s="28">
        <f t="shared" si="5"/>
        <v>0.88078480224229205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450</v>
      </c>
      <c r="E65" s="474">
        <f>SUM(E63:E64)</f>
        <v>379.1</v>
      </c>
      <c r="F65" s="31">
        <f t="shared" si="4"/>
        <v>0.84244444444444444</v>
      </c>
      <c r="G65" s="474">
        <f>SUM(G63:G64)</f>
        <v>3225</v>
      </c>
      <c r="H65" s="474">
        <f>SUM(H63:H64)</f>
        <v>2852.6</v>
      </c>
      <c r="I65" s="31">
        <f t="shared" si="5"/>
        <v>0.88452713178294573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126</v>
      </c>
      <c r="H66" s="473">
        <f>SUM(H60,H63)</f>
        <v>229.1</v>
      </c>
      <c r="I66" s="32">
        <f t="shared" si="5"/>
        <v>1.8182539682539682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1758</v>
      </c>
      <c r="E67" s="473">
        <f>SUM(E61,E64)</f>
        <v>1461.3000000000002</v>
      </c>
      <c r="F67" s="32">
        <f t="shared" si="4"/>
        <v>0.83122866894197966</v>
      </c>
      <c r="G67" s="473">
        <f>SUM(G61,G64)</f>
        <v>12601</v>
      </c>
      <c r="H67" s="473">
        <f>SUM(H61,H64)</f>
        <v>10702.2</v>
      </c>
      <c r="I67" s="32">
        <f t="shared" si="5"/>
        <v>0.8493135465439251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1776</v>
      </c>
      <c r="E68" s="481">
        <f>SUM(E66:E67)</f>
        <v>1600.0000000000002</v>
      </c>
      <c r="F68" s="34">
        <f t="shared" si="4"/>
        <v>0.90090090090090102</v>
      </c>
      <c r="G68" s="481">
        <f>SUM(G66:G67)</f>
        <v>12727</v>
      </c>
      <c r="H68" s="481">
        <f>SUM(H66:H67)</f>
        <v>10931.300000000001</v>
      </c>
      <c r="I68" s="34">
        <f t="shared" si="5"/>
        <v>0.85890626227704892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1085</v>
      </c>
      <c r="E69" s="490">
        <v>1217</v>
      </c>
      <c r="F69" s="28">
        <f t="shared" si="4"/>
        <v>1.1216589861751152</v>
      </c>
      <c r="G69" s="479">
        <f>D69+'2017JUN'!G69</f>
        <v>4340</v>
      </c>
      <c r="H69" s="479">
        <f>E69+'2017JUN'!H69</f>
        <v>2047</v>
      </c>
      <c r="I69" s="28">
        <f t="shared" si="5"/>
        <v>0.4716589861751152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13103</v>
      </c>
      <c r="E70" s="479">
        <f>E21-E69</f>
        <v>10992</v>
      </c>
      <c r="F70" s="28">
        <f t="shared" si="4"/>
        <v>0.83889185682668088</v>
      </c>
      <c r="G70" s="479">
        <f>D70+'2017JUN'!G70</f>
        <v>93918</v>
      </c>
      <c r="H70" s="479">
        <f>E70+'2017JUN'!H70</f>
        <v>78740</v>
      </c>
      <c r="I70" s="28">
        <f t="shared" si="5"/>
        <v>0.83839093677463317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14188</v>
      </c>
      <c r="E71" s="487">
        <f>SUM(E69:E70)</f>
        <v>12209</v>
      </c>
      <c r="F71" s="30">
        <f t="shared" si="4"/>
        <v>0.86051592895404572</v>
      </c>
      <c r="G71" s="487">
        <f>SUM(G69:G70)</f>
        <v>98258</v>
      </c>
      <c r="H71" s="487">
        <f>SUM(H69:H70)</f>
        <v>80787</v>
      </c>
      <c r="I71" s="30">
        <f t="shared" si="5"/>
        <v>0.82219259500498687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140</v>
      </c>
      <c r="E72" s="490">
        <v>170</v>
      </c>
      <c r="F72" s="28">
        <f t="shared" si="4"/>
        <v>1.2142857142857142</v>
      </c>
      <c r="G72" s="479">
        <f>D72+'2017JUN'!G72</f>
        <v>560</v>
      </c>
      <c r="H72" s="479">
        <f>E72+'2017JUN'!H72</f>
        <v>244</v>
      </c>
      <c r="I72" s="28">
        <f t="shared" si="5"/>
        <v>0.43571428571428572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4479</v>
      </c>
      <c r="E73" s="479">
        <f>E23-E72</f>
        <v>3621</v>
      </c>
      <c r="F73" s="28">
        <f t="shared" si="4"/>
        <v>0.80843938379102476</v>
      </c>
      <c r="G73" s="479">
        <f>D73+'2017JUN'!G73</f>
        <v>32105</v>
      </c>
      <c r="H73" s="479">
        <f>E73+'2017JUN'!H73</f>
        <v>28282</v>
      </c>
      <c r="I73" s="28">
        <f t="shared" si="5"/>
        <v>0.880921974770285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4619</v>
      </c>
      <c r="E74" s="474">
        <f>SUM(E72:E73)</f>
        <v>3791</v>
      </c>
      <c r="F74" s="31">
        <f t="shared" si="4"/>
        <v>0.8207404200043299</v>
      </c>
      <c r="G74" s="474">
        <f>SUM(G72:G73)</f>
        <v>32665</v>
      </c>
      <c r="H74" s="474">
        <f>SUM(H72:H73)</f>
        <v>28526</v>
      </c>
      <c r="I74" s="31">
        <f t="shared" si="5"/>
        <v>0.87328945354354814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1225</v>
      </c>
      <c r="E75" s="473">
        <f>SUM(E69,E72)</f>
        <v>1387</v>
      </c>
      <c r="F75" s="32">
        <f t="shared" si="4"/>
        <v>1.1322448979591837</v>
      </c>
      <c r="G75" s="473">
        <f>SUM(G69,G72)</f>
        <v>4900</v>
      </c>
      <c r="H75" s="473">
        <f>SUM(H69,H72)</f>
        <v>2291</v>
      </c>
      <c r="I75" s="32">
        <f t="shared" si="5"/>
        <v>0.46755102040816326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17582</v>
      </c>
      <c r="E76" s="473">
        <f>SUM(E70,E73)</f>
        <v>14613</v>
      </c>
      <c r="F76" s="32">
        <f t="shared" si="4"/>
        <v>0.83113411443521779</v>
      </c>
      <c r="G76" s="473">
        <f>SUM(G70,G73)</f>
        <v>126023</v>
      </c>
      <c r="H76" s="473">
        <f>SUM(H70,H73)</f>
        <v>107022</v>
      </c>
      <c r="I76" s="32">
        <f t="shared" si="5"/>
        <v>0.84922593494838239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18807</v>
      </c>
      <c r="E77" s="481">
        <f>SUM(E75:E76)</f>
        <v>16000</v>
      </c>
      <c r="F77" s="34">
        <f t="shared" si="4"/>
        <v>0.85074706226405061</v>
      </c>
      <c r="G77" s="481">
        <f>SUM(G75:G76)</f>
        <v>130923</v>
      </c>
      <c r="H77" s="481">
        <f>SUM(H75:H76)</f>
        <v>109313</v>
      </c>
      <c r="I77" s="34">
        <f t="shared" si="5"/>
        <v>0.83494114861407087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D84+'2017JUN'!G84</f>
        <v>2</v>
      </c>
      <c r="H84" s="479">
        <f>E84+'2017JUN'!H84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D85+'2017JUN'!G85</f>
        <v>593</v>
      </c>
      <c r="H85" s="479">
        <f>E85+'2017JUN'!H85</f>
        <v>469.5</v>
      </c>
      <c r="I85" s="28">
        <f t="shared" ref="I85:I98" si="7">H85/G85</f>
        <v>0.79173693086003372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595</v>
      </c>
      <c r="H86" s="487">
        <f>SUM(H84:H85)</f>
        <v>469.5</v>
      </c>
      <c r="I86" s="30">
        <f t="shared" si="7"/>
        <v>0.78907563025210081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4</v>
      </c>
      <c r="F87" s="28" t="e">
        <f t="shared" si="6"/>
        <v>#DIV/0!</v>
      </c>
      <c r="G87" s="479">
        <f>D87+'2017JUN'!G87</f>
        <v>1</v>
      </c>
      <c r="H87" s="479">
        <f>E87+'2017JUN'!H87</f>
        <v>4</v>
      </c>
      <c r="I87" s="28">
        <f t="shared" si="7"/>
        <v>4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19</v>
      </c>
      <c r="F88" s="28">
        <f t="shared" si="6"/>
        <v>0.95</v>
      </c>
      <c r="G88" s="479">
        <f>D88+'2017JUN'!G88</f>
        <v>139</v>
      </c>
      <c r="H88" s="479">
        <f>E88+'2017JUN'!H88</f>
        <v>122</v>
      </c>
      <c r="I88" s="28">
        <f t="shared" si="7"/>
        <v>0.87769784172661869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23</v>
      </c>
      <c r="F89" s="30">
        <f t="shared" si="6"/>
        <v>1.1499999999999999</v>
      </c>
      <c r="G89" s="487">
        <f>SUM(G87:G88)</f>
        <v>140</v>
      </c>
      <c r="H89" s="487">
        <f>SUM(H87:H88)</f>
        <v>126</v>
      </c>
      <c r="I89" s="30">
        <f t="shared" si="7"/>
        <v>0.9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6</v>
      </c>
      <c r="F90" s="28" t="e">
        <f t="shared" si="6"/>
        <v>#DIV/0!</v>
      </c>
      <c r="G90" s="479">
        <f>D90+'2017JUN'!G90</f>
        <v>2</v>
      </c>
      <c r="H90" s="479">
        <f>E90+'2017MAY'!H90</f>
        <v>10</v>
      </c>
      <c r="I90" s="28">
        <f t="shared" si="7"/>
        <v>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48.5</v>
      </c>
      <c r="F91" s="28">
        <f t="shared" si="6"/>
        <v>0.9509803921568627</v>
      </c>
      <c r="G91" s="479">
        <f>D91+'2017JUN'!G91</f>
        <v>353</v>
      </c>
      <c r="H91" s="479">
        <f>E91+'2017JUN'!H91</f>
        <v>315.5</v>
      </c>
      <c r="I91" s="28">
        <f t="shared" si="7"/>
        <v>0.89376770538243622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54.5</v>
      </c>
      <c r="F92" s="30">
        <f t="shared" si="6"/>
        <v>1.0686274509803921</v>
      </c>
      <c r="G92" s="487">
        <f>SUM(G90:G91)</f>
        <v>355</v>
      </c>
      <c r="H92" s="487">
        <f>SUM(H90:H91)</f>
        <v>325.5</v>
      </c>
      <c r="I92" s="30">
        <f t="shared" si="7"/>
        <v>0.91690140845070423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9</v>
      </c>
      <c r="F93" s="28" t="e">
        <f t="shared" si="6"/>
        <v>#DIV/0!</v>
      </c>
      <c r="G93" s="479">
        <f>D93+'2017JUN'!G93</f>
        <v>3</v>
      </c>
      <c r="H93" s="479">
        <f>E93+'2017JUN'!H93</f>
        <v>24.5</v>
      </c>
      <c r="I93" s="28">
        <f t="shared" si="7"/>
        <v>8.1666666666666661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98.5</v>
      </c>
      <c r="F94" s="28">
        <f t="shared" si="6"/>
        <v>1.0706521739130435</v>
      </c>
      <c r="G94" s="479">
        <f>D94+'2017JUN'!G94</f>
        <v>641</v>
      </c>
      <c r="H94" s="479">
        <f>E94+'2017JUN'!H94</f>
        <v>610</v>
      </c>
      <c r="I94" s="28">
        <f t="shared" si="7"/>
        <v>0.95163806552262087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107.5</v>
      </c>
      <c r="F95" s="30">
        <f t="shared" si="6"/>
        <v>1.1684782608695652</v>
      </c>
      <c r="G95" s="487">
        <f>SUM(G93:G94)</f>
        <v>644</v>
      </c>
      <c r="H95" s="487">
        <f>SUM(H93:H94)</f>
        <v>634.5</v>
      </c>
      <c r="I95" s="30">
        <f t="shared" si="7"/>
        <v>0.98524844720496896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19</v>
      </c>
      <c r="F96" s="31" t="e">
        <f t="shared" si="6"/>
        <v>#DIV/0!</v>
      </c>
      <c r="G96" s="474">
        <f>SUM(G84,G87,G90,G93)</f>
        <v>8</v>
      </c>
      <c r="H96" s="474">
        <f>SUM(H84,H87,H90,H93)</f>
        <v>38.5</v>
      </c>
      <c r="I96" s="31">
        <f t="shared" si="7"/>
        <v>4.8125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233.5</v>
      </c>
      <c r="F97" s="31">
        <f t="shared" si="6"/>
        <v>0.94153225806451613</v>
      </c>
      <c r="G97" s="474">
        <f>SUM(G85,G88,G91,G94)</f>
        <v>1726</v>
      </c>
      <c r="H97" s="474">
        <f>SUM(H85,H88,H91,H94)</f>
        <v>1517</v>
      </c>
      <c r="I97" s="31">
        <f t="shared" si="7"/>
        <v>0.87891077636152959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252.5</v>
      </c>
      <c r="F98" s="41">
        <f t="shared" si="6"/>
        <v>1.0181451612903225</v>
      </c>
      <c r="G98" s="475">
        <f>SUM(G96:G97)</f>
        <v>1734</v>
      </c>
      <c r="H98" s="475">
        <f>SUM(H96:H97)</f>
        <v>1555.5</v>
      </c>
      <c r="I98" s="41">
        <f t="shared" si="7"/>
        <v>0.8970588235294118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5</v>
      </c>
      <c r="F99" s="499" t="e">
        <f>E99/D99</f>
        <v>#DIV/0!</v>
      </c>
      <c r="G99" s="478">
        <f>D99+'2017JUN'!G99</f>
        <v>2</v>
      </c>
      <c r="H99" s="478">
        <f>E99+'2017JUN'!H99</f>
        <v>5</v>
      </c>
      <c r="I99" s="499">
        <f>H99/G99</f>
        <v>2.5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58.5</v>
      </c>
      <c r="F100" s="28">
        <f t="shared" ref="F100:F109" si="8">E100/D100</f>
        <v>0.78</v>
      </c>
      <c r="G100" s="477">
        <f>D100+'2017JUN'!G100</f>
        <v>523</v>
      </c>
      <c r="H100" s="477">
        <f>E100+'2017JUN'!H100</f>
        <v>404</v>
      </c>
      <c r="I100" s="28">
        <f t="shared" ref="I100:I109" si="9">H100/G100</f>
        <v>0.77246653919694075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63.5</v>
      </c>
      <c r="F101" s="30">
        <f t="shared" si="8"/>
        <v>0.84666666666666668</v>
      </c>
      <c r="G101" s="487">
        <f>SUM(G99:G100)</f>
        <v>525</v>
      </c>
      <c r="H101" s="487">
        <f>SUM(H99:H100)</f>
        <v>409</v>
      </c>
      <c r="I101" s="30">
        <f t="shared" si="9"/>
        <v>0.7790476190476191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8</v>
      </c>
      <c r="F102" s="28" t="e">
        <f t="shared" si="8"/>
        <v>#DIV/0!</v>
      </c>
      <c r="G102" s="479">
        <f>D102+'2017JUN'!G102</f>
        <v>2</v>
      </c>
      <c r="H102" s="479">
        <f>E102+'2017JUN'!H102</f>
        <v>9</v>
      </c>
      <c r="I102" s="28">
        <f t="shared" si="9"/>
        <v>4.5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39</v>
      </c>
      <c r="F103" s="28">
        <f t="shared" si="8"/>
        <v>0.95121951219512191</v>
      </c>
      <c r="G103" s="479">
        <f>D103+'2017JUN'!G103</f>
        <v>285</v>
      </c>
      <c r="H103" s="479">
        <f>E103+'2017JUN'!H103</f>
        <v>244</v>
      </c>
      <c r="I103" s="28">
        <f t="shared" si="9"/>
        <v>0.85614035087719298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47</v>
      </c>
      <c r="F104" s="30">
        <f t="shared" si="8"/>
        <v>1.1463414634146341</v>
      </c>
      <c r="G104" s="487">
        <f>SUM(G102:G103)</f>
        <v>287</v>
      </c>
      <c r="H104" s="487">
        <f>SUM(H102:H103)</f>
        <v>253</v>
      </c>
      <c r="I104" s="30">
        <f t="shared" si="9"/>
        <v>0.88153310104529614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13</v>
      </c>
      <c r="F105" s="30" t="e">
        <f t="shared" si="8"/>
        <v>#DIV/0!</v>
      </c>
      <c r="G105" s="474">
        <f>SUM(G99,G102)</f>
        <v>4</v>
      </c>
      <c r="H105" s="474">
        <f>SUM(H99,H102)</f>
        <v>14</v>
      </c>
      <c r="I105" s="30">
        <f t="shared" si="9"/>
        <v>3.5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97.5</v>
      </c>
      <c r="F106" s="30">
        <f t="shared" si="8"/>
        <v>0.84051724137931039</v>
      </c>
      <c r="G106" s="474">
        <f>SUM(G100,G103)</f>
        <v>808</v>
      </c>
      <c r="H106" s="474">
        <f>SUM(H100,H103)</f>
        <v>648</v>
      </c>
      <c r="I106" s="30">
        <f t="shared" si="9"/>
        <v>0.80198019801980203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110.5</v>
      </c>
      <c r="F107" s="41">
        <f t="shared" si="8"/>
        <v>0.95258620689655171</v>
      </c>
      <c r="G107" s="475">
        <f>SUM(G105:G106)</f>
        <v>812</v>
      </c>
      <c r="H107" s="475">
        <f>SUM(H105:H106)</f>
        <v>662</v>
      </c>
      <c r="I107" s="41">
        <f t="shared" si="9"/>
        <v>0.81527093596059108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32</v>
      </c>
      <c r="F108" s="45" t="e">
        <f t="shared" si="8"/>
        <v>#DIV/0!</v>
      </c>
      <c r="G108" s="46">
        <f>SUM(G96,G105)</f>
        <v>12</v>
      </c>
      <c r="H108" s="46">
        <f>SUM(H96,H105)</f>
        <v>52.5</v>
      </c>
      <c r="I108" s="45">
        <f t="shared" si="9"/>
        <v>4.375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331</v>
      </c>
      <c r="F109" s="32">
        <f t="shared" si="8"/>
        <v>0.90934065934065933</v>
      </c>
      <c r="G109" s="473">
        <f>SUM(G97,G106)</f>
        <v>2534</v>
      </c>
      <c r="H109" s="473">
        <f>SUM(H97,H106)</f>
        <v>2165</v>
      </c>
      <c r="I109" s="32">
        <f t="shared" si="9"/>
        <v>0.85438042620363064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363</v>
      </c>
      <c r="F110" s="49">
        <f>E110/D110</f>
        <v>0.99725274725274726</v>
      </c>
      <c r="G110" s="472">
        <f>SUM(G108:G109)</f>
        <v>2546</v>
      </c>
      <c r="H110" s="472">
        <f>SUM(H108:H109)</f>
        <v>2217.5</v>
      </c>
      <c r="I110" s="49">
        <f>H110/G110</f>
        <v>0.87097407698350349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771</v>
      </c>
      <c r="D118" s="592"/>
      <c r="E118" s="591">
        <v>4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627</v>
      </c>
      <c r="D123" s="590"/>
      <c r="E123" s="590">
        <v>151</v>
      </c>
      <c r="F123" s="590"/>
      <c r="G123" s="590">
        <v>21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340</v>
      </c>
      <c r="D128" s="563"/>
      <c r="E128" s="564"/>
      <c r="F128" s="562" t="s">
        <v>344</v>
      </c>
      <c r="G128" s="563"/>
      <c r="H128" s="563"/>
      <c r="I128" s="564"/>
      <c r="J128" s="562" t="s">
        <v>352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15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354</v>
      </c>
      <c r="D130" s="736"/>
      <c r="E130" s="737"/>
      <c r="F130" s="735" t="s">
        <v>348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355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20" t="s">
        <v>356</v>
      </c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'2017JUN'!H138</f>
        <v>-31562</v>
      </c>
      <c r="C138" s="63">
        <f>E43-E42</f>
        <v>50460</v>
      </c>
      <c r="D138" s="504">
        <v>71436</v>
      </c>
      <c r="E138" s="531" t="s">
        <v>114</v>
      </c>
      <c r="F138" s="531"/>
      <c r="G138" s="531"/>
      <c r="H138" s="505">
        <f>C138+A138+B138-D138</f>
        <v>-1538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20100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17466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1870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01701A23-A9C0-2F4F-BEF7-311D29F5A7D7}">
      <formula1>"USA, JAPAN"</formula1>
    </dataValidation>
    <dataValidation type="list" allowBlank="1" showInputMessage="1" showErrorMessage="1" sqref="G1" xr:uid="{FF282F4A-2A3D-CA4C-A462-1CC7AE420D0E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6B69B-BF4F-DB4D-B8FC-F75FE0139A09}">
  <sheetPr codeName="Sheet9">
    <pageSetUpPr fitToPage="1"/>
  </sheetPr>
  <dimension ref="A1:N150"/>
  <sheetViews>
    <sheetView topLeftCell="A97" zoomScale="80" zoomScaleNormal="80" zoomScaleSheetLayoutView="85" workbookViewId="0">
      <selection activeCell="Y102" sqref="Y10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145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42992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14240</v>
      </c>
      <c r="E21" s="490">
        <v>9043</v>
      </c>
      <c r="F21" s="14">
        <f t="shared" ref="F21:F26" si="0">E21/D21</f>
        <v>0.63504213483146066</v>
      </c>
      <c r="G21" s="479">
        <f>D21+'2017JUL'!G21</f>
        <v>112498</v>
      </c>
      <c r="H21" s="479">
        <f>E21+'2017JUL'!H21</f>
        <v>89830</v>
      </c>
      <c r="I21" s="14">
        <f t="shared" ref="I21:I26" si="1">H21/G21</f>
        <v>0.79850308449927998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14240</v>
      </c>
      <c r="E22" s="487">
        <f>SUM(E21:E21)</f>
        <v>9043</v>
      </c>
      <c r="F22" s="16">
        <f t="shared" si="0"/>
        <v>0.63504213483146066</v>
      </c>
      <c r="G22" s="487">
        <f>SUM(G21:G21)</f>
        <v>112498</v>
      </c>
      <c r="H22" s="487">
        <f>SUM(H21:H21)</f>
        <v>89830</v>
      </c>
      <c r="I22" s="16">
        <f t="shared" si="1"/>
        <v>0.79850308449927998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4604</v>
      </c>
      <c r="E23" s="490">
        <v>2787</v>
      </c>
      <c r="F23" s="14">
        <f t="shared" si="0"/>
        <v>0.6053431798436143</v>
      </c>
      <c r="G23" s="479">
        <f>D23+'2017JUL'!G23</f>
        <v>37269</v>
      </c>
      <c r="H23" s="479">
        <f>E23+'2017JUL'!H23</f>
        <v>31313</v>
      </c>
      <c r="I23" s="14">
        <f t="shared" si="1"/>
        <v>0.84018889693847432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4604</v>
      </c>
      <c r="E25" s="487">
        <f>SUM(E23:E24)</f>
        <v>2787</v>
      </c>
      <c r="F25" s="16">
        <f t="shared" si="0"/>
        <v>0.6053431798436143</v>
      </c>
      <c r="G25" s="487">
        <f>SUM(G23:G24)</f>
        <v>37269</v>
      </c>
      <c r="H25" s="487">
        <f>SUM(H23:H24)</f>
        <v>31313</v>
      </c>
      <c r="I25" s="16">
        <f t="shared" si="1"/>
        <v>0.84018889693847432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18844</v>
      </c>
      <c r="E26" s="489">
        <f>SUM(E22,E25)</f>
        <v>11830</v>
      </c>
      <c r="F26" s="17">
        <f t="shared" si="0"/>
        <v>0.62778603268945021</v>
      </c>
      <c r="G26" s="489">
        <f>SUM(G22,G25)</f>
        <v>149767</v>
      </c>
      <c r="H26" s="489">
        <f>SUM(H22,H25)</f>
        <v>121143</v>
      </c>
      <c r="I26" s="17">
        <f t="shared" si="1"/>
        <v>0.8088764547597268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364</v>
      </c>
      <c r="F28" s="14">
        <f>E28/D28</f>
        <v>1.82</v>
      </c>
      <c r="G28" s="479">
        <f>D28+'2017JUL'!G28</f>
        <v>1600</v>
      </c>
      <c r="H28" s="479">
        <f>E28+'2017JUL'!H28</f>
        <v>6426</v>
      </c>
      <c r="I28" s="14">
        <f>H28/G28</f>
        <v>4.0162500000000003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364</v>
      </c>
      <c r="F30" s="14">
        <f t="shared" si="2"/>
        <v>1.82</v>
      </c>
      <c r="G30" s="487">
        <f>SUM(G28:G29)</f>
        <v>1600</v>
      </c>
      <c r="H30" s="487">
        <f>SUM(H28:H29)</f>
        <v>6426</v>
      </c>
      <c r="I30" s="14">
        <f t="shared" si="3"/>
        <v>4.0162500000000003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10543</v>
      </c>
      <c r="F31" s="14">
        <f t="shared" si="2"/>
        <v>2.8494594594594593</v>
      </c>
      <c r="G31" s="479">
        <f>D31+'2017JUL'!G31</f>
        <v>22100</v>
      </c>
      <c r="H31" s="479">
        <f>E31+'2017JUL'!H31</f>
        <v>38525</v>
      </c>
      <c r="I31" s="14">
        <f t="shared" si="3"/>
        <v>1.7432126696832579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10907</v>
      </c>
      <c r="F32" s="14">
        <f t="shared" si="2"/>
        <v>2.7966666666666669</v>
      </c>
      <c r="G32" s="485">
        <f>SUM(G30,G31)</f>
        <v>23700</v>
      </c>
      <c r="H32" s="485">
        <f>SUM(H30,H31)</f>
        <v>44951</v>
      </c>
      <c r="I32" s="14">
        <f t="shared" si="3"/>
        <v>1.8966666666666667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D33+'2017JUL'!G33</f>
        <v>280000</v>
      </c>
      <c r="H33" s="479">
        <f>E33+'2017JUL'!H33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280000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479">
        <v>2222</v>
      </c>
      <c r="E36" s="490">
        <v>0</v>
      </c>
      <c r="F36" s="14">
        <f t="shared" si="2"/>
        <v>0</v>
      </c>
      <c r="G36" s="479">
        <f>D36+'2017JUL'!G36</f>
        <v>11110</v>
      </c>
      <c r="H36" s="479">
        <f>'2017JUL'!H36</f>
        <v>28435</v>
      </c>
      <c r="I36" s="14">
        <f t="shared" si="3"/>
        <v>2.5594059405940595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11110</v>
      </c>
      <c r="H38" s="487">
        <f>SUM(H36:H37)</f>
        <v>28435</v>
      </c>
      <c r="I38" s="16">
        <f t="shared" si="3"/>
        <v>2.5594059405940595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291110</v>
      </c>
      <c r="H39" s="485">
        <f>SUM(H35,H38)</f>
        <v>28435</v>
      </c>
      <c r="I39" s="19">
        <f t="shared" si="3"/>
        <v>9.7677853732266159E-2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762</v>
      </c>
      <c r="F40" s="21">
        <f t="shared" si="2"/>
        <v>2.54</v>
      </c>
      <c r="G40" s="483">
        <f>D40+'2017JUL'!G40</f>
        <v>2400</v>
      </c>
      <c r="H40" s="483">
        <f>E40+'2017JUL'!H40</f>
        <v>6944</v>
      </c>
      <c r="I40" s="21">
        <f t="shared" si="3"/>
        <v>2.8933333333333335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5250</v>
      </c>
      <c r="E41" s="483">
        <v>0</v>
      </c>
      <c r="F41" s="21">
        <f t="shared" si="2"/>
        <v>0</v>
      </c>
      <c r="G41" s="483">
        <f>D41+'2017JUL'!G41</f>
        <v>28500</v>
      </c>
      <c r="H41" s="483">
        <f>E41+'2017JUL'!H41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D42+'2017JUL'!G42</f>
        <v>136000</v>
      </c>
      <c r="H42" s="483">
        <f>E42+'2017JUL'!H42</f>
        <v>153000</v>
      </c>
      <c r="I42" s="21">
        <f t="shared" si="3"/>
        <v>1.125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82516</v>
      </c>
      <c r="E43" s="484">
        <f>SUM(E26,E32,E39,E40:E42)</f>
        <v>23499</v>
      </c>
      <c r="F43" s="22">
        <f t="shared" si="2"/>
        <v>0.28478113335595523</v>
      </c>
      <c r="G43" s="484">
        <f>SUM(G26,G32,G39,G40:G42)</f>
        <v>631477</v>
      </c>
      <c r="H43" s="484">
        <f>SUM(H26,H32,H39,H40:H42)</f>
        <v>354473</v>
      </c>
      <c r="I43" s="22">
        <f t="shared" si="3"/>
        <v>0.56133952622185768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82216</v>
      </c>
      <c r="E44" s="484">
        <f>E43-E40</f>
        <v>22737</v>
      </c>
      <c r="F44" s="22">
        <f t="shared" si="2"/>
        <v>0.27655200934124746</v>
      </c>
      <c r="G44" s="484">
        <f>G43-G40</f>
        <v>629077</v>
      </c>
      <c r="H44" s="484">
        <f>H43-H40</f>
        <v>347529</v>
      </c>
      <c r="I44" s="22">
        <f t="shared" si="3"/>
        <v>0.55244270574190446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65216</v>
      </c>
      <c r="E45" s="482">
        <f>E44-E42</f>
        <v>22737</v>
      </c>
      <c r="F45" s="23">
        <f t="shared" si="2"/>
        <v>0.34864143768400391</v>
      </c>
      <c r="G45" s="482">
        <f>G44-G42</f>
        <v>493077</v>
      </c>
      <c r="H45" s="482">
        <f>H44-H42</f>
        <v>194529</v>
      </c>
      <c r="I45" s="23">
        <f t="shared" si="3"/>
        <v>0.39452053127604814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44</v>
      </c>
      <c r="F51" s="28">
        <f t="shared" ref="F51:F77" si="4">E51/D51</f>
        <v>8.8000000000000007</v>
      </c>
      <c r="G51" s="479">
        <f>D51+'2017JUL'!G51</f>
        <v>40</v>
      </c>
      <c r="H51" s="479">
        <f>E51+'2017JUL'!H51</f>
        <v>101</v>
      </c>
      <c r="I51" s="28">
        <f t="shared" ref="I51:I77" si="5">H51/G51</f>
        <v>2.5249999999999999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398</v>
      </c>
      <c r="E52" s="490">
        <v>260</v>
      </c>
      <c r="F52" s="28">
        <f t="shared" si="4"/>
        <v>0.65326633165829151</v>
      </c>
      <c r="G52" s="479">
        <f>D52+'2017JUL'!G52</f>
        <v>3270</v>
      </c>
      <c r="H52" s="479">
        <f>E52+'2017JUL'!H52</f>
        <v>3061</v>
      </c>
      <c r="I52" s="28">
        <f t="shared" si="5"/>
        <v>0.93608562691131503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403</v>
      </c>
      <c r="E53" s="487">
        <f>SUM(E51:E52)</f>
        <v>304</v>
      </c>
      <c r="F53" s="30">
        <f t="shared" si="4"/>
        <v>0.75434243176178661</v>
      </c>
      <c r="G53" s="487">
        <f>SUM(G51:G52)</f>
        <v>3310</v>
      </c>
      <c r="H53" s="487">
        <f>SUM(H51:H52)</f>
        <v>3162</v>
      </c>
      <c r="I53" s="30">
        <f t="shared" si="5"/>
        <v>0.9552870090634441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208</v>
      </c>
      <c r="F54" s="28">
        <f t="shared" si="4"/>
        <v>104</v>
      </c>
      <c r="G54" s="479">
        <f>D54+'2017JUL'!G54</f>
        <v>16</v>
      </c>
      <c r="H54" s="479">
        <f>E54+'2017JUL'!H54</f>
        <v>220</v>
      </c>
      <c r="I54" s="28">
        <f t="shared" si="5"/>
        <v>13.75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296</v>
      </c>
      <c r="E55" s="490">
        <v>208</v>
      </c>
      <c r="F55" s="28">
        <f t="shared" si="4"/>
        <v>0.70270270270270274</v>
      </c>
      <c r="G55" s="479">
        <f>D55+'2017JUL'!G55</f>
        <v>2437</v>
      </c>
      <c r="H55" s="479">
        <f>E55+'2017JUL'!H55</f>
        <v>2659</v>
      </c>
      <c r="I55" s="28">
        <f t="shared" si="5"/>
        <v>1.0910956093557653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298</v>
      </c>
      <c r="E56" s="474">
        <f>SUM(E54:E55)</f>
        <v>416</v>
      </c>
      <c r="F56" s="28">
        <f t="shared" si="4"/>
        <v>1.3959731543624161</v>
      </c>
      <c r="G56" s="474">
        <f>SUM(G54:G55)</f>
        <v>2453</v>
      </c>
      <c r="H56" s="474">
        <f>SUM(H54:H55)</f>
        <v>2879</v>
      </c>
      <c r="I56" s="31">
        <f t="shared" si="5"/>
        <v>1.1736649001222992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252</v>
      </c>
      <c r="F57" s="32">
        <f t="shared" si="4"/>
        <v>36</v>
      </c>
      <c r="G57" s="473">
        <f>SUM(G51,G54)</f>
        <v>56</v>
      </c>
      <c r="H57" s="473">
        <f>SUM(H51,H54)</f>
        <v>321</v>
      </c>
      <c r="I57" s="32">
        <f t="shared" si="5"/>
        <v>5.7321428571428568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694</v>
      </c>
      <c r="E58" s="473">
        <f>SUM(E52,E55)</f>
        <v>468</v>
      </c>
      <c r="F58" s="32">
        <f t="shared" si="4"/>
        <v>0.67435158501440917</v>
      </c>
      <c r="G58" s="473">
        <f>SUM(G52,G55)</f>
        <v>5707</v>
      </c>
      <c r="H58" s="473">
        <f>SUM(H52,H55)</f>
        <v>5720</v>
      </c>
      <c r="I58" s="32">
        <f t="shared" si="5"/>
        <v>1.0022779043280183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701</v>
      </c>
      <c r="E59" s="481">
        <f>SUM(E57:E58)</f>
        <v>720</v>
      </c>
      <c r="F59" s="33">
        <f t="shared" si="4"/>
        <v>1.0271041369472182</v>
      </c>
      <c r="G59" s="481">
        <f>SUM(G57:G58)</f>
        <v>5763</v>
      </c>
      <c r="H59" s="481">
        <f>SUM(H57:H58)</f>
        <v>6041</v>
      </c>
      <c r="I59" s="33">
        <f t="shared" si="5"/>
        <v>1.0482387645323616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D60+'2017JUL'!G60</f>
        <v>128</v>
      </c>
      <c r="H60" s="479">
        <f>E60+'2017JUL'!H60</f>
        <v>326.39999999999998</v>
      </c>
      <c r="I60" s="28">
        <f t="shared" si="5"/>
        <v>2.5499999999999998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1300</v>
      </c>
      <c r="E61" s="479">
        <f>E70/10</f>
        <v>782.6</v>
      </c>
      <c r="F61" s="28">
        <f t="shared" si="4"/>
        <v>0.60199999999999998</v>
      </c>
      <c r="G61" s="479">
        <f>D61+'2017JUL'!G61</f>
        <v>10690</v>
      </c>
      <c r="H61" s="479">
        <f>E61+'2017JUL'!H61</f>
        <v>8656.6</v>
      </c>
      <c r="I61" s="28">
        <f t="shared" si="5"/>
        <v>0.80978484565014031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1316</v>
      </c>
      <c r="E62" s="487">
        <f>SUM(E60:E61)</f>
        <v>904.30000000000007</v>
      </c>
      <c r="F62" s="30">
        <f t="shared" si="4"/>
        <v>0.68715805471124625</v>
      </c>
      <c r="G62" s="487">
        <f>SUM(G60:G61)</f>
        <v>10818</v>
      </c>
      <c r="H62" s="487">
        <f>SUM(H60:H61)</f>
        <v>8983</v>
      </c>
      <c r="I62" s="30">
        <f t="shared" si="5"/>
        <v>0.83037530042521723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17</v>
      </c>
      <c r="F63" s="28">
        <f t="shared" si="4"/>
        <v>8.5</v>
      </c>
      <c r="G63" s="479">
        <f>D63+'2017JUL'!G63</f>
        <v>16</v>
      </c>
      <c r="H63" s="479">
        <f>E63+'2017JUL'!H63</f>
        <v>41.4</v>
      </c>
      <c r="I63" s="28">
        <f t="shared" si="5"/>
        <v>2.5874999999999999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444</v>
      </c>
      <c r="E64" s="479">
        <f>E73/10</f>
        <v>261.7</v>
      </c>
      <c r="F64" s="28">
        <f t="shared" si="4"/>
        <v>0.58941441441441433</v>
      </c>
      <c r="G64" s="479">
        <f>D64+'2017JUL'!G64</f>
        <v>3655</v>
      </c>
      <c r="H64" s="479">
        <f>E64+'2017JUL'!H64</f>
        <v>3089.8999999999996</v>
      </c>
      <c r="I64" s="28">
        <f t="shared" si="5"/>
        <v>0.84538987688098488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446</v>
      </c>
      <c r="E65" s="474">
        <f>SUM(E63:E64)</f>
        <v>278.7</v>
      </c>
      <c r="F65" s="31">
        <f t="shared" si="4"/>
        <v>0.62488789237668163</v>
      </c>
      <c r="G65" s="474">
        <f>SUM(G63:G64)</f>
        <v>3671</v>
      </c>
      <c r="H65" s="474">
        <f>SUM(H63:H64)</f>
        <v>3131.2999999999997</v>
      </c>
      <c r="I65" s="31">
        <f t="shared" si="5"/>
        <v>0.85298283846363376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144</v>
      </c>
      <c r="H66" s="473">
        <f>SUM(H60,H63)</f>
        <v>367.79999999999995</v>
      </c>
      <c r="I66" s="32">
        <f t="shared" si="5"/>
        <v>2.5541666666666663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1744</v>
      </c>
      <c r="E67" s="473">
        <f>SUM(E61,E64)</f>
        <v>1044.3</v>
      </c>
      <c r="F67" s="32">
        <f t="shared" si="4"/>
        <v>0.59879587155963299</v>
      </c>
      <c r="G67" s="473">
        <f>SUM(G61,G64)</f>
        <v>14345</v>
      </c>
      <c r="H67" s="473">
        <f>SUM(H61,H64)</f>
        <v>11746.5</v>
      </c>
      <c r="I67" s="32">
        <f t="shared" si="5"/>
        <v>0.81885674451028234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1762</v>
      </c>
      <c r="E68" s="481">
        <f>SUM(E66:E67)</f>
        <v>1183</v>
      </c>
      <c r="F68" s="34">
        <f t="shared" si="4"/>
        <v>0.67139614074914866</v>
      </c>
      <c r="G68" s="481">
        <f>SUM(G66:G67)</f>
        <v>14489</v>
      </c>
      <c r="H68" s="481">
        <f>SUM(H66:H67)</f>
        <v>12114.3</v>
      </c>
      <c r="I68" s="34">
        <f t="shared" si="5"/>
        <v>0.83610325074194214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1240</v>
      </c>
      <c r="E69" s="490">
        <v>1217</v>
      </c>
      <c r="F69" s="28">
        <f t="shared" si="4"/>
        <v>0.9814516129032258</v>
      </c>
      <c r="G69" s="479">
        <f>D69+'2017JUL'!G69</f>
        <v>5580</v>
      </c>
      <c r="H69" s="479">
        <f>E69+'2017JUL'!H69</f>
        <v>3264</v>
      </c>
      <c r="I69" s="28">
        <f t="shared" si="5"/>
        <v>0.5849462365591398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13000</v>
      </c>
      <c r="E70" s="479">
        <f>E21-E69</f>
        <v>7826</v>
      </c>
      <c r="F70" s="28">
        <f t="shared" si="4"/>
        <v>0.60199999999999998</v>
      </c>
      <c r="G70" s="479">
        <f>D70+'2017JUL'!G70</f>
        <v>106918</v>
      </c>
      <c r="H70" s="479">
        <f>E70+'2017JUL'!H70</f>
        <v>86566</v>
      </c>
      <c r="I70" s="28">
        <f t="shared" si="5"/>
        <v>0.80964851568491736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14240</v>
      </c>
      <c r="E71" s="487">
        <f>SUM(E69:E70)</f>
        <v>9043</v>
      </c>
      <c r="F71" s="30">
        <f t="shared" si="4"/>
        <v>0.63504213483146066</v>
      </c>
      <c r="G71" s="487">
        <f>SUM(G69:G70)</f>
        <v>112498</v>
      </c>
      <c r="H71" s="487">
        <f>SUM(H69:H70)</f>
        <v>89830</v>
      </c>
      <c r="I71" s="30">
        <f t="shared" si="5"/>
        <v>0.79850308449927998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160</v>
      </c>
      <c r="E72" s="490">
        <v>170</v>
      </c>
      <c r="F72" s="28">
        <f t="shared" si="4"/>
        <v>1.0625</v>
      </c>
      <c r="G72" s="479">
        <f>D72+'2017JUL'!G72</f>
        <v>720</v>
      </c>
      <c r="H72" s="479">
        <f>E72+'2017JUL'!H72</f>
        <v>414</v>
      </c>
      <c r="I72" s="28">
        <f t="shared" si="5"/>
        <v>0.57499999999999996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4444</v>
      </c>
      <c r="E73" s="479">
        <f>E23-E72</f>
        <v>2617</v>
      </c>
      <c r="F73" s="28">
        <f t="shared" si="4"/>
        <v>0.58888388838883887</v>
      </c>
      <c r="G73" s="479">
        <f>D73+'2017JUL'!G73</f>
        <v>36549</v>
      </c>
      <c r="H73" s="479">
        <f>E73+'2017JUL'!H73</f>
        <v>30899</v>
      </c>
      <c r="I73" s="28">
        <f t="shared" si="5"/>
        <v>0.84541300719581935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4604</v>
      </c>
      <c r="E74" s="474">
        <f>SUM(E72:E73)</f>
        <v>2787</v>
      </c>
      <c r="F74" s="31">
        <f t="shared" si="4"/>
        <v>0.6053431798436143</v>
      </c>
      <c r="G74" s="474">
        <f>SUM(G72:G73)</f>
        <v>37269</v>
      </c>
      <c r="H74" s="474">
        <f>SUM(H72:H73)</f>
        <v>31313</v>
      </c>
      <c r="I74" s="31">
        <f t="shared" si="5"/>
        <v>0.84018889693847432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1400</v>
      </c>
      <c r="E75" s="473">
        <f>SUM(E69,E72)</f>
        <v>1387</v>
      </c>
      <c r="F75" s="32">
        <f t="shared" si="4"/>
        <v>0.99071428571428577</v>
      </c>
      <c r="G75" s="473">
        <f>SUM(G69,G72)</f>
        <v>6300</v>
      </c>
      <c r="H75" s="473">
        <f>SUM(H69,H72)</f>
        <v>3678</v>
      </c>
      <c r="I75" s="32">
        <f t="shared" si="5"/>
        <v>0.58380952380952378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17444</v>
      </c>
      <c r="E76" s="473">
        <f>SUM(E70,E73)</f>
        <v>10443</v>
      </c>
      <c r="F76" s="32">
        <f t="shared" si="4"/>
        <v>0.59865856454941524</v>
      </c>
      <c r="G76" s="473">
        <f>SUM(G70,G73)</f>
        <v>143467</v>
      </c>
      <c r="H76" s="473">
        <f>SUM(H70,H73)</f>
        <v>117465</v>
      </c>
      <c r="I76" s="32">
        <f t="shared" si="5"/>
        <v>0.81875971477761433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18844</v>
      </c>
      <c r="E77" s="481">
        <f>SUM(E75:E76)</f>
        <v>11830</v>
      </c>
      <c r="F77" s="34">
        <f t="shared" si="4"/>
        <v>0.62778603268945021</v>
      </c>
      <c r="G77" s="481">
        <f>SUM(G75:G76)</f>
        <v>149767</v>
      </c>
      <c r="H77" s="481">
        <f>SUM(H75:H76)</f>
        <v>121143</v>
      </c>
      <c r="I77" s="34">
        <f t="shared" si="5"/>
        <v>0.8088764547597268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3</v>
      </c>
      <c r="F84" s="498" t="e">
        <f>E84/D84</f>
        <v>#DIV/0!</v>
      </c>
      <c r="G84" s="479">
        <f>D84+'2017JUL'!G84</f>
        <v>2</v>
      </c>
      <c r="H84" s="479">
        <f>E84+'2017JUL'!H84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52</v>
      </c>
      <c r="F85" s="28">
        <f t="shared" ref="F85:F98" si="6">E85/D85</f>
        <v>0.61176470588235299</v>
      </c>
      <c r="G85" s="479">
        <f>D85+'2017JUL'!G85</f>
        <v>678</v>
      </c>
      <c r="H85" s="479">
        <f>E85+'2017JUL'!H85</f>
        <v>521.5</v>
      </c>
      <c r="I85" s="28">
        <f t="shared" ref="I85:I98" si="7">H85/G85</f>
        <v>0.7691740412979351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55</v>
      </c>
      <c r="F86" s="30">
        <f t="shared" si="6"/>
        <v>0.6470588235294118</v>
      </c>
      <c r="G86" s="487">
        <f>SUM(G84:G85)</f>
        <v>680</v>
      </c>
      <c r="H86" s="487">
        <f>SUM(H84:H85)</f>
        <v>524.5</v>
      </c>
      <c r="I86" s="30">
        <f t="shared" si="7"/>
        <v>0.77132352941176474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3</v>
      </c>
      <c r="F87" s="28" t="e">
        <f t="shared" si="6"/>
        <v>#DIV/0!</v>
      </c>
      <c r="G87" s="479">
        <f>D87+'2017JUL'!G87</f>
        <v>1</v>
      </c>
      <c r="H87" s="479">
        <f>E87+'2017JUL'!H87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13</v>
      </c>
      <c r="F88" s="28">
        <f t="shared" si="6"/>
        <v>0.65</v>
      </c>
      <c r="G88" s="479">
        <f>D88+'2017JUL'!G88</f>
        <v>159</v>
      </c>
      <c r="H88" s="479">
        <f>E88+'2017JUL'!H88</f>
        <v>135</v>
      </c>
      <c r="I88" s="28">
        <f t="shared" si="7"/>
        <v>0.84905660377358494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</v>
      </c>
      <c r="F89" s="30">
        <f t="shared" si="6"/>
        <v>0.8</v>
      </c>
      <c r="G89" s="487">
        <f>SUM(G87:G88)</f>
        <v>160</v>
      </c>
      <c r="H89" s="487">
        <f>SUM(H87:H88)</f>
        <v>142</v>
      </c>
      <c r="I89" s="30">
        <f t="shared" si="7"/>
        <v>0.88749999999999996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10</v>
      </c>
      <c r="F90" s="28" t="e">
        <f t="shared" si="6"/>
        <v>#DIV/0!</v>
      </c>
      <c r="G90" s="479">
        <f>D90+'2017JUL'!G90</f>
        <v>2</v>
      </c>
      <c r="H90" s="479">
        <f>E90+'2017JUL'!H90</f>
        <v>20</v>
      </c>
      <c r="I90" s="28">
        <f t="shared" si="7"/>
        <v>10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41</v>
      </c>
      <c r="F91" s="28">
        <f t="shared" si="6"/>
        <v>0.80392156862745101</v>
      </c>
      <c r="G91" s="479">
        <f>D91+'2017JUL'!G91</f>
        <v>404</v>
      </c>
      <c r="H91" s="479">
        <f>E91+'2017JUL'!H91</f>
        <v>356.5</v>
      </c>
      <c r="I91" s="28">
        <f t="shared" si="7"/>
        <v>0.88242574257425743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51</v>
      </c>
      <c r="F92" s="30">
        <f t="shared" si="6"/>
        <v>1</v>
      </c>
      <c r="G92" s="487">
        <f>SUM(G90:G91)</f>
        <v>406</v>
      </c>
      <c r="H92" s="487">
        <f>SUM(H90:H91)</f>
        <v>376.5</v>
      </c>
      <c r="I92" s="30">
        <f t="shared" si="7"/>
        <v>0.92733990147783252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16</v>
      </c>
      <c r="F93" s="28" t="e">
        <f t="shared" si="6"/>
        <v>#DIV/0!</v>
      </c>
      <c r="G93" s="479">
        <f>D93+'2017JUL'!G93</f>
        <v>3</v>
      </c>
      <c r="H93" s="479">
        <f>E93+'2017JUL'!H93</f>
        <v>40.5</v>
      </c>
      <c r="I93" s="28">
        <f t="shared" si="7"/>
        <v>13.5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81</v>
      </c>
      <c r="F94" s="28">
        <f t="shared" si="6"/>
        <v>0.88043478260869568</v>
      </c>
      <c r="G94" s="479">
        <f>D94+'2017JUL'!G94</f>
        <v>733</v>
      </c>
      <c r="H94" s="479">
        <f>E94+'2017JUL'!H94</f>
        <v>691</v>
      </c>
      <c r="I94" s="28">
        <f t="shared" si="7"/>
        <v>0.94270122783083221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97</v>
      </c>
      <c r="F95" s="30">
        <f t="shared" si="6"/>
        <v>1.0543478260869565</v>
      </c>
      <c r="G95" s="487">
        <f>SUM(G93:G94)</f>
        <v>736</v>
      </c>
      <c r="H95" s="487">
        <f>SUM(H93:H94)</f>
        <v>731.5</v>
      </c>
      <c r="I95" s="30">
        <f t="shared" si="7"/>
        <v>0.99388586956521741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32</v>
      </c>
      <c r="F96" s="31" t="e">
        <f t="shared" si="6"/>
        <v>#DIV/0!</v>
      </c>
      <c r="G96" s="474">
        <f>SUM(G84,G87,G90,G93)</f>
        <v>8</v>
      </c>
      <c r="H96" s="474">
        <f>SUM(H84,H87,H90,H93)</f>
        <v>70.5</v>
      </c>
      <c r="I96" s="31">
        <f t="shared" si="7"/>
        <v>8.8125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187</v>
      </c>
      <c r="F97" s="31">
        <f t="shared" si="6"/>
        <v>0.75403225806451613</v>
      </c>
      <c r="G97" s="474">
        <f>SUM(G85,G88,G91,G94)</f>
        <v>1974</v>
      </c>
      <c r="H97" s="474">
        <f>SUM(H85,H88,H91,H94)</f>
        <v>1704</v>
      </c>
      <c r="I97" s="31">
        <f t="shared" si="7"/>
        <v>0.86322188449848025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219</v>
      </c>
      <c r="F98" s="41">
        <f t="shared" si="6"/>
        <v>0.88306451612903225</v>
      </c>
      <c r="G98" s="475">
        <f>SUM(G96:G97)</f>
        <v>1982</v>
      </c>
      <c r="H98" s="475">
        <f>SUM(H96:H97)</f>
        <v>1774.5</v>
      </c>
      <c r="I98" s="41">
        <f t="shared" si="7"/>
        <v>0.89530776992936423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3</v>
      </c>
      <c r="F99" s="499" t="e">
        <f>E99/D99</f>
        <v>#DIV/0!</v>
      </c>
      <c r="G99" s="478">
        <f>D99+'2017JUL'!G99</f>
        <v>2</v>
      </c>
      <c r="H99" s="478">
        <f>E99+'2017JUL'!H99</f>
        <v>8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41</v>
      </c>
      <c r="F100" s="28">
        <f t="shared" ref="F100:F109" si="8">E100/D100</f>
        <v>0.54666666666666663</v>
      </c>
      <c r="G100" s="477">
        <f>D100+'2017JUL'!G100</f>
        <v>598</v>
      </c>
      <c r="H100" s="477">
        <f>E100+'2017JUL'!H100</f>
        <v>445</v>
      </c>
      <c r="I100" s="28">
        <f t="shared" ref="I100:I109" si="9">H100/G100</f>
        <v>0.7441471571906354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44</v>
      </c>
      <c r="F101" s="30">
        <f t="shared" si="8"/>
        <v>0.58666666666666667</v>
      </c>
      <c r="G101" s="487">
        <f>SUM(G99:G100)</f>
        <v>600</v>
      </c>
      <c r="H101" s="487">
        <f>SUM(H99:H100)</f>
        <v>453</v>
      </c>
      <c r="I101" s="30">
        <f t="shared" si="9"/>
        <v>0.755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9</v>
      </c>
      <c r="F102" s="28" t="e">
        <f t="shared" si="8"/>
        <v>#DIV/0!</v>
      </c>
      <c r="G102" s="479">
        <f>D102+'2017JUL'!G102</f>
        <v>2</v>
      </c>
      <c r="H102" s="479">
        <f>E102+'2017JUL'!H102</f>
        <v>18</v>
      </c>
      <c r="I102" s="28">
        <f t="shared" si="9"/>
        <v>9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D103+'2017JUL'!G103</f>
        <v>326</v>
      </c>
      <c r="H103" s="479">
        <f>E103+'2017JUL'!H103</f>
        <v>276</v>
      </c>
      <c r="I103" s="28">
        <f t="shared" si="9"/>
        <v>0.84662576687116564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41</v>
      </c>
      <c r="F104" s="30">
        <f t="shared" si="8"/>
        <v>1</v>
      </c>
      <c r="G104" s="487">
        <f>SUM(G102:G103)</f>
        <v>328</v>
      </c>
      <c r="H104" s="487">
        <f>SUM(H102:H103)</f>
        <v>294</v>
      </c>
      <c r="I104" s="30">
        <f t="shared" si="9"/>
        <v>0.89634146341463417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12</v>
      </c>
      <c r="F105" s="30" t="e">
        <f t="shared" si="8"/>
        <v>#DIV/0!</v>
      </c>
      <c r="G105" s="474">
        <f>SUM(G99,G102)</f>
        <v>4</v>
      </c>
      <c r="H105" s="474">
        <f>SUM(H99,H102)</f>
        <v>26</v>
      </c>
      <c r="I105" s="30">
        <f t="shared" si="9"/>
        <v>6.5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73</v>
      </c>
      <c r="F106" s="30">
        <f t="shared" si="8"/>
        <v>0.62931034482758619</v>
      </c>
      <c r="G106" s="474">
        <f>SUM(G100,G103)</f>
        <v>924</v>
      </c>
      <c r="H106" s="474">
        <f>SUM(H100,H103)</f>
        <v>721</v>
      </c>
      <c r="I106" s="30">
        <f t="shared" si="9"/>
        <v>0.78030303030303028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85</v>
      </c>
      <c r="F107" s="41">
        <f t="shared" si="8"/>
        <v>0.73275862068965514</v>
      </c>
      <c r="G107" s="475">
        <f>SUM(G105:G106)</f>
        <v>928</v>
      </c>
      <c r="H107" s="475">
        <f>SUM(H105:H106)</f>
        <v>747</v>
      </c>
      <c r="I107" s="41">
        <f t="shared" si="9"/>
        <v>0.80495689655172409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44</v>
      </c>
      <c r="F108" s="45" t="e">
        <f t="shared" si="8"/>
        <v>#DIV/0!</v>
      </c>
      <c r="G108" s="46">
        <f>SUM(G96,G105)</f>
        <v>12</v>
      </c>
      <c r="H108" s="46">
        <f>SUM(H96,H105)</f>
        <v>96.5</v>
      </c>
      <c r="I108" s="45">
        <f t="shared" si="9"/>
        <v>8.0416666666666661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260</v>
      </c>
      <c r="F109" s="32">
        <f t="shared" si="8"/>
        <v>0.7142857142857143</v>
      </c>
      <c r="G109" s="473">
        <f>SUM(G97,G106)</f>
        <v>2898</v>
      </c>
      <c r="H109" s="473">
        <f>SUM(H97,H106)</f>
        <v>2425</v>
      </c>
      <c r="I109" s="32">
        <f t="shared" si="9"/>
        <v>0.83678398895790196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304</v>
      </c>
      <c r="F110" s="49">
        <f>E110/D110</f>
        <v>0.8351648351648352</v>
      </c>
      <c r="G110" s="472">
        <f>SUM(G108:G109)</f>
        <v>2910</v>
      </c>
      <c r="H110" s="472">
        <f>SUM(H108:H109)</f>
        <v>2521.5</v>
      </c>
      <c r="I110" s="49">
        <f>H110/G110</f>
        <v>0.86649484536082477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864</v>
      </c>
      <c r="D118" s="592"/>
      <c r="E118" s="591">
        <v>5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661</v>
      </c>
      <c r="D123" s="590"/>
      <c r="E123" s="590">
        <v>92</v>
      </c>
      <c r="F123" s="590"/>
      <c r="G123" s="590">
        <v>9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344</v>
      </c>
      <c r="D128" s="563"/>
      <c r="E128" s="564"/>
      <c r="F128" s="562" t="s">
        <v>352</v>
      </c>
      <c r="G128" s="563"/>
      <c r="H128" s="563"/>
      <c r="I128" s="564"/>
      <c r="J128" s="562" t="s">
        <v>357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15</v>
      </c>
      <c r="G129" s="754"/>
      <c r="H129" s="754"/>
      <c r="I129" s="755"/>
      <c r="J129" s="751" t="s">
        <v>358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359</v>
      </c>
      <c r="D130" s="736"/>
      <c r="E130" s="737"/>
      <c r="F130" s="735" t="s">
        <v>15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355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20" t="s">
        <v>353</v>
      </c>
      <c r="D132" s="721"/>
      <c r="E132" s="722"/>
      <c r="F132" s="746" t="s">
        <v>360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444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'2017JUL'!H138</f>
        <v>-1538</v>
      </c>
      <c r="C138" s="63">
        <f>E43-E42</f>
        <v>23499</v>
      </c>
      <c r="D138" s="504">
        <v>47921</v>
      </c>
      <c r="E138" s="531" t="s">
        <v>114</v>
      </c>
      <c r="F138" s="531"/>
      <c r="G138" s="531"/>
      <c r="H138" s="505">
        <f>C138+A138+B138-D138</f>
        <v>-25960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19199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17498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1871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93538BBC-1F71-FD4B-9691-05C41CCB5331}">
      <formula1>"Jan, Feb, March, April, May, June, July, Aug, Sep, Oct, Nov, Dec"</formula1>
    </dataValidation>
    <dataValidation type="list" allowBlank="1" showInputMessage="1" showErrorMessage="1" sqref="L3" xr:uid="{1FEF1878-B86B-4A41-9979-C312177781A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A01D6-9560-6443-A76B-1D3972BCC9A2}">
  <sheetPr codeName="Sheet10">
    <pageSetUpPr fitToPage="1"/>
  </sheetPr>
  <dimension ref="A1:N150"/>
  <sheetViews>
    <sheetView topLeftCell="A100" zoomScale="80" zoomScaleNormal="80" zoomScaleSheetLayoutView="85" workbookViewId="0">
      <selection activeCell="C138" sqref="C138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361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42992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14293</v>
      </c>
      <c r="E21" s="490">
        <v>9357</v>
      </c>
      <c r="F21" s="14">
        <f t="shared" ref="F21:F26" si="0">E21/D21</f>
        <v>0.65465612537605822</v>
      </c>
      <c r="G21" s="66">
        <f>D21+'2017AUG'!G21</f>
        <v>126791</v>
      </c>
      <c r="H21" s="66">
        <f>E21+'2017AUG'!H21</f>
        <v>99187</v>
      </c>
      <c r="I21" s="14">
        <f t="shared" ref="I21:I26" si="1">H21/G21</f>
        <v>0.78228738632868267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14293</v>
      </c>
      <c r="E22" s="487">
        <f>SUM(E21:E21)</f>
        <v>9357</v>
      </c>
      <c r="F22" s="16">
        <f t="shared" si="0"/>
        <v>0.65465612537605822</v>
      </c>
      <c r="G22" s="487">
        <f>SUM(G21:G21)</f>
        <v>126791</v>
      </c>
      <c r="H22" s="487">
        <f>SUM(H21:H21)</f>
        <v>99187</v>
      </c>
      <c r="I22" s="16">
        <f t="shared" si="1"/>
        <v>0.78228738632868267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4589</v>
      </c>
      <c r="E23" s="490">
        <v>2778</v>
      </c>
      <c r="F23" s="14">
        <f t="shared" si="0"/>
        <v>0.60536064502070164</v>
      </c>
      <c r="G23" s="66">
        <f>D23+'2017AUG'!G23</f>
        <v>41858</v>
      </c>
      <c r="H23" s="66">
        <f>E23+'2017AUG'!H23</f>
        <v>34091</v>
      </c>
      <c r="I23" s="14">
        <f t="shared" si="1"/>
        <v>0.81444407281762143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4589</v>
      </c>
      <c r="E25" s="487">
        <f>SUM(E23:E24)</f>
        <v>2778</v>
      </c>
      <c r="F25" s="16">
        <f t="shared" si="0"/>
        <v>0.60536064502070164</v>
      </c>
      <c r="G25" s="487">
        <f>SUM(G23:G24)</f>
        <v>41858</v>
      </c>
      <c r="H25" s="487">
        <f>SUM(H23:H24)</f>
        <v>34091</v>
      </c>
      <c r="I25" s="16">
        <f t="shared" si="1"/>
        <v>0.81444407281762143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18882</v>
      </c>
      <c r="E26" s="489">
        <f>SUM(E22,E25)</f>
        <v>12135</v>
      </c>
      <c r="F26" s="17">
        <f t="shared" si="0"/>
        <v>0.6426755640292342</v>
      </c>
      <c r="G26" s="489">
        <f>SUM(G22,G25)</f>
        <v>168649</v>
      </c>
      <c r="H26" s="489">
        <f>SUM(H22,H25)</f>
        <v>133278</v>
      </c>
      <c r="I26" s="17">
        <f t="shared" si="1"/>
        <v>0.79026854591488827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338</v>
      </c>
      <c r="F28" s="14">
        <f>E28/D28</f>
        <v>1.69</v>
      </c>
      <c r="G28" s="66">
        <f>D28+'2017AUG'!G28</f>
        <v>1800</v>
      </c>
      <c r="H28" s="66">
        <f>E28+'2017AUG'!H28</f>
        <v>6764</v>
      </c>
      <c r="I28" s="14">
        <f>H28/G28</f>
        <v>3.7577777777777777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338</v>
      </c>
      <c r="F30" s="14">
        <f t="shared" si="2"/>
        <v>1.69</v>
      </c>
      <c r="G30" s="487">
        <f>SUM(G28:G29)</f>
        <v>1800</v>
      </c>
      <c r="H30" s="487">
        <f>SUM(H28:H29)</f>
        <v>6764</v>
      </c>
      <c r="I30" s="14">
        <f t="shared" si="3"/>
        <v>3.7577777777777777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12480</v>
      </c>
      <c r="F31" s="14">
        <f t="shared" si="2"/>
        <v>3.3729729729729732</v>
      </c>
      <c r="G31" s="66">
        <f>D31+'2017AUG'!G31</f>
        <v>25800</v>
      </c>
      <c r="H31" s="66">
        <f>E31+'2017AUG'!H31</f>
        <v>51005</v>
      </c>
      <c r="I31" s="14">
        <f t="shared" si="3"/>
        <v>1.9769379844961241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12818</v>
      </c>
      <c r="F32" s="14">
        <f t="shared" si="2"/>
        <v>3.2866666666666666</v>
      </c>
      <c r="G32" s="485">
        <f>SUM(G30,G31)</f>
        <v>27600</v>
      </c>
      <c r="H32" s="485">
        <f>SUM(H30,H31)</f>
        <v>57769</v>
      </c>
      <c r="I32" s="14">
        <f t="shared" si="3"/>
        <v>2.0930797101449277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D33+'2017AUG'!G33</f>
        <v>315000</v>
      </c>
      <c r="H33" s="66">
        <f>E33+'2017AUG'!H33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315000</v>
      </c>
      <c r="H35" s="479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D36+'2017AUG'!G36</f>
        <v>13332</v>
      </c>
      <c r="H36" s="66">
        <f>E36+'2017AUG'!H36</f>
        <v>28435</v>
      </c>
      <c r="I36" s="14">
        <f t="shared" si="3"/>
        <v>2.132838283828383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13332</v>
      </c>
      <c r="H38" s="487">
        <f>SUM(H36:H37)</f>
        <v>28435</v>
      </c>
      <c r="I38" s="16">
        <f t="shared" si="3"/>
        <v>2.132838283828383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328332</v>
      </c>
      <c r="H39" s="485">
        <f>SUM(H35,H38)</f>
        <v>28435</v>
      </c>
      <c r="I39" s="19">
        <f t="shared" si="3"/>
        <v>8.6604412606751696E-2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5107</v>
      </c>
      <c r="F40" s="21">
        <f t="shared" si="2"/>
        <v>17.023333333333333</v>
      </c>
      <c r="G40" s="68">
        <f>D40+'2017AUG'!G40</f>
        <v>2700</v>
      </c>
      <c r="H40" s="68">
        <f>E40+'2017AUG'!H40</f>
        <v>12051</v>
      </c>
      <c r="I40" s="21">
        <f t="shared" si="3"/>
        <v>4.4633333333333329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5250</v>
      </c>
      <c r="E41" s="20">
        <v>0</v>
      </c>
      <c r="F41" s="21">
        <f t="shared" si="2"/>
        <v>0</v>
      </c>
      <c r="G41" s="68">
        <f>D41+'2017AUG'!G41</f>
        <v>33750</v>
      </c>
      <c r="H41" s="68">
        <f>E41+'2017AUG'!H41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v>0</v>
      </c>
      <c r="F42" s="21">
        <f t="shared" si="2"/>
        <v>0</v>
      </c>
      <c r="G42" s="68">
        <f>D42+'2017AUG'!G42</f>
        <v>153000</v>
      </c>
      <c r="H42" s="68">
        <f>E42+'2017AUG'!H42</f>
        <v>153000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82554</v>
      </c>
      <c r="E43" s="78">
        <f>SUM(E26,E32,E39,E40:E42)</f>
        <v>30060</v>
      </c>
      <c r="F43" s="22">
        <f t="shared" si="2"/>
        <v>0.36412529980376479</v>
      </c>
      <c r="G43" s="484">
        <f>SUM(G26,G32,G39,G40:G42)</f>
        <v>714031</v>
      </c>
      <c r="H43" s="484">
        <f>SUM(H26,H32,H39,H40:H42)</f>
        <v>384533</v>
      </c>
      <c r="I43" s="22">
        <f t="shared" si="3"/>
        <v>0.53853824273736017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82254</v>
      </c>
      <c r="E44" s="484">
        <f>E43-E40</f>
        <v>24953</v>
      </c>
      <c r="F44" s="22">
        <f t="shared" si="2"/>
        <v>0.30336518588761641</v>
      </c>
      <c r="G44" s="484">
        <f>G43-G40</f>
        <v>711331</v>
      </c>
      <c r="H44" s="484">
        <f>H43-H40</f>
        <v>372482</v>
      </c>
      <c r="I44" s="22">
        <f t="shared" si="3"/>
        <v>0.52364089291764315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65254</v>
      </c>
      <c r="E45" s="482">
        <f>E44-E42</f>
        <v>24953</v>
      </c>
      <c r="F45" s="23">
        <f t="shared" si="2"/>
        <v>0.38239801391485578</v>
      </c>
      <c r="G45" s="482">
        <f>G44-G42</f>
        <v>558331</v>
      </c>
      <c r="H45" s="482">
        <f>H44-H42</f>
        <v>219482</v>
      </c>
      <c r="I45" s="23">
        <f t="shared" si="3"/>
        <v>0.39310373237380691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12</v>
      </c>
      <c r="F51" s="28">
        <f t="shared" ref="F51:F77" si="4">E51/D51</f>
        <v>2.4</v>
      </c>
      <c r="G51" s="66">
        <f>D51+'2017AUG'!G51</f>
        <v>45</v>
      </c>
      <c r="H51" s="66">
        <f>E51+'2017AUG'!H51</f>
        <v>113</v>
      </c>
      <c r="I51" s="28">
        <f t="shared" ref="I51:I77" si="5">H51/G51</f>
        <v>2.5111111111111111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394</v>
      </c>
      <c r="E52" s="490">
        <v>257</v>
      </c>
      <c r="F52" s="28">
        <f t="shared" si="4"/>
        <v>0.65228426395939088</v>
      </c>
      <c r="G52" s="66">
        <f>D52+'2017AUG'!G52</f>
        <v>3664</v>
      </c>
      <c r="H52" s="66">
        <f>E52+'2017AUG'!H52</f>
        <v>3318</v>
      </c>
      <c r="I52" s="28">
        <f t="shared" si="5"/>
        <v>0.90556768558951961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399</v>
      </c>
      <c r="E53" s="487">
        <f>SUM(E51:E52)</f>
        <v>269</v>
      </c>
      <c r="F53" s="30">
        <f t="shared" si="4"/>
        <v>0.67418546365914789</v>
      </c>
      <c r="G53" s="487">
        <f>SUM(G51:G52)</f>
        <v>3709</v>
      </c>
      <c r="H53" s="487">
        <f>SUM(H51:H52)</f>
        <v>3431</v>
      </c>
      <c r="I53" s="30">
        <f t="shared" si="5"/>
        <v>0.92504718252898355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D54+'2017AUG'!G54</f>
        <v>18</v>
      </c>
      <c r="H54" s="66">
        <f>E54+'2017AUG'!H54</f>
        <v>220</v>
      </c>
      <c r="I54" s="28">
        <f t="shared" si="5"/>
        <v>12.222222222222221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294</v>
      </c>
      <c r="E55" s="490">
        <v>207</v>
      </c>
      <c r="F55" s="28">
        <f t="shared" si="4"/>
        <v>0.70408163265306123</v>
      </c>
      <c r="G55" s="66">
        <f>D55+'2017AUG'!G55</f>
        <v>2731</v>
      </c>
      <c r="H55" s="66">
        <f>E55+'2017AUG'!H55</f>
        <v>2866</v>
      </c>
      <c r="I55" s="28">
        <f t="shared" si="5"/>
        <v>1.0494324423288173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296</v>
      </c>
      <c r="E56" s="474">
        <f>SUM(E54:E55)</f>
        <v>207</v>
      </c>
      <c r="F56" s="28">
        <f t="shared" si="4"/>
        <v>0.69932432432432434</v>
      </c>
      <c r="G56" s="474">
        <f>SUM(G54:G55)</f>
        <v>2749</v>
      </c>
      <c r="H56" s="474">
        <f>SUM(H54:H55)</f>
        <v>3086</v>
      </c>
      <c r="I56" s="31">
        <f t="shared" si="5"/>
        <v>1.1225900327391778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63</v>
      </c>
      <c r="H57" s="473">
        <f>SUM(H51,H54)</f>
        <v>333</v>
      </c>
      <c r="I57" s="32">
        <f t="shared" si="5"/>
        <v>5.2857142857142856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688</v>
      </c>
      <c r="E58" s="473">
        <f>SUM(E52,E55)</f>
        <v>464</v>
      </c>
      <c r="F58" s="32">
        <f t="shared" si="4"/>
        <v>0.67441860465116277</v>
      </c>
      <c r="G58" s="473">
        <f>SUM(G52,G55)</f>
        <v>6395</v>
      </c>
      <c r="H58" s="473">
        <f>SUM(H52,H55)</f>
        <v>6184</v>
      </c>
      <c r="I58" s="32">
        <f t="shared" si="5"/>
        <v>0.96700547302580142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695</v>
      </c>
      <c r="E59" s="481">
        <f>SUM(E57:E58)</f>
        <v>476</v>
      </c>
      <c r="F59" s="33">
        <f t="shared" si="4"/>
        <v>0.68489208633093523</v>
      </c>
      <c r="G59" s="481">
        <f>SUM(G57:G58)</f>
        <v>6458</v>
      </c>
      <c r="H59" s="481">
        <f>SUM(H57:H58)</f>
        <v>6517</v>
      </c>
      <c r="I59" s="33">
        <f t="shared" si="5"/>
        <v>1.0091359554041499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D60+'2017AUG'!G60</f>
        <v>144</v>
      </c>
      <c r="H60" s="66">
        <f>E60+'2017AUG'!H60</f>
        <v>357.7</v>
      </c>
      <c r="I60" s="28">
        <f t="shared" si="5"/>
        <v>2.4840277777777775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1290</v>
      </c>
      <c r="E61" s="479">
        <f>E70/10</f>
        <v>904.4</v>
      </c>
      <c r="F61" s="28">
        <f t="shared" si="4"/>
        <v>0.70108527131782949</v>
      </c>
      <c r="G61" s="66">
        <f>D61+'2017AUG'!G61</f>
        <v>11980</v>
      </c>
      <c r="H61" s="66">
        <f>E61+'2017AUG'!H61</f>
        <v>9561</v>
      </c>
      <c r="I61" s="28">
        <f t="shared" si="5"/>
        <v>0.79808013355592655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1306</v>
      </c>
      <c r="E62" s="487">
        <f>SUM(E60:E61)</f>
        <v>935.69999999999993</v>
      </c>
      <c r="F62" s="30">
        <f t="shared" si="4"/>
        <v>0.71646248085758035</v>
      </c>
      <c r="G62" s="487">
        <f>SUM(G60:G61)</f>
        <v>12124</v>
      </c>
      <c r="H62" s="487">
        <f>SUM(H60:H61)</f>
        <v>9918.7000000000007</v>
      </c>
      <c r="I62" s="30">
        <f t="shared" si="5"/>
        <v>0.81810458594523261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D63+'2017AUG'!G63</f>
        <v>18</v>
      </c>
      <c r="H63" s="66">
        <f>E63+'2017AUG'!H63</f>
        <v>41.4</v>
      </c>
      <c r="I63" s="28">
        <f t="shared" si="5"/>
        <v>2.2999999999999998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441</v>
      </c>
      <c r="E64" s="479">
        <f>E73/10</f>
        <v>277.8</v>
      </c>
      <c r="F64" s="28">
        <f t="shared" si="4"/>
        <v>0.62993197278911572</v>
      </c>
      <c r="G64" s="66">
        <f>D64+'2017AUG'!G64</f>
        <v>4096</v>
      </c>
      <c r="H64" s="66">
        <f>E64+'2017AUG'!H64</f>
        <v>3367.7</v>
      </c>
      <c r="I64" s="28">
        <f t="shared" si="5"/>
        <v>0.82219238281249996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443</v>
      </c>
      <c r="E65" s="474">
        <f>SUM(E63:E64)</f>
        <v>277.8</v>
      </c>
      <c r="F65" s="31">
        <f t="shared" si="4"/>
        <v>0.62708803611738151</v>
      </c>
      <c r="G65" s="474">
        <f>SUM(G63:G64)</f>
        <v>4114</v>
      </c>
      <c r="H65" s="474">
        <f>SUM(H63:H64)</f>
        <v>3409.1</v>
      </c>
      <c r="I65" s="31">
        <f t="shared" si="5"/>
        <v>0.82865824015556633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31.3</v>
      </c>
      <c r="F66" s="32">
        <f t="shared" si="4"/>
        <v>1.7388888888888889</v>
      </c>
      <c r="G66" s="473">
        <f>SUM(G60,G63)</f>
        <v>162</v>
      </c>
      <c r="H66" s="473">
        <f>SUM(H60,H63)</f>
        <v>399.09999999999997</v>
      </c>
      <c r="I66" s="32">
        <f t="shared" si="5"/>
        <v>2.4635802469135801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1731</v>
      </c>
      <c r="E67" s="473">
        <f>SUM(E61,E64)</f>
        <v>1182.2</v>
      </c>
      <c r="F67" s="32">
        <f t="shared" si="4"/>
        <v>0.68295782784517622</v>
      </c>
      <c r="G67" s="473">
        <f>SUM(G61,G64)</f>
        <v>16076</v>
      </c>
      <c r="H67" s="473">
        <f>SUM(H61,H64)</f>
        <v>12928.7</v>
      </c>
      <c r="I67" s="32">
        <f t="shared" si="5"/>
        <v>0.80422368748444895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1749</v>
      </c>
      <c r="E68" s="481">
        <f>SUM(E66:E67)</f>
        <v>1213.5</v>
      </c>
      <c r="F68" s="34">
        <f t="shared" si="4"/>
        <v>0.6938250428816467</v>
      </c>
      <c r="G68" s="481">
        <f>SUM(G66:G67)</f>
        <v>16238</v>
      </c>
      <c r="H68" s="481">
        <f>SUM(H66:H67)</f>
        <v>13327.800000000001</v>
      </c>
      <c r="I68" s="34">
        <f t="shared" si="5"/>
        <v>0.8207784209878064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1395</v>
      </c>
      <c r="E69" s="490">
        <v>313</v>
      </c>
      <c r="F69" s="28">
        <f t="shared" si="4"/>
        <v>0.22437275985663083</v>
      </c>
      <c r="G69" s="66">
        <f>D69+'2017AUG'!G69</f>
        <v>6975</v>
      </c>
      <c r="H69" s="66">
        <f>E69+'2017AUG'!H69</f>
        <v>3577</v>
      </c>
      <c r="I69" s="28">
        <f t="shared" si="5"/>
        <v>0.51283154121863794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12898</v>
      </c>
      <c r="E70" s="479">
        <f>E21-E69</f>
        <v>9044</v>
      </c>
      <c r="F70" s="28">
        <f t="shared" si="4"/>
        <v>0.70119398356334317</v>
      </c>
      <c r="G70" s="66">
        <f>D70+'2017AUG'!G70</f>
        <v>119816</v>
      </c>
      <c r="H70" s="66">
        <f>E70+'2017AUG'!H70</f>
        <v>95610</v>
      </c>
      <c r="I70" s="28">
        <f t="shared" si="5"/>
        <v>0.79797355945783532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14293</v>
      </c>
      <c r="E71" s="487">
        <f>SUM(E69:E70)</f>
        <v>9357</v>
      </c>
      <c r="F71" s="30">
        <f t="shared" si="4"/>
        <v>0.65465612537605822</v>
      </c>
      <c r="G71" s="487">
        <f>SUM(G69:G70)</f>
        <v>126791</v>
      </c>
      <c r="H71" s="487">
        <f>SUM(H69:H70)</f>
        <v>99187</v>
      </c>
      <c r="I71" s="30">
        <f t="shared" si="5"/>
        <v>0.78228738632868267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180</v>
      </c>
      <c r="E72" s="490">
        <v>0</v>
      </c>
      <c r="F72" s="28">
        <f t="shared" si="4"/>
        <v>0</v>
      </c>
      <c r="G72" s="66">
        <f>D72+'2017AUG'!G72</f>
        <v>900</v>
      </c>
      <c r="H72" s="66">
        <f>E72+'2017AUG'!H72</f>
        <v>414</v>
      </c>
      <c r="I72" s="28">
        <f t="shared" si="5"/>
        <v>0.46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4409</v>
      </c>
      <c r="E73" s="479">
        <f>E23-E72</f>
        <v>2778</v>
      </c>
      <c r="F73" s="28">
        <f t="shared" si="4"/>
        <v>0.6300748469040599</v>
      </c>
      <c r="G73" s="66">
        <f>D73+'2017AUG'!G73</f>
        <v>40958</v>
      </c>
      <c r="H73" s="66">
        <f>E73+'2017AUG'!H73</f>
        <v>33677</v>
      </c>
      <c r="I73" s="28">
        <f t="shared" si="5"/>
        <v>0.82223253088529713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4589</v>
      </c>
      <c r="E74" s="474">
        <f>SUM(E72:E73)</f>
        <v>2778</v>
      </c>
      <c r="F74" s="31">
        <f t="shared" si="4"/>
        <v>0.60536064502070164</v>
      </c>
      <c r="G74" s="474">
        <f>SUM(G72:G73)</f>
        <v>41858</v>
      </c>
      <c r="H74" s="474">
        <f>SUM(H72:H73)</f>
        <v>34091</v>
      </c>
      <c r="I74" s="31">
        <f t="shared" si="5"/>
        <v>0.81444407281762143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1575</v>
      </c>
      <c r="E75" s="473">
        <f>SUM(E69,E72)</f>
        <v>313</v>
      </c>
      <c r="F75" s="32">
        <f t="shared" si="4"/>
        <v>0.19873015873015873</v>
      </c>
      <c r="G75" s="473">
        <f>SUM(G69,G72)</f>
        <v>7875</v>
      </c>
      <c r="H75" s="473">
        <f>SUM(H69,H72)</f>
        <v>3991</v>
      </c>
      <c r="I75" s="32">
        <f t="shared" si="5"/>
        <v>0.5067936507936508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17307</v>
      </c>
      <c r="E76" s="473">
        <f>SUM(E70,E73)</f>
        <v>11822</v>
      </c>
      <c r="F76" s="32">
        <f t="shared" si="4"/>
        <v>0.68307621193736634</v>
      </c>
      <c r="G76" s="473">
        <f>SUM(G70,G73)</f>
        <v>160774</v>
      </c>
      <c r="H76" s="473">
        <f>SUM(H70,H73)</f>
        <v>129287</v>
      </c>
      <c r="I76" s="32">
        <f t="shared" si="5"/>
        <v>0.80415365668578254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18882</v>
      </c>
      <c r="E77" s="481">
        <f>SUM(E75:E76)</f>
        <v>12135</v>
      </c>
      <c r="F77" s="34">
        <f t="shared" si="4"/>
        <v>0.6426755640292342</v>
      </c>
      <c r="G77" s="481">
        <f>SUM(G75:G76)</f>
        <v>168649</v>
      </c>
      <c r="H77" s="481">
        <f>SUM(H75:H76)</f>
        <v>133278</v>
      </c>
      <c r="I77" s="34">
        <f t="shared" si="5"/>
        <v>0.79026854591488827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D84+'2017AUG'!G84</f>
        <v>2</v>
      </c>
      <c r="H84" s="66">
        <f>E84+'2017AUG'!H84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D85+'2017AUG'!G85</f>
        <v>763</v>
      </c>
      <c r="H85" s="66">
        <f>E85+'2017AUG'!H85</f>
        <v>574.5</v>
      </c>
      <c r="I85" s="28">
        <f t="shared" ref="I85:I98" si="7">H85/G85</f>
        <v>0.75294888597640897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765</v>
      </c>
      <c r="H86" s="487">
        <f>SUM(H84:H85)</f>
        <v>577.5</v>
      </c>
      <c r="I86" s="30">
        <f t="shared" si="7"/>
        <v>0.75490196078431371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D87+'2017AUG'!G87</f>
        <v>1</v>
      </c>
      <c r="H87" s="66">
        <f>E87+'2017AUG'!H87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D88+'2017AUG'!G88</f>
        <v>179</v>
      </c>
      <c r="H88" s="66">
        <f>E88+'2017AUG'!H88</f>
        <v>148</v>
      </c>
      <c r="I88" s="28">
        <f t="shared" si="7"/>
        <v>0.82681564245810057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180</v>
      </c>
      <c r="H89" s="487">
        <f>SUM(H87:H88)</f>
        <v>155</v>
      </c>
      <c r="I89" s="30">
        <f t="shared" si="7"/>
        <v>0.86111111111111116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1</v>
      </c>
      <c r="F90" s="28" t="e">
        <f t="shared" si="6"/>
        <v>#DIV/0!</v>
      </c>
      <c r="G90" s="66">
        <f>D90+'2017AUG'!G90</f>
        <v>2</v>
      </c>
      <c r="H90" s="66">
        <f>E90+'2017AUG'!H90</f>
        <v>21</v>
      </c>
      <c r="I90" s="28">
        <f t="shared" si="7"/>
        <v>10.5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D91+'2017AUG'!G91</f>
        <v>455</v>
      </c>
      <c r="H91" s="66">
        <f>E91+'2017AUG'!H91</f>
        <v>397.5</v>
      </c>
      <c r="I91" s="28">
        <f t="shared" si="7"/>
        <v>0.87362637362637363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457</v>
      </c>
      <c r="H92" s="487">
        <f>SUM(H90:H91)</f>
        <v>418.5</v>
      </c>
      <c r="I92" s="30">
        <f t="shared" si="7"/>
        <v>0.91575492341356679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1</v>
      </c>
      <c r="E93" s="490">
        <v>6</v>
      </c>
      <c r="F93" s="28">
        <f t="shared" si="6"/>
        <v>6</v>
      </c>
      <c r="G93" s="66">
        <f>D93+'2017AUG'!G93</f>
        <v>4</v>
      </c>
      <c r="H93" s="66">
        <f>E93+'2017AUG'!H93</f>
        <v>46.5</v>
      </c>
      <c r="I93" s="28">
        <f t="shared" si="7"/>
        <v>11.625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92</v>
      </c>
      <c r="E94" s="490">
        <v>83</v>
      </c>
      <c r="F94" s="28">
        <f t="shared" si="6"/>
        <v>0.90217391304347827</v>
      </c>
      <c r="G94" s="66">
        <f>D94+'2017AUG'!G94</f>
        <v>825</v>
      </c>
      <c r="H94" s="66">
        <f>E94+'2017AUG'!H94</f>
        <v>774</v>
      </c>
      <c r="I94" s="28">
        <f t="shared" si="7"/>
        <v>0.93818181818181823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89</v>
      </c>
      <c r="F95" s="30">
        <f t="shared" si="6"/>
        <v>0.956989247311828</v>
      </c>
      <c r="G95" s="487">
        <f>SUM(G93:G94)</f>
        <v>829</v>
      </c>
      <c r="H95" s="487">
        <f>SUM(H93:H94)</f>
        <v>820.5</v>
      </c>
      <c r="I95" s="30">
        <f t="shared" si="7"/>
        <v>0.98974668275030153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1</v>
      </c>
      <c r="E96" s="474">
        <f>SUM(E84,E87,E90,E93)</f>
        <v>7</v>
      </c>
      <c r="F96" s="31">
        <f t="shared" si="6"/>
        <v>7</v>
      </c>
      <c r="G96" s="474">
        <f>SUM(G84,G87,G90,G93)</f>
        <v>9</v>
      </c>
      <c r="H96" s="474">
        <f>SUM(H84,H87,H90,H93)</f>
        <v>77.5</v>
      </c>
      <c r="I96" s="31">
        <f t="shared" si="7"/>
        <v>8.6111111111111107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190</v>
      </c>
      <c r="F97" s="31">
        <f t="shared" si="6"/>
        <v>0.7661290322580645</v>
      </c>
      <c r="G97" s="474">
        <f>SUM(G85,G88,G91,G94)</f>
        <v>2222</v>
      </c>
      <c r="H97" s="474">
        <f>SUM(H85,H88,H91,H94)</f>
        <v>1894</v>
      </c>
      <c r="I97" s="31">
        <f t="shared" si="7"/>
        <v>0.8523852385238524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197</v>
      </c>
      <c r="F98" s="41">
        <f t="shared" si="6"/>
        <v>0.79116465863453811</v>
      </c>
      <c r="G98" s="475">
        <f>SUM(G96:G97)</f>
        <v>2231</v>
      </c>
      <c r="H98" s="475">
        <f>SUM(H96:H97)</f>
        <v>1971.5</v>
      </c>
      <c r="I98" s="41">
        <f t="shared" si="7"/>
        <v>0.88368444643657551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0</v>
      </c>
      <c r="F99" s="499" t="e">
        <f>E99/D99</f>
        <v>#DIV/0!</v>
      </c>
      <c r="G99" s="70">
        <f>D99+'2017AUG'!G99</f>
        <v>2</v>
      </c>
      <c r="H99" s="70">
        <f>E99+'2017AUG'!H99</f>
        <v>8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D100+'2017AUG'!G100</f>
        <v>673</v>
      </c>
      <c r="H100" s="71">
        <f>E100+'2017AUG'!H100</f>
        <v>485</v>
      </c>
      <c r="I100" s="28">
        <f t="shared" ref="I100:I109" si="9">H100/G100</f>
        <v>0.72065378900445765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40</v>
      </c>
      <c r="F101" s="30">
        <f t="shared" si="8"/>
        <v>0.53333333333333333</v>
      </c>
      <c r="G101" s="487">
        <f>SUM(G99:G100)</f>
        <v>675</v>
      </c>
      <c r="H101" s="487">
        <f>SUM(H99:H100)</f>
        <v>493</v>
      </c>
      <c r="I101" s="30">
        <f t="shared" si="9"/>
        <v>0.73037037037037034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1</v>
      </c>
      <c r="F102" s="28" t="e">
        <f t="shared" si="8"/>
        <v>#DIV/0!</v>
      </c>
      <c r="G102" s="66">
        <f>D102+'2017AUG'!G102</f>
        <v>2</v>
      </c>
      <c r="H102" s="66">
        <f>E102+'2017AUG'!H102</f>
        <v>19</v>
      </c>
      <c r="I102" s="28">
        <f t="shared" si="9"/>
        <v>9.5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31</v>
      </c>
      <c r="F103" s="28">
        <f t="shared" si="8"/>
        <v>0.75609756097560976</v>
      </c>
      <c r="G103" s="66">
        <f>D103+'2017AUG'!G103</f>
        <v>367</v>
      </c>
      <c r="H103" s="66">
        <f>E103+'2017AUG'!H103</f>
        <v>307</v>
      </c>
      <c r="I103" s="28">
        <f t="shared" si="9"/>
        <v>0.8365122615803815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369</v>
      </c>
      <c r="H104" s="487">
        <f>SUM(H102:H103)</f>
        <v>326</v>
      </c>
      <c r="I104" s="30">
        <f t="shared" si="9"/>
        <v>0.88346883468834692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27</v>
      </c>
      <c r="I105" s="30">
        <f t="shared" si="9"/>
        <v>6.75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71</v>
      </c>
      <c r="F106" s="30">
        <f t="shared" si="8"/>
        <v>0.61206896551724133</v>
      </c>
      <c r="G106" s="474">
        <f>SUM(G100,G103)</f>
        <v>1040</v>
      </c>
      <c r="H106" s="474">
        <f>SUM(H100,H103)</f>
        <v>792</v>
      </c>
      <c r="I106" s="30">
        <f t="shared" si="9"/>
        <v>0.7615384615384615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72</v>
      </c>
      <c r="F107" s="41">
        <f t="shared" si="8"/>
        <v>0.62068965517241381</v>
      </c>
      <c r="G107" s="475">
        <f>SUM(G105:G106)</f>
        <v>1044</v>
      </c>
      <c r="H107" s="475">
        <f>SUM(H105:H106)</f>
        <v>819</v>
      </c>
      <c r="I107" s="41">
        <f t="shared" si="9"/>
        <v>0.78448275862068961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8</v>
      </c>
      <c r="F108" s="45">
        <f t="shared" si="8"/>
        <v>8</v>
      </c>
      <c r="G108" s="46">
        <f>SUM(G96,G105)</f>
        <v>13</v>
      </c>
      <c r="H108" s="46">
        <f>SUM(H96,H105)</f>
        <v>104.5</v>
      </c>
      <c r="I108" s="45">
        <f t="shared" si="9"/>
        <v>8.0384615384615383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261</v>
      </c>
      <c r="F109" s="32">
        <f t="shared" si="8"/>
        <v>0.71703296703296704</v>
      </c>
      <c r="G109" s="473">
        <f>SUM(G97,G106)</f>
        <v>3262</v>
      </c>
      <c r="H109" s="473">
        <f>SUM(H97,H106)</f>
        <v>2686</v>
      </c>
      <c r="I109" s="32">
        <f t="shared" si="9"/>
        <v>0.82342121397915391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365</v>
      </c>
      <c r="E110" s="473">
        <f>SUM(E108:E109)</f>
        <v>269</v>
      </c>
      <c r="F110" s="49">
        <f>E110/D110</f>
        <v>0.73698630136986298</v>
      </c>
      <c r="G110" s="472">
        <f>SUM(G108:G109)</f>
        <v>3275</v>
      </c>
      <c r="H110" s="472">
        <f>SUM(H108:H109)</f>
        <v>2790.5</v>
      </c>
      <c r="I110" s="49">
        <f>H110/G110</f>
        <v>0.85206106870229004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859</v>
      </c>
      <c r="D118" s="592"/>
      <c r="E118" s="591">
        <v>14</v>
      </c>
      <c r="F118" s="592"/>
      <c r="G118" s="591">
        <v>7</v>
      </c>
      <c r="H118" s="592"/>
      <c r="I118" s="591">
        <v>1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793</v>
      </c>
      <c r="D123" s="590"/>
      <c r="E123" s="590">
        <v>342</v>
      </c>
      <c r="F123" s="590"/>
      <c r="G123" s="590">
        <v>979</v>
      </c>
      <c r="H123" s="590"/>
      <c r="I123" s="772">
        <v>2993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363</v>
      </c>
      <c r="D128" s="563"/>
      <c r="E128" s="564"/>
      <c r="F128" s="562" t="s">
        <v>357</v>
      </c>
      <c r="G128" s="563"/>
      <c r="H128" s="563"/>
      <c r="I128" s="564"/>
      <c r="J128" s="563" t="s">
        <v>364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358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353</v>
      </c>
      <c r="D130" s="736"/>
      <c r="E130" s="737"/>
      <c r="F130" s="735" t="s">
        <v>15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 t="s">
        <v>360</v>
      </c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'2017AUG'!H138</f>
        <v>-25960</v>
      </c>
      <c r="C138" s="63">
        <f>E43-E42</f>
        <v>30060</v>
      </c>
      <c r="D138" s="512">
        <v>48301</v>
      </c>
      <c r="E138" s="531" t="s">
        <v>114</v>
      </c>
      <c r="F138" s="531"/>
      <c r="G138" s="531"/>
      <c r="H138" s="513">
        <f>C138+A138+B138-D138</f>
        <v>-44201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25988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17582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1874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C360864D-009D-6940-A34B-944A144E0A3E}">
      <formula1>"USA, JAPAN"</formula1>
    </dataValidation>
    <dataValidation type="list" allowBlank="1" showInputMessage="1" showErrorMessage="1" sqref="G1" xr:uid="{C7380651-2717-BA44-97A3-01515A90A06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9439-6A7E-0141-86DA-3A40C2892B00}">
  <sheetPr codeName="Sheet11">
    <pageSetUpPr fitToPage="1"/>
  </sheetPr>
  <dimension ref="A1:N150"/>
  <sheetViews>
    <sheetView zoomScale="95" zoomScaleNormal="9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146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43056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14347</v>
      </c>
      <c r="E21" s="490">
        <v>9635</v>
      </c>
      <c r="F21" s="14">
        <f t="shared" ref="F21:F26" si="0">E21/D21</f>
        <v>0.67156896912246467</v>
      </c>
      <c r="G21" s="66">
        <f>D21+'2017SEP'!G21</f>
        <v>141138</v>
      </c>
      <c r="H21" s="66">
        <f>E21+'2017SEP'!H21</f>
        <v>108822</v>
      </c>
      <c r="I21" s="14">
        <f t="shared" ref="I21:I26" si="1">H21/G21</f>
        <v>0.77103260638523996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14347</v>
      </c>
      <c r="E22" s="487">
        <f>SUM(E21:E21)</f>
        <v>9635</v>
      </c>
      <c r="F22" s="16">
        <f t="shared" si="0"/>
        <v>0.67156896912246467</v>
      </c>
      <c r="G22" s="487">
        <f>SUM(G21:G21)</f>
        <v>141138</v>
      </c>
      <c r="H22" s="487">
        <f>SUM(H21:H21)</f>
        <v>108822</v>
      </c>
      <c r="I22" s="16">
        <f t="shared" si="1"/>
        <v>0.77103260638523996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4575</v>
      </c>
      <c r="E23" s="490">
        <v>2778</v>
      </c>
      <c r="F23" s="14">
        <f t="shared" si="0"/>
        <v>0.60721311475409834</v>
      </c>
      <c r="G23" s="66">
        <f>D23+'2017SEP'!G23</f>
        <v>46433</v>
      </c>
      <c r="H23" s="66">
        <f>E23+'2017SEP'!H23</f>
        <v>36869</v>
      </c>
      <c r="I23" s="14">
        <f t="shared" si="1"/>
        <v>0.7940258006159413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4575</v>
      </c>
      <c r="E25" s="487">
        <f>SUM(E23:E24)</f>
        <v>2778</v>
      </c>
      <c r="F25" s="16">
        <f t="shared" si="0"/>
        <v>0.60721311475409834</v>
      </c>
      <c r="G25" s="487">
        <f>SUM(G23:G24)</f>
        <v>46433</v>
      </c>
      <c r="H25" s="487">
        <f>SUM(H23:H24)</f>
        <v>36869</v>
      </c>
      <c r="I25" s="16">
        <f t="shared" si="1"/>
        <v>0.7940258006159413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18922</v>
      </c>
      <c r="E26" s="489">
        <f>SUM(E22,E25)</f>
        <v>12413</v>
      </c>
      <c r="F26" s="17">
        <f t="shared" si="0"/>
        <v>0.65600887855406409</v>
      </c>
      <c r="G26" s="489">
        <f>SUM(G22,G25)</f>
        <v>187571</v>
      </c>
      <c r="H26" s="489">
        <f>SUM(H22,H25)</f>
        <v>145691</v>
      </c>
      <c r="I26" s="17">
        <f t="shared" si="1"/>
        <v>0.7767245469715468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1959</v>
      </c>
      <c r="F28" s="14">
        <f>E28/D28</f>
        <v>9.7949999999999999</v>
      </c>
      <c r="G28" s="66">
        <f>D28+'2017SEP'!G28</f>
        <v>2000</v>
      </c>
      <c r="H28" s="66">
        <f>E28+'2017SEP'!H28</f>
        <v>8723</v>
      </c>
      <c r="I28" s="14">
        <f>H28/G28</f>
        <v>4.3615000000000004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1959</v>
      </c>
      <c r="F30" s="14">
        <f t="shared" si="2"/>
        <v>9.7949999999999999</v>
      </c>
      <c r="G30" s="487">
        <f>SUM(G28:G29)</f>
        <v>2000</v>
      </c>
      <c r="H30" s="487">
        <f>SUM(H28:H29)</f>
        <v>8723</v>
      </c>
      <c r="I30" s="14">
        <f t="shared" si="3"/>
        <v>4.3615000000000004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13145</v>
      </c>
      <c r="F31" s="14">
        <f t="shared" si="2"/>
        <v>3.5527027027027027</v>
      </c>
      <c r="G31" s="66">
        <f>D31+'2017SEP'!G31</f>
        <v>29500</v>
      </c>
      <c r="H31" s="66">
        <f>E31+'2017SEP'!H31</f>
        <v>64150</v>
      </c>
      <c r="I31" s="14">
        <f t="shared" si="3"/>
        <v>2.1745762711864405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15104</v>
      </c>
      <c r="F32" s="14">
        <f t="shared" si="2"/>
        <v>3.8728205128205127</v>
      </c>
      <c r="G32" s="485">
        <f>SUM(G30,G31)</f>
        <v>31500</v>
      </c>
      <c r="H32" s="485">
        <f>SUM(H30,H31)</f>
        <v>72873</v>
      </c>
      <c r="I32" s="14">
        <f t="shared" si="3"/>
        <v>2.3134285714285716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D33+'2017SEP'!G33</f>
        <v>350000</v>
      </c>
      <c r="H33" s="66">
        <f>E33+'2017SEP'!H33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350000</v>
      </c>
      <c r="H35" s="479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D36+'2017SEP'!G36</f>
        <v>15554</v>
      </c>
      <c r="H36" s="66">
        <f>E36+'2017SEP'!H36</f>
        <v>28435</v>
      </c>
      <c r="I36" s="14">
        <f t="shared" si="3"/>
        <v>1.8281471004243282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15554</v>
      </c>
      <c r="H38" s="487">
        <f>SUM(H36:H37)</f>
        <v>28435</v>
      </c>
      <c r="I38" s="16">
        <f t="shared" si="3"/>
        <v>1.8281471004243282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365554</v>
      </c>
      <c r="H39" s="485">
        <f>SUM(H35,H38)</f>
        <v>28435</v>
      </c>
      <c r="I39" s="19">
        <f t="shared" si="3"/>
        <v>7.7786045290162323E-2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7972.4</v>
      </c>
      <c r="F40" s="21">
        <f t="shared" si="2"/>
        <v>26.574666666666666</v>
      </c>
      <c r="G40" s="68">
        <f>D40+'2017SEP'!G40</f>
        <v>3000</v>
      </c>
      <c r="H40" s="77">
        <f>E40+'2017SEP'!H40</f>
        <v>20023.400000000001</v>
      </c>
      <c r="I40" s="21">
        <f t="shared" si="3"/>
        <v>6.6744666666666674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D41+'2017SEP'!G41</f>
        <v>40500</v>
      </c>
      <c r="H41" s="68">
        <f>E41+'2017SEP'!H41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f>46945+142200</f>
        <v>189145</v>
      </c>
      <c r="F42" s="21">
        <f t="shared" si="2"/>
        <v>11.126176470588236</v>
      </c>
      <c r="G42" s="68">
        <f>D42+'2017SEP'!G42</f>
        <v>170000</v>
      </c>
      <c r="H42" s="68">
        <f>E42+'2017SEP'!H42</f>
        <v>342145</v>
      </c>
      <c r="I42" s="21">
        <f t="shared" si="3"/>
        <v>2.0126176470588235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84094</v>
      </c>
      <c r="E43" s="78">
        <f>SUM(E26,E32,E39,E40:E42)</f>
        <v>224634.4</v>
      </c>
      <c r="F43" s="22">
        <f t="shared" si="2"/>
        <v>2.6712298142554758</v>
      </c>
      <c r="G43" s="484">
        <f>SUM(G26,G32,G39,G40:G42)</f>
        <v>798125</v>
      </c>
      <c r="H43" s="484">
        <f>SUM(H26,H32,H39,H40:H42)</f>
        <v>609167.4</v>
      </c>
      <c r="I43" s="22">
        <f t="shared" si="3"/>
        <v>0.76324811276429139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83794</v>
      </c>
      <c r="E44" s="484">
        <f>E43-E40</f>
        <v>216662</v>
      </c>
      <c r="F44" s="22">
        <f t="shared" si="2"/>
        <v>2.5856505239038596</v>
      </c>
      <c r="G44" s="484">
        <f>G43-G40</f>
        <v>795125</v>
      </c>
      <c r="H44" s="484">
        <f>H43-H40</f>
        <v>589144</v>
      </c>
      <c r="I44" s="22">
        <f t="shared" si="3"/>
        <v>0.74094513441282817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66794</v>
      </c>
      <c r="E45" s="482">
        <f>E44-E42</f>
        <v>27517</v>
      </c>
      <c r="F45" s="23">
        <f t="shared" si="2"/>
        <v>0.41196814085097466</v>
      </c>
      <c r="G45" s="482">
        <f>G44-G42</f>
        <v>625125</v>
      </c>
      <c r="H45" s="482">
        <f>H44-H42</f>
        <v>246999</v>
      </c>
      <c r="I45" s="23">
        <f t="shared" si="3"/>
        <v>0.39511937612477505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9</v>
      </c>
      <c r="F51" s="28">
        <f t="shared" ref="F51:F77" si="4">E51/D51</f>
        <v>1.8</v>
      </c>
      <c r="G51" s="66">
        <f>D51+'2017SEP'!G51</f>
        <v>50</v>
      </c>
      <c r="H51" s="66">
        <f>E51+'2017SEP'!H51</f>
        <v>122</v>
      </c>
      <c r="I51" s="28">
        <f t="shared" ref="I51:I77" si="5">H51/G51</f>
        <v>2.44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391</v>
      </c>
      <c r="E52" s="490">
        <v>268</v>
      </c>
      <c r="F52" s="28">
        <f t="shared" si="4"/>
        <v>0.68542199488491051</v>
      </c>
      <c r="G52" s="66">
        <f>D52+'2017SEP'!G52</f>
        <v>4055</v>
      </c>
      <c r="H52" s="66">
        <f>E52+'2017SEP'!H52</f>
        <v>3586</v>
      </c>
      <c r="I52" s="28">
        <f t="shared" si="5"/>
        <v>0.88434032059186185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396</v>
      </c>
      <c r="E53" s="487">
        <f>SUM(E51:E52)</f>
        <v>277</v>
      </c>
      <c r="F53" s="30">
        <f t="shared" si="4"/>
        <v>0.6994949494949495</v>
      </c>
      <c r="G53" s="487">
        <f>SUM(G51:G52)</f>
        <v>4105</v>
      </c>
      <c r="H53" s="487">
        <f>SUM(H51:H52)</f>
        <v>3708</v>
      </c>
      <c r="I53" s="30">
        <f t="shared" si="5"/>
        <v>0.90328867235079169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1</v>
      </c>
      <c r="F54" s="28">
        <f t="shared" si="4"/>
        <v>0.5</v>
      </c>
      <c r="G54" s="66">
        <f>D54+'2017SEP'!G54</f>
        <v>20</v>
      </c>
      <c r="H54" s="66">
        <f>E54+'2017SEP'!H54</f>
        <v>221</v>
      </c>
      <c r="I54" s="28">
        <f t="shared" si="5"/>
        <v>11.05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292</v>
      </c>
      <c r="E55" s="490">
        <v>205</v>
      </c>
      <c r="F55" s="28">
        <f t="shared" si="4"/>
        <v>0.70205479452054798</v>
      </c>
      <c r="G55" s="66">
        <f>D55+'2017SEP'!G55</f>
        <v>3023</v>
      </c>
      <c r="H55" s="66">
        <f>E55+'2017SEP'!H55</f>
        <v>3071</v>
      </c>
      <c r="I55" s="28">
        <f t="shared" si="5"/>
        <v>1.0158782666225603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294</v>
      </c>
      <c r="E56" s="474">
        <f>SUM(E54:E55)</f>
        <v>206</v>
      </c>
      <c r="F56" s="28">
        <f t="shared" si="4"/>
        <v>0.70068027210884354</v>
      </c>
      <c r="G56" s="474">
        <f>SUM(G54:G55)</f>
        <v>3043</v>
      </c>
      <c r="H56" s="474">
        <f>SUM(H54:H55)</f>
        <v>3292</v>
      </c>
      <c r="I56" s="31">
        <f t="shared" si="5"/>
        <v>1.0818271442655274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10</v>
      </c>
      <c r="F57" s="32">
        <f t="shared" si="4"/>
        <v>1.4285714285714286</v>
      </c>
      <c r="G57" s="473">
        <f>SUM(G51,G54)</f>
        <v>70</v>
      </c>
      <c r="H57" s="473">
        <f>SUM(H51,H54)</f>
        <v>343</v>
      </c>
      <c r="I57" s="32">
        <f t="shared" si="5"/>
        <v>4.9000000000000004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683</v>
      </c>
      <c r="E58" s="473">
        <f>SUM(E52,E55)</f>
        <v>473</v>
      </c>
      <c r="F58" s="32">
        <f t="shared" si="4"/>
        <v>0.69253294289897516</v>
      </c>
      <c r="G58" s="473">
        <f>SUM(G52,G55)</f>
        <v>7078</v>
      </c>
      <c r="H58" s="473">
        <f>SUM(H52,H55)</f>
        <v>6657</v>
      </c>
      <c r="I58" s="32">
        <f t="shared" si="5"/>
        <v>0.94051992088160496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690</v>
      </c>
      <c r="E59" s="481">
        <f>SUM(E57:E58)</f>
        <v>483</v>
      </c>
      <c r="F59" s="33">
        <f t="shared" si="4"/>
        <v>0.7</v>
      </c>
      <c r="G59" s="481">
        <f>SUM(G57:G58)</f>
        <v>7148</v>
      </c>
      <c r="H59" s="481">
        <f>SUM(H57:H58)</f>
        <v>7000</v>
      </c>
      <c r="I59" s="33">
        <f t="shared" si="5"/>
        <v>0.97929490766648009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D60+'2017SEP'!G60</f>
        <v>160</v>
      </c>
      <c r="H60" s="66">
        <f>E60+'2017SEP'!H60</f>
        <v>389</v>
      </c>
      <c r="I60" s="28">
        <f t="shared" si="5"/>
        <v>2.4312499999999999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1280</v>
      </c>
      <c r="E61" s="479">
        <f>E70/10</f>
        <v>932.2</v>
      </c>
      <c r="F61" s="28">
        <f t="shared" si="4"/>
        <v>0.72828124999999999</v>
      </c>
      <c r="G61" s="66">
        <f>D61+'2017SEP'!G61</f>
        <v>13260</v>
      </c>
      <c r="H61" s="66">
        <f>E61+'2017SEP'!H61</f>
        <v>10493.2</v>
      </c>
      <c r="I61" s="28">
        <f t="shared" si="5"/>
        <v>0.79134238310708904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1296</v>
      </c>
      <c r="E62" s="487">
        <f>SUM(E60:E61)</f>
        <v>963.5</v>
      </c>
      <c r="F62" s="30">
        <f t="shared" si="4"/>
        <v>0.74344135802469136</v>
      </c>
      <c r="G62" s="487">
        <f>SUM(G60:G61)</f>
        <v>13420</v>
      </c>
      <c r="H62" s="487">
        <f>SUM(H60:H61)</f>
        <v>10882.2</v>
      </c>
      <c r="I62" s="30">
        <f t="shared" si="5"/>
        <v>0.81089418777943378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1.7</v>
      </c>
      <c r="F63" s="28">
        <f t="shared" si="4"/>
        <v>0.85</v>
      </c>
      <c r="G63" s="66">
        <f>D63+'2017SEP'!G63</f>
        <v>20</v>
      </c>
      <c r="H63" s="66">
        <f>E63+'2017SEP'!H63</f>
        <v>43.1</v>
      </c>
      <c r="I63" s="28">
        <f t="shared" si="5"/>
        <v>2.1550000000000002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437</v>
      </c>
      <c r="E64" s="479">
        <f>E73/10</f>
        <v>276.10000000000002</v>
      </c>
      <c r="F64" s="28">
        <f t="shared" si="4"/>
        <v>0.63180778032036622</v>
      </c>
      <c r="G64" s="66">
        <f>D64+'2017SEP'!G64</f>
        <v>4533</v>
      </c>
      <c r="H64" s="66">
        <f>E64+'2017SEP'!H64</f>
        <v>3643.7999999999997</v>
      </c>
      <c r="I64" s="28">
        <f t="shared" si="5"/>
        <v>0.80383851753805424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439</v>
      </c>
      <c r="E65" s="474">
        <f>SUM(E63:E64)</f>
        <v>277.8</v>
      </c>
      <c r="F65" s="31">
        <f t="shared" si="4"/>
        <v>0.63280182232346249</v>
      </c>
      <c r="G65" s="474">
        <f>SUM(G63:G64)</f>
        <v>4553</v>
      </c>
      <c r="H65" s="474">
        <f>SUM(H63:H64)</f>
        <v>3686.8999999999996</v>
      </c>
      <c r="I65" s="31">
        <f t="shared" si="5"/>
        <v>0.80977377553261576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33</v>
      </c>
      <c r="F66" s="32">
        <f t="shared" si="4"/>
        <v>1.8333333333333333</v>
      </c>
      <c r="G66" s="473">
        <f>SUM(G60,G63)</f>
        <v>180</v>
      </c>
      <c r="H66" s="473">
        <f>SUM(H60,H63)</f>
        <v>432.1</v>
      </c>
      <c r="I66" s="32">
        <f t="shared" si="5"/>
        <v>2.4005555555555556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1717</v>
      </c>
      <c r="E67" s="473">
        <f>SUM(E61,E64)</f>
        <v>1208.3000000000002</v>
      </c>
      <c r="F67" s="32">
        <f t="shared" si="4"/>
        <v>0.70372743156668616</v>
      </c>
      <c r="G67" s="473">
        <f>SUM(G61,G64)</f>
        <v>17793</v>
      </c>
      <c r="H67" s="473">
        <f>SUM(H61,H64)</f>
        <v>14137</v>
      </c>
      <c r="I67" s="32">
        <f t="shared" si="5"/>
        <v>0.79452593716630138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1735</v>
      </c>
      <c r="E68" s="481">
        <f>SUM(E66:E67)</f>
        <v>1241.3000000000002</v>
      </c>
      <c r="F68" s="34">
        <f t="shared" si="4"/>
        <v>0.71544668587896265</v>
      </c>
      <c r="G68" s="481">
        <f>SUM(G66:G67)</f>
        <v>17973</v>
      </c>
      <c r="H68" s="481">
        <f>SUM(H66:H67)</f>
        <v>14569.1</v>
      </c>
      <c r="I68" s="34">
        <f t="shared" si="5"/>
        <v>0.8106103599844211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1550</v>
      </c>
      <c r="E69" s="490">
        <v>313</v>
      </c>
      <c r="F69" s="28">
        <f t="shared" si="4"/>
        <v>0.20193548387096774</v>
      </c>
      <c r="G69" s="66">
        <f>D69+'2017SEP'!G69</f>
        <v>8525</v>
      </c>
      <c r="H69" s="66">
        <f>E69+'2017SEP'!H69</f>
        <v>3890</v>
      </c>
      <c r="I69" s="28">
        <f t="shared" si="5"/>
        <v>0.4563049853372434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12797</v>
      </c>
      <c r="E70" s="479">
        <f>E21-E69</f>
        <v>9322</v>
      </c>
      <c r="F70" s="28">
        <f t="shared" si="4"/>
        <v>0.72845198093303121</v>
      </c>
      <c r="G70" s="66">
        <f>D70+'2017SEP'!G70</f>
        <v>132613</v>
      </c>
      <c r="H70" s="66">
        <f>E70+'2017SEP'!H70</f>
        <v>104932</v>
      </c>
      <c r="I70" s="28">
        <f t="shared" si="5"/>
        <v>0.79126480812590017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14347</v>
      </c>
      <c r="E71" s="487">
        <f>SUM(E69:E70)</f>
        <v>9635</v>
      </c>
      <c r="F71" s="30">
        <f t="shared" si="4"/>
        <v>0.67156896912246467</v>
      </c>
      <c r="G71" s="487">
        <f>SUM(G69:G70)</f>
        <v>141138</v>
      </c>
      <c r="H71" s="487">
        <f>SUM(H69:H70)</f>
        <v>108822</v>
      </c>
      <c r="I71" s="30">
        <f t="shared" si="5"/>
        <v>0.77103260638523996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200</v>
      </c>
      <c r="E72" s="490">
        <v>17</v>
      </c>
      <c r="F72" s="28">
        <f t="shared" si="4"/>
        <v>8.5000000000000006E-2</v>
      </c>
      <c r="G72" s="66">
        <f>D72+'2017SEP'!G72</f>
        <v>1100</v>
      </c>
      <c r="H72" s="66">
        <f>E72+'2017SEP'!H72</f>
        <v>431</v>
      </c>
      <c r="I72" s="28">
        <f t="shared" si="5"/>
        <v>0.39181818181818184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4375</v>
      </c>
      <c r="E73" s="479">
        <f>E23-E72</f>
        <v>2761</v>
      </c>
      <c r="F73" s="28">
        <f t="shared" si="4"/>
        <v>0.63108571428571425</v>
      </c>
      <c r="G73" s="66">
        <f>D73+'2017SEP'!G73</f>
        <v>45333</v>
      </c>
      <c r="H73" s="66">
        <f>E73+'2017SEP'!H73</f>
        <v>36438</v>
      </c>
      <c r="I73" s="28">
        <f t="shared" si="5"/>
        <v>0.80378532195089669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4575</v>
      </c>
      <c r="E74" s="474">
        <f>SUM(E72:E73)</f>
        <v>2778</v>
      </c>
      <c r="F74" s="31">
        <f t="shared" si="4"/>
        <v>0.60721311475409834</v>
      </c>
      <c r="G74" s="474">
        <f>SUM(G72:G73)</f>
        <v>46433</v>
      </c>
      <c r="H74" s="474">
        <f>SUM(H72:H73)</f>
        <v>36869</v>
      </c>
      <c r="I74" s="31">
        <f t="shared" si="5"/>
        <v>0.7940258006159413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1750</v>
      </c>
      <c r="E75" s="473">
        <f>SUM(E69,E72)</f>
        <v>330</v>
      </c>
      <c r="F75" s="32">
        <f t="shared" si="4"/>
        <v>0.18857142857142858</v>
      </c>
      <c r="G75" s="473">
        <f>SUM(G69,G72)</f>
        <v>9625</v>
      </c>
      <c r="H75" s="473">
        <f>SUM(H69,H72)</f>
        <v>4321</v>
      </c>
      <c r="I75" s="32">
        <f t="shared" si="5"/>
        <v>0.44893506493506491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17172</v>
      </c>
      <c r="E76" s="473">
        <f>SUM(E70,E73)</f>
        <v>12083</v>
      </c>
      <c r="F76" s="32">
        <f t="shared" si="4"/>
        <v>0.70364546936873984</v>
      </c>
      <c r="G76" s="473">
        <f>SUM(G70,G73)</f>
        <v>177946</v>
      </c>
      <c r="H76" s="473">
        <f>SUM(H70,H73)</f>
        <v>141370</v>
      </c>
      <c r="I76" s="32">
        <f t="shared" si="5"/>
        <v>0.79445449743180518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18922</v>
      </c>
      <c r="E77" s="481">
        <f>SUM(E75:E76)</f>
        <v>12413</v>
      </c>
      <c r="F77" s="34">
        <f t="shared" si="4"/>
        <v>0.65600887855406409</v>
      </c>
      <c r="G77" s="481">
        <f>SUM(G75:G76)</f>
        <v>187571</v>
      </c>
      <c r="H77" s="481">
        <f>SUM(H75:H76)</f>
        <v>145691</v>
      </c>
      <c r="I77" s="34">
        <f t="shared" si="5"/>
        <v>0.7767245469715468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D84+'2017SEP'!G84</f>
        <v>2</v>
      </c>
      <c r="H84" s="66">
        <f>E84+'2017SEP'!H84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D85+'2017SEP'!G85</f>
        <v>848</v>
      </c>
      <c r="H85" s="66">
        <f>E85+'2017SEP'!H85</f>
        <v>627.5</v>
      </c>
      <c r="I85" s="28">
        <f t="shared" ref="I85:I98" si="7">H85/G85</f>
        <v>0.73997641509433965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850</v>
      </c>
      <c r="H86" s="487">
        <f>SUM(H84:H85)</f>
        <v>630.5</v>
      </c>
      <c r="I86" s="30">
        <f t="shared" si="7"/>
        <v>0.74176470588235299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D87+'2017SEP'!G87</f>
        <v>1</v>
      </c>
      <c r="H87" s="66">
        <f>E87+'2017SEP'!H87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D88+'2017SEP'!G88</f>
        <v>199</v>
      </c>
      <c r="H88" s="66">
        <f>E88+'2017SEP'!H88</f>
        <v>161</v>
      </c>
      <c r="I88" s="28">
        <f t="shared" si="7"/>
        <v>0.80904522613065322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200</v>
      </c>
      <c r="H89" s="487">
        <f>SUM(H87:H88)</f>
        <v>168</v>
      </c>
      <c r="I89" s="30">
        <f t="shared" si="7"/>
        <v>0.84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0</v>
      </c>
      <c r="F90" s="28" t="e">
        <f t="shared" si="6"/>
        <v>#DIV/0!</v>
      </c>
      <c r="G90" s="66">
        <f>D90+'2017SEP'!G90</f>
        <v>2</v>
      </c>
      <c r="H90" s="66">
        <f>E90+'2017SEP'!H90</f>
        <v>21</v>
      </c>
      <c r="I90" s="28">
        <f t="shared" si="7"/>
        <v>10.5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42</v>
      </c>
      <c r="F91" s="28">
        <f t="shared" si="6"/>
        <v>0.82352941176470584</v>
      </c>
      <c r="G91" s="66">
        <f>D91+'2017SEP'!G91</f>
        <v>506</v>
      </c>
      <c r="H91" s="66">
        <f>E91+'2017SEP'!H91</f>
        <v>439.5</v>
      </c>
      <c r="I91" s="28">
        <f t="shared" si="7"/>
        <v>0.86857707509881421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508</v>
      </c>
      <c r="H92" s="487">
        <f>SUM(H90:H91)</f>
        <v>460.5</v>
      </c>
      <c r="I92" s="30">
        <f t="shared" si="7"/>
        <v>0.90649606299212604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5</v>
      </c>
      <c r="F93" s="28" t="e">
        <f t="shared" si="6"/>
        <v>#DIV/0!</v>
      </c>
      <c r="G93" s="66">
        <f>D93+'2017SEP'!G93</f>
        <v>4</v>
      </c>
      <c r="H93" s="66">
        <f>E93+'2017SEP'!H93</f>
        <v>51.5</v>
      </c>
      <c r="I93" s="28">
        <f t="shared" si="7"/>
        <v>12.875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88</v>
      </c>
      <c r="F94" s="28">
        <f t="shared" si="6"/>
        <v>0.94623655913978499</v>
      </c>
      <c r="G94" s="66">
        <f>D94+'2017SEP'!G94</f>
        <v>918</v>
      </c>
      <c r="H94" s="66">
        <f>E94+'2017SEP'!H94</f>
        <v>862</v>
      </c>
      <c r="I94" s="28">
        <f t="shared" si="7"/>
        <v>0.93899782135076248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93</v>
      </c>
      <c r="F95" s="30">
        <f t="shared" si="6"/>
        <v>1</v>
      </c>
      <c r="G95" s="487">
        <f>SUM(G93:G94)</f>
        <v>922</v>
      </c>
      <c r="H95" s="487">
        <f>SUM(H93:H94)</f>
        <v>913.5</v>
      </c>
      <c r="I95" s="30">
        <f t="shared" si="7"/>
        <v>0.99078091106290678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5</v>
      </c>
      <c r="F96" s="31" t="e">
        <f t="shared" si="6"/>
        <v>#DIV/0!</v>
      </c>
      <c r="G96" s="474">
        <f>SUM(G84,G87,G90,G93)</f>
        <v>9</v>
      </c>
      <c r="H96" s="474">
        <f>SUM(H84,H87,H90,H93)</f>
        <v>82.5</v>
      </c>
      <c r="I96" s="31">
        <f t="shared" si="7"/>
        <v>9.1666666666666661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2471</v>
      </c>
      <c r="H97" s="474">
        <f>SUM(H85,H88,H91,H94)</f>
        <v>2090</v>
      </c>
      <c r="I97" s="31">
        <f t="shared" si="7"/>
        <v>0.84581141238365032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201</v>
      </c>
      <c r="F98" s="41">
        <f t="shared" si="6"/>
        <v>0.80722891566265065</v>
      </c>
      <c r="G98" s="475">
        <f>SUM(G96:G97)</f>
        <v>2480</v>
      </c>
      <c r="H98" s="475">
        <f>SUM(H96:H97)</f>
        <v>2172.5</v>
      </c>
      <c r="I98" s="41">
        <f t="shared" si="7"/>
        <v>0.876008064516129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1</v>
      </c>
      <c r="E99" s="64">
        <v>4</v>
      </c>
      <c r="F99" s="499">
        <f>E99/D99</f>
        <v>4</v>
      </c>
      <c r="G99" s="70">
        <f>D99+'2017SEP'!G99</f>
        <v>3</v>
      </c>
      <c r="H99" s="70">
        <f>E99+'2017SEP'!H99</f>
        <v>12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D100+'2017SEP'!G100</f>
        <v>748</v>
      </c>
      <c r="H100" s="71">
        <f>E100+'2017SEP'!H100</f>
        <v>525</v>
      </c>
      <c r="I100" s="28">
        <f t="shared" ref="I100:I109" si="9">H100/G100</f>
        <v>0.70187165775401072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44</v>
      </c>
      <c r="F101" s="30">
        <f t="shared" si="8"/>
        <v>0.57894736842105265</v>
      </c>
      <c r="G101" s="487">
        <f>SUM(G99:G100)</f>
        <v>751</v>
      </c>
      <c r="H101" s="487">
        <f>SUM(H99:H100)</f>
        <v>537</v>
      </c>
      <c r="I101" s="30">
        <f t="shared" si="9"/>
        <v>0.71504660452729696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0</v>
      </c>
      <c r="F102" s="28" t="e">
        <f t="shared" si="8"/>
        <v>#DIV/0!</v>
      </c>
      <c r="G102" s="66">
        <f>D102+'2017SEP'!G102</f>
        <v>2</v>
      </c>
      <c r="H102" s="66">
        <f>E102+'2017SEP'!H102</f>
        <v>19</v>
      </c>
      <c r="I102" s="28">
        <f t="shared" si="9"/>
        <v>9.5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D103+'2017SEP'!G103</f>
        <v>408</v>
      </c>
      <c r="H103" s="66">
        <f>E103+'2017SEP'!H103</f>
        <v>339</v>
      </c>
      <c r="I103" s="28">
        <f t="shared" si="9"/>
        <v>0.83088235294117652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410</v>
      </c>
      <c r="H104" s="487">
        <f>SUM(H102:H103)</f>
        <v>358</v>
      </c>
      <c r="I104" s="30">
        <f t="shared" si="9"/>
        <v>0.87317073170731707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1</v>
      </c>
      <c r="E105" s="474">
        <f>SUM(E99,E102)</f>
        <v>4</v>
      </c>
      <c r="F105" s="30">
        <f t="shared" si="8"/>
        <v>4</v>
      </c>
      <c r="G105" s="474">
        <f>SUM(G99,G102)</f>
        <v>5</v>
      </c>
      <c r="H105" s="474">
        <f>SUM(H99,H102)</f>
        <v>31</v>
      </c>
      <c r="I105" s="30">
        <f t="shared" si="9"/>
        <v>6.2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72</v>
      </c>
      <c r="F106" s="30">
        <f t="shared" si="8"/>
        <v>0.62068965517241381</v>
      </c>
      <c r="G106" s="474">
        <f>SUM(G100,G103)</f>
        <v>1156</v>
      </c>
      <c r="H106" s="474">
        <f>SUM(H100,H103)</f>
        <v>864</v>
      </c>
      <c r="I106" s="30">
        <f t="shared" si="9"/>
        <v>0.74740484429065746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76</v>
      </c>
      <c r="F107" s="41">
        <f t="shared" si="8"/>
        <v>0.6495726495726496</v>
      </c>
      <c r="G107" s="475">
        <f>SUM(G105:G106)</f>
        <v>1161</v>
      </c>
      <c r="H107" s="475">
        <f>SUM(H105:H106)</f>
        <v>895</v>
      </c>
      <c r="I107" s="41">
        <f t="shared" si="9"/>
        <v>0.7708871662360034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9</v>
      </c>
      <c r="F108" s="45">
        <f t="shared" si="8"/>
        <v>9</v>
      </c>
      <c r="G108" s="46">
        <f>SUM(G96,G105)</f>
        <v>14</v>
      </c>
      <c r="H108" s="46">
        <f>SUM(H96,H105)</f>
        <v>113.5</v>
      </c>
      <c r="I108" s="45">
        <f t="shared" si="9"/>
        <v>8.1071428571428577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365</v>
      </c>
      <c r="E109" s="473">
        <f>SUM(E97,E106)</f>
        <v>268</v>
      </c>
      <c r="F109" s="32">
        <f t="shared" si="8"/>
        <v>0.73424657534246573</v>
      </c>
      <c r="G109" s="473">
        <f>SUM(G97,G106)</f>
        <v>3627</v>
      </c>
      <c r="H109" s="473">
        <f>SUM(H97,H106)</f>
        <v>2954</v>
      </c>
      <c r="I109" s="32">
        <f t="shared" si="9"/>
        <v>0.81444720154397576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277</v>
      </c>
      <c r="F110" s="49">
        <f>E110/D110</f>
        <v>0.75683060109289613</v>
      </c>
      <c r="G110" s="472">
        <f>SUM(G108:G109)</f>
        <v>3641</v>
      </c>
      <c r="H110" s="472">
        <f>SUM(H108:H109)</f>
        <v>3067.5</v>
      </c>
      <c r="I110" s="49">
        <f>H110/G110</f>
        <v>0.84248832738258717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864</v>
      </c>
      <c r="D118" s="592"/>
      <c r="E118" s="591">
        <v>19</v>
      </c>
      <c r="F118" s="592"/>
      <c r="G118" s="591">
        <v>2</v>
      </c>
      <c r="H118" s="592"/>
      <c r="I118" s="591">
        <v>2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620</v>
      </c>
      <c r="D123" s="590"/>
      <c r="E123" s="590">
        <v>220</v>
      </c>
      <c r="F123" s="590"/>
      <c r="G123" s="590">
        <v>2.4</v>
      </c>
      <c r="H123" s="590"/>
      <c r="I123" s="772">
        <v>7130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189145</v>
      </c>
      <c r="B138" s="63">
        <f>'2017SEP'!H138</f>
        <v>-44201</v>
      </c>
      <c r="C138" s="63">
        <f>E43-E42</f>
        <v>35489.399999999994</v>
      </c>
      <c r="D138" s="512">
        <v>48301</v>
      </c>
      <c r="E138" s="531" t="s">
        <v>114</v>
      </c>
      <c r="F138" s="531"/>
      <c r="G138" s="531"/>
      <c r="H138" s="513">
        <f>C138+A138+B138-D138</f>
        <v>132132.4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33684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17699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1887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52E4CBB2-24F0-C34F-BD64-EF540C515DF7}">
      <formula1>"Jan, Feb, March, April, May, June, July, Aug, Sep, Oct, Nov, Dec"</formula1>
    </dataValidation>
    <dataValidation type="list" allowBlank="1" showInputMessage="1" showErrorMessage="1" sqref="L3" xr:uid="{FAF0ABA9-785F-DC48-B01F-48B974AB5A5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462B-0729-6E43-A204-CE4D96B9C650}">
  <sheetPr codeName="Sheet12">
    <pageSetUpPr fitToPage="1"/>
  </sheetPr>
  <dimension ref="A1:N150"/>
  <sheetViews>
    <sheetView zoomScale="98" zoomScaleNormal="98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152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43082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0</v>
      </c>
      <c r="E11" s="770" t="s">
        <v>15</v>
      </c>
      <c r="F11" s="691"/>
      <c r="G11" s="691"/>
      <c r="H11" s="691"/>
      <c r="I11" s="692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14402</v>
      </c>
      <c r="E21" s="490">
        <v>9843</v>
      </c>
      <c r="F21" s="14">
        <f t="shared" ref="F21:F26" si="0">E21/D21</f>
        <v>0.68344674350784618</v>
      </c>
      <c r="G21" s="66">
        <f>D21+'2017OCT'!G21</f>
        <v>155540</v>
      </c>
      <c r="H21" s="66">
        <f>E21+'2017OCT'!H21</f>
        <v>118665</v>
      </c>
      <c r="I21" s="14">
        <f t="shared" ref="I21:I26" si="1">H21/G21</f>
        <v>0.76292272084351287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14402</v>
      </c>
      <c r="E22" s="487">
        <f>SUM(E21:E21)</f>
        <v>9843</v>
      </c>
      <c r="F22" s="16">
        <f t="shared" si="0"/>
        <v>0.68344674350784618</v>
      </c>
      <c r="G22" s="487">
        <f>SUM(G21:G21)</f>
        <v>155540</v>
      </c>
      <c r="H22" s="487">
        <f>SUM(H21:H21)</f>
        <v>118665</v>
      </c>
      <c r="I22" s="16">
        <f t="shared" si="1"/>
        <v>0.76292272084351287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4560</v>
      </c>
      <c r="E23" s="490">
        <v>2778</v>
      </c>
      <c r="F23" s="14">
        <f t="shared" si="0"/>
        <v>0.60921052631578942</v>
      </c>
      <c r="G23" s="66">
        <f>D23+'2017OCT'!G23</f>
        <v>50993</v>
      </c>
      <c r="H23" s="66">
        <f>E23+'2017OCT'!H23</f>
        <v>39647</v>
      </c>
      <c r="I23" s="14">
        <f t="shared" si="1"/>
        <v>0.7774988723942502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4560</v>
      </c>
      <c r="E25" s="487">
        <f>SUM(E23:E24)</f>
        <v>2778</v>
      </c>
      <c r="F25" s="16">
        <f t="shared" si="0"/>
        <v>0.60921052631578942</v>
      </c>
      <c r="G25" s="487">
        <f>SUM(G23:G24)</f>
        <v>50993</v>
      </c>
      <c r="H25" s="487">
        <f>SUM(H23:H24)</f>
        <v>39647</v>
      </c>
      <c r="I25" s="16">
        <f t="shared" si="1"/>
        <v>0.7774988723942502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18962</v>
      </c>
      <c r="E26" s="489">
        <f>SUM(E22,E25)</f>
        <v>12621</v>
      </c>
      <c r="F26" s="17">
        <f t="shared" si="0"/>
        <v>0.66559434658791272</v>
      </c>
      <c r="G26" s="489">
        <f>SUM(G22,G25)</f>
        <v>206533</v>
      </c>
      <c r="H26" s="489">
        <f>SUM(H22,H25)</f>
        <v>158312</v>
      </c>
      <c r="I26" s="17">
        <f t="shared" si="1"/>
        <v>0.76652157282371336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3711</v>
      </c>
      <c r="F28" s="14">
        <f>E28/D28</f>
        <v>18.555</v>
      </c>
      <c r="G28" s="66">
        <f>D28+'2017OCT'!G28</f>
        <v>2200</v>
      </c>
      <c r="H28" s="66">
        <f>E28+'2017OCT'!H28</f>
        <v>12434</v>
      </c>
      <c r="I28" s="14">
        <f>H28/G28</f>
        <v>5.6518181818181814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3711</v>
      </c>
      <c r="F30" s="14">
        <f t="shared" si="2"/>
        <v>18.555</v>
      </c>
      <c r="G30" s="487">
        <f>SUM(G28:G29)</f>
        <v>2200</v>
      </c>
      <c r="H30" s="487">
        <f>SUM(H28:H29)</f>
        <v>12434</v>
      </c>
      <c r="I30" s="14">
        <f t="shared" si="3"/>
        <v>5.6518181818181814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11682</v>
      </c>
      <c r="F31" s="14">
        <f t="shared" si="2"/>
        <v>3.1572972972972972</v>
      </c>
      <c r="G31" s="66">
        <f>D31+'2017OCT'!G31</f>
        <v>33200</v>
      </c>
      <c r="H31" s="66">
        <f>E31+'2017OCT'!H31</f>
        <v>75832</v>
      </c>
      <c r="I31" s="14">
        <f t="shared" si="3"/>
        <v>2.2840963855421688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15393</v>
      </c>
      <c r="F32" s="14">
        <f t="shared" si="2"/>
        <v>3.9469230769230768</v>
      </c>
      <c r="G32" s="485">
        <f>SUM(G30,G31)</f>
        <v>35400</v>
      </c>
      <c r="H32" s="485">
        <f>SUM(H30,H31)</f>
        <v>88266</v>
      </c>
      <c r="I32" s="14">
        <f t="shared" si="3"/>
        <v>2.4933898305084745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D33+'2017OCT'!G33</f>
        <v>385000</v>
      </c>
      <c r="H33" s="66">
        <f>E33+'2017OCT'!H33</f>
        <v>86945</v>
      </c>
      <c r="I33" s="14">
        <f t="shared" si="3"/>
        <v>0.22583116883116883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385000</v>
      </c>
      <c r="H35" s="479">
        <f>SUM(H33:H34)</f>
        <v>86945</v>
      </c>
      <c r="I35" s="16">
        <f t="shared" si="3"/>
        <v>0.22583116883116883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D36+'2017OCT'!G36</f>
        <v>17776</v>
      </c>
      <c r="H36" s="66">
        <f>E36+'2017OCT'!H36</f>
        <v>28435</v>
      </c>
      <c r="I36" s="14">
        <f t="shared" si="3"/>
        <v>1.5996287128712872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17776</v>
      </c>
      <c r="H38" s="487">
        <f>SUM(H36:H37)</f>
        <v>28435</v>
      </c>
      <c r="I38" s="16">
        <f t="shared" si="3"/>
        <v>1.5996287128712872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402776</v>
      </c>
      <c r="H39" s="485">
        <f>SUM(H35,H38)</f>
        <v>115380</v>
      </c>
      <c r="I39" s="19">
        <f t="shared" si="3"/>
        <v>0.28646195403896957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10440</v>
      </c>
      <c r="F40" s="21">
        <f t="shared" si="2"/>
        <v>34.799999999999997</v>
      </c>
      <c r="G40" s="68">
        <f>D40+'2017OCT'!G40</f>
        <v>3300</v>
      </c>
      <c r="H40" s="77">
        <f>E40+'2017OCT'!H40</f>
        <v>30463.4</v>
      </c>
      <c r="I40" s="21">
        <f t="shared" si="3"/>
        <v>9.2313333333333336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D41+'2017OCT'!G41</f>
        <v>47250</v>
      </c>
      <c r="H41" s="68">
        <f>E41+'2017OCT'!H41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v>0</v>
      </c>
      <c r="F42" s="21">
        <f t="shared" si="2"/>
        <v>0</v>
      </c>
      <c r="G42" s="68">
        <f>D42+'2017OCT'!G42</f>
        <v>187000</v>
      </c>
      <c r="H42" s="68">
        <f>E42+'2017OCT'!H42</f>
        <v>342145</v>
      </c>
      <c r="I42" s="21">
        <f t="shared" si="3"/>
        <v>1.8296524064171122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84134</v>
      </c>
      <c r="E43" s="78">
        <f>SUM(E26,E32,E39,E40:E42)</f>
        <v>125399</v>
      </c>
      <c r="F43" s="22">
        <f t="shared" si="2"/>
        <v>1.4904675874200679</v>
      </c>
      <c r="G43" s="484">
        <f>SUM(G26,G32,G39,G40:G42)</f>
        <v>882259</v>
      </c>
      <c r="H43" s="484">
        <f>SUM(H26,H32,H39,H40:H42)</f>
        <v>734566.40000000002</v>
      </c>
      <c r="I43" s="22">
        <f t="shared" si="3"/>
        <v>0.83259723051847589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83834</v>
      </c>
      <c r="E44" s="484">
        <f>E43-E40</f>
        <v>114959</v>
      </c>
      <c r="F44" s="22">
        <f t="shared" si="2"/>
        <v>1.371269413364506</v>
      </c>
      <c r="G44" s="484">
        <f>G43-G40</f>
        <v>878959</v>
      </c>
      <c r="H44" s="484">
        <f>H43-H40</f>
        <v>704103</v>
      </c>
      <c r="I44" s="22">
        <f t="shared" si="3"/>
        <v>0.80106466854540426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66834</v>
      </c>
      <c r="E45" s="482">
        <f>E44-E42</f>
        <v>114959</v>
      </c>
      <c r="F45" s="23">
        <f t="shared" si="2"/>
        <v>1.7200676302480773</v>
      </c>
      <c r="G45" s="482">
        <f>G44-G42</f>
        <v>691959</v>
      </c>
      <c r="H45" s="482">
        <f>H44-H42</f>
        <v>361958</v>
      </c>
      <c r="I45" s="23">
        <f t="shared" si="3"/>
        <v>0.52309168606810519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25</v>
      </c>
      <c r="F51" s="28">
        <f t="shared" ref="F51:F77" si="4">E51/D51</f>
        <v>5</v>
      </c>
      <c r="G51" s="66">
        <f>D51+'2017OCT'!G51</f>
        <v>55</v>
      </c>
      <c r="H51" s="66">
        <f>E51+'2017OCT'!H51</f>
        <v>147</v>
      </c>
      <c r="I51" s="28">
        <f t="shared" ref="I51:I77" si="5">H51/G51</f>
        <v>2.6727272727272728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388</v>
      </c>
      <c r="E52" s="490">
        <v>258</v>
      </c>
      <c r="F52" s="28">
        <f t="shared" si="4"/>
        <v>0.66494845360824739</v>
      </c>
      <c r="G52" s="66">
        <f>D52+'2017OCT'!G52</f>
        <v>4443</v>
      </c>
      <c r="H52" s="66">
        <f>E52+'2017OCT'!H52</f>
        <v>3844</v>
      </c>
      <c r="I52" s="28">
        <f t="shared" si="5"/>
        <v>0.86518118388476251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393</v>
      </c>
      <c r="E53" s="487">
        <f>SUM(E51:E52)</f>
        <v>283</v>
      </c>
      <c r="F53" s="30">
        <f t="shared" si="4"/>
        <v>0.72010178117048351</v>
      </c>
      <c r="G53" s="487">
        <f>SUM(G51:G52)</f>
        <v>4498</v>
      </c>
      <c r="H53" s="487">
        <f>SUM(H51:H52)</f>
        <v>3991</v>
      </c>
      <c r="I53" s="30">
        <f t="shared" si="5"/>
        <v>0.88728323699421963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D54+'2017OCT'!G54</f>
        <v>22</v>
      </c>
      <c r="H54" s="66">
        <f>E54+'2017OCT'!H54</f>
        <v>221</v>
      </c>
      <c r="I54" s="28">
        <f t="shared" si="5"/>
        <v>10.045454545454545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289</v>
      </c>
      <c r="E55" s="490">
        <v>206</v>
      </c>
      <c r="F55" s="28">
        <f t="shared" si="4"/>
        <v>0.71280276816609001</v>
      </c>
      <c r="G55" s="66">
        <f>D55+'2017OCT'!G55</f>
        <v>3312</v>
      </c>
      <c r="H55" s="66">
        <f>E55+'2017OCT'!H55</f>
        <v>3277</v>
      </c>
      <c r="I55" s="28">
        <f t="shared" si="5"/>
        <v>0.98943236714975846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291</v>
      </c>
      <c r="E56" s="474">
        <f>SUM(E54:E55)</f>
        <v>206</v>
      </c>
      <c r="F56" s="28">
        <f t="shared" si="4"/>
        <v>0.70790378006872856</v>
      </c>
      <c r="G56" s="474">
        <f>SUM(G54:G55)</f>
        <v>3334</v>
      </c>
      <c r="H56" s="474">
        <f>SUM(H54:H55)</f>
        <v>3498</v>
      </c>
      <c r="I56" s="31">
        <f t="shared" si="5"/>
        <v>1.0491901619676065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25</v>
      </c>
      <c r="F57" s="32">
        <f t="shared" si="4"/>
        <v>3.5714285714285716</v>
      </c>
      <c r="G57" s="473">
        <f>SUM(G51,G54)</f>
        <v>77</v>
      </c>
      <c r="H57" s="473">
        <f>SUM(H51,H54)</f>
        <v>368</v>
      </c>
      <c r="I57" s="32">
        <f t="shared" si="5"/>
        <v>4.779220779220779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677</v>
      </c>
      <c r="E58" s="473">
        <f>SUM(E52,E55)</f>
        <v>464</v>
      </c>
      <c r="F58" s="32">
        <f t="shared" si="4"/>
        <v>0.68537666174298373</v>
      </c>
      <c r="G58" s="473">
        <f>SUM(G52,G55)</f>
        <v>7755</v>
      </c>
      <c r="H58" s="473">
        <f>SUM(H52,H55)</f>
        <v>7121</v>
      </c>
      <c r="I58" s="32">
        <f t="shared" si="5"/>
        <v>0.91824629271437785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684</v>
      </c>
      <c r="E59" s="481">
        <f>SUM(E57:E58)</f>
        <v>489</v>
      </c>
      <c r="F59" s="33">
        <f t="shared" si="4"/>
        <v>0.71491228070175439</v>
      </c>
      <c r="G59" s="481">
        <f>SUM(G57:G58)</f>
        <v>7832</v>
      </c>
      <c r="H59" s="481">
        <f>SUM(H57:H58)</f>
        <v>7489</v>
      </c>
      <c r="I59" s="33">
        <f t="shared" si="5"/>
        <v>0.95620531154239019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87</v>
      </c>
      <c r="F60" s="28">
        <f t="shared" si="4"/>
        <v>5.4375</v>
      </c>
      <c r="G60" s="66">
        <f>D60+'2017OCT'!G60</f>
        <v>176</v>
      </c>
      <c r="H60" s="66">
        <f>E60+'2017OCT'!H60</f>
        <v>476</v>
      </c>
      <c r="I60" s="28">
        <f t="shared" si="5"/>
        <v>2.7045454545454546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1270</v>
      </c>
      <c r="E61" s="479">
        <f>E70/10</f>
        <v>897.3</v>
      </c>
      <c r="F61" s="28">
        <f t="shared" si="4"/>
        <v>0.70653543307086608</v>
      </c>
      <c r="G61" s="66">
        <f>D61+'2017OCT'!G61</f>
        <v>14530</v>
      </c>
      <c r="H61" s="66">
        <f>E61+'2017OCT'!H61</f>
        <v>11390.5</v>
      </c>
      <c r="I61" s="28">
        <f t="shared" si="5"/>
        <v>0.78392980041293869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1286</v>
      </c>
      <c r="E62" s="487">
        <f>SUM(E60:E61)</f>
        <v>984.3</v>
      </c>
      <c r="F62" s="30">
        <f t="shared" si="4"/>
        <v>0.76539657853810261</v>
      </c>
      <c r="G62" s="487">
        <f>SUM(G60:G61)</f>
        <v>14706</v>
      </c>
      <c r="H62" s="487">
        <f>SUM(H60:H61)</f>
        <v>11866.5</v>
      </c>
      <c r="I62" s="30">
        <f t="shared" si="5"/>
        <v>0.80691554467564264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D63+'2017OCT'!G63</f>
        <v>22</v>
      </c>
      <c r="H63" s="66">
        <f>E63+'2017OCT'!H63</f>
        <v>43.1</v>
      </c>
      <c r="I63" s="28">
        <f t="shared" si="5"/>
        <v>1.9590909090909092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434</v>
      </c>
      <c r="E64" s="479">
        <f>E73/10</f>
        <v>277.8</v>
      </c>
      <c r="F64" s="28">
        <f t="shared" si="4"/>
        <v>0.6400921658986175</v>
      </c>
      <c r="G64" s="66">
        <f>D64+'2017OCT'!G64</f>
        <v>4967</v>
      </c>
      <c r="H64" s="66">
        <f>E64+'2017OCT'!H64</f>
        <v>3921.6</v>
      </c>
      <c r="I64" s="28">
        <f t="shared" si="5"/>
        <v>0.78953090396617676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436</v>
      </c>
      <c r="E65" s="474">
        <f>SUM(E63:E64)</f>
        <v>277.8</v>
      </c>
      <c r="F65" s="31">
        <f t="shared" si="4"/>
        <v>0.63715596330275237</v>
      </c>
      <c r="G65" s="474">
        <f>SUM(G63:G64)</f>
        <v>4989</v>
      </c>
      <c r="H65" s="474">
        <f>SUM(H63:H64)</f>
        <v>3964.7</v>
      </c>
      <c r="I65" s="31">
        <f t="shared" si="5"/>
        <v>0.79468831429144116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87</v>
      </c>
      <c r="F66" s="32">
        <f t="shared" si="4"/>
        <v>4.833333333333333</v>
      </c>
      <c r="G66" s="473">
        <f>SUM(G60,G63)</f>
        <v>198</v>
      </c>
      <c r="H66" s="473">
        <f>SUM(H60,H63)</f>
        <v>519.1</v>
      </c>
      <c r="I66" s="32">
        <f t="shared" si="5"/>
        <v>2.6217171717171719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1704</v>
      </c>
      <c r="E67" s="473">
        <f>SUM(E61,E64)</f>
        <v>1175.0999999999999</v>
      </c>
      <c r="F67" s="32">
        <f t="shared" si="4"/>
        <v>0.68961267605633803</v>
      </c>
      <c r="G67" s="473">
        <f>SUM(G61,G64)</f>
        <v>19497</v>
      </c>
      <c r="H67" s="473">
        <f>SUM(H61,H64)</f>
        <v>15312.1</v>
      </c>
      <c r="I67" s="32">
        <f t="shared" si="5"/>
        <v>0.78535672154690472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1722</v>
      </c>
      <c r="E68" s="481">
        <f>SUM(E66:E67)</f>
        <v>1262.0999999999999</v>
      </c>
      <c r="F68" s="34">
        <f t="shared" si="4"/>
        <v>0.73292682926829267</v>
      </c>
      <c r="G68" s="481">
        <f>SUM(G66:G67)</f>
        <v>19695</v>
      </c>
      <c r="H68" s="481">
        <f>SUM(H66:H67)</f>
        <v>15831.2</v>
      </c>
      <c r="I68" s="34">
        <f t="shared" si="5"/>
        <v>0.80381822797664382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1705</v>
      </c>
      <c r="E69" s="490">
        <v>870</v>
      </c>
      <c r="F69" s="28">
        <f t="shared" si="4"/>
        <v>0.51026392961876832</v>
      </c>
      <c r="G69" s="66">
        <f>D69+'2017OCT'!G69</f>
        <v>10230</v>
      </c>
      <c r="H69" s="66">
        <f>E69+'2017OCT'!H69</f>
        <v>4760</v>
      </c>
      <c r="I69" s="28">
        <f t="shared" si="5"/>
        <v>0.46529814271749753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12697</v>
      </c>
      <c r="E70" s="479">
        <f>E21-E69</f>
        <v>8973</v>
      </c>
      <c r="F70" s="28">
        <f t="shared" si="4"/>
        <v>0.70670237063873353</v>
      </c>
      <c r="G70" s="66">
        <f>D70+'2017OCT'!G70</f>
        <v>145310</v>
      </c>
      <c r="H70" s="66">
        <f>E70+'2017OCT'!H70</f>
        <v>113905</v>
      </c>
      <c r="I70" s="28">
        <f t="shared" si="5"/>
        <v>0.78387585162755491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14402</v>
      </c>
      <c r="E71" s="487">
        <f>SUM(E69:E70)</f>
        <v>9843</v>
      </c>
      <c r="F71" s="30">
        <f t="shared" si="4"/>
        <v>0.68344674350784618</v>
      </c>
      <c r="G71" s="487">
        <f>SUM(G69:G70)</f>
        <v>155540</v>
      </c>
      <c r="H71" s="487">
        <f>SUM(H69:H70)</f>
        <v>118665</v>
      </c>
      <c r="I71" s="30">
        <f t="shared" si="5"/>
        <v>0.76292272084351287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220</v>
      </c>
      <c r="E72" s="490">
        <v>0</v>
      </c>
      <c r="F72" s="28">
        <f t="shared" si="4"/>
        <v>0</v>
      </c>
      <c r="G72" s="66">
        <f>D72+'2017OCT'!G72</f>
        <v>1320</v>
      </c>
      <c r="H72" s="66">
        <f>E72+'2017OCT'!H72</f>
        <v>431</v>
      </c>
      <c r="I72" s="28">
        <f t="shared" si="5"/>
        <v>0.32651515151515154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4340</v>
      </c>
      <c r="E73" s="479">
        <f>E23-E72</f>
        <v>2778</v>
      </c>
      <c r="F73" s="28">
        <f t="shared" si="4"/>
        <v>0.6400921658986175</v>
      </c>
      <c r="G73" s="66">
        <f>D73+'2017OCT'!G73</f>
        <v>49673</v>
      </c>
      <c r="H73" s="66">
        <f>E73+'2017OCT'!H73</f>
        <v>39216</v>
      </c>
      <c r="I73" s="28">
        <f t="shared" si="5"/>
        <v>0.78948322026050366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4560</v>
      </c>
      <c r="E74" s="474">
        <f>SUM(E72:E73)</f>
        <v>2778</v>
      </c>
      <c r="F74" s="31">
        <f t="shared" si="4"/>
        <v>0.60921052631578942</v>
      </c>
      <c r="G74" s="474">
        <f>SUM(G72:G73)</f>
        <v>50993</v>
      </c>
      <c r="H74" s="474">
        <f>SUM(H72:H73)</f>
        <v>39647</v>
      </c>
      <c r="I74" s="31">
        <f t="shared" si="5"/>
        <v>0.7774988723942502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1925</v>
      </c>
      <c r="E75" s="473">
        <f>SUM(E69,E72)</f>
        <v>870</v>
      </c>
      <c r="F75" s="32">
        <f t="shared" si="4"/>
        <v>0.45194805194805193</v>
      </c>
      <c r="G75" s="473">
        <f>SUM(G69,G72)</f>
        <v>11550</v>
      </c>
      <c r="H75" s="473">
        <f>SUM(H69,H72)</f>
        <v>5191</v>
      </c>
      <c r="I75" s="32">
        <f t="shared" si="5"/>
        <v>0.44943722943722941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17037</v>
      </c>
      <c r="E76" s="473">
        <f>SUM(E70,E73)</f>
        <v>11751</v>
      </c>
      <c r="F76" s="32">
        <f t="shared" si="4"/>
        <v>0.68973410811762637</v>
      </c>
      <c r="G76" s="473">
        <f>SUM(G70,G73)</f>
        <v>194983</v>
      </c>
      <c r="H76" s="473">
        <f>SUM(H70,H73)</f>
        <v>153121</v>
      </c>
      <c r="I76" s="32">
        <f t="shared" si="5"/>
        <v>0.78530435986727043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18962</v>
      </c>
      <c r="E77" s="481">
        <f>SUM(E75:E76)</f>
        <v>12621</v>
      </c>
      <c r="F77" s="34">
        <f t="shared" si="4"/>
        <v>0.66559434658791272</v>
      </c>
      <c r="G77" s="481">
        <f>SUM(G75:G76)</f>
        <v>206533</v>
      </c>
      <c r="H77" s="481">
        <f>SUM(H75:H76)</f>
        <v>158312</v>
      </c>
      <c r="I77" s="34">
        <f t="shared" si="5"/>
        <v>0.76652157282371336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1</v>
      </c>
      <c r="F84" s="498" t="e">
        <f>E84/D84</f>
        <v>#DIV/0!</v>
      </c>
      <c r="G84" s="66">
        <f>D84+'2017OCT'!G84</f>
        <v>2</v>
      </c>
      <c r="H84" s="66">
        <f>E84+'2017OCT'!H84</f>
        <v>4</v>
      </c>
      <c r="I84" s="498">
        <f>H84/G84</f>
        <v>2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D85+'2017OCT'!G85</f>
        <v>933</v>
      </c>
      <c r="H85" s="66">
        <f>E85+'2017OCT'!H85</f>
        <v>667.5</v>
      </c>
      <c r="I85" s="28">
        <f t="shared" ref="I85:I98" si="7">H85/G85</f>
        <v>0.71543408360128613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41</v>
      </c>
      <c r="F86" s="30">
        <f t="shared" si="6"/>
        <v>0.4823529411764706</v>
      </c>
      <c r="G86" s="487">
        <f>SUM(G84:G85)</f>
        <v>935</v>
      </c>
      <c r="H86" s="487">
        <f>SUM(H84:H85)</f>
        <v>671.5</v>
      </c>
      <c r="I86" s="30">
        <f t="shared" si="7"/>
        <v>0.71818181818181814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D87+'2017OCT'!G87</f>
        <v>1</v>
      </c>
      <c r="H87" s="66">
        <f>E87+'2017OCT'!H87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D88+'2017OCT'!G88</f>
        <v>219</v>
      </c>
      <c r="H88" s="66">
        <f>E88+'2017OCT'!H88</f>
        <v>172</v>
      </c>
      <c r="I88" s="28">
        <f t="shared" si="7"/>
        <v>0.78538812785388123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220</v>
      </c>
      <c r="H89" s="487">
        <f>SUM(H87:H88)</f>
        <v>179</v>
      </c>
      <c r="I89" s="30">
        <f t="shared" si="7"/>
        <v>0.8136363636363636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9</v>
      </c>
      <c r="F90" s="28" t="e">
        <f t="shared" si="6"/>
        <v>#DIV/0!</v>
      </c>
      <c r="G90" s="66">
        <f>D90+'2017OCT'!G90</f>
        <v>2</v>
      </c>
      <c r="H90" s="66">
        <f>E90+'2017OCT'!H90</f>
        <v>30</v>
      </c>
      <c r="I90" s="28">
        <f t="shared" si="7"/>
        <v>15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D91+'2017OCT'!G91</f>
        <v>557</v>
      </c>
      <c r="H91" s="66">
        <f>E91+'2017OCT'!H91</f>
        <v>480.5</v>
      </c>
      <c r="I91" s="28">
        <f t="shared" si="7"/>
        <v>0.86265709156193893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50</v>
      </c>
      <c r="F92" s="30">
        <f t="shared" si="6"/>
        <v>0.98039215686274506</v>
      </c>
      <c r="G92" s="487">
        <f>SUM(G90:G91)</f>
        <v>559</v>
      </c>
      <c r="H92" s="487">
        <f>SUM(H90:H91)</f>
        <v>510.5</v>
      </c>
      <c r="I92" s="30">
        <f t="shared" si="7"/>
        <v>0.91323792486583188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D93+'2017OCT'!G93</f>
        <v>4</v>
      </c>
      <c r="H93" s="66">
        <f>E93+'2017OCT'!H93</f>
        <v>57.5</v>
      </c>
      <c r="I93" s="28">
        <f t="shared" si="7"/>
        <v>14.375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90</v>
      </c>
      <c r="F94" s="28">
        <f t="shared" si="6"/>
        <v>0.967741935483871</v>
      </c>
      <c r="G94" s="66">
        <f>D94+'2017OCT'!G94</f>
        <v>1011</v>
      </c>
      <c r="H94" s="66">
        <f>E94+'2017OCT'!H94</f>
        <v>952</v>
      </c>
      <c r="I94" s="28">
        <f t="shared" si="7"/>
        <v>0.94164193867457957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96</v>
      </c>
      <c r="F95" s="30">
        <f t="shared" si="6"/>
        <v>1.032258064516129</v>
      </c>
      <c r="G95" s="487">
        <f>SUM(G93:G94)</f>
        <v>1015</v>
      </c>
      <c r="H95" s="487">
        <f>SUM(H93:H94)</f>
        <v>1009.5</v>
      </c>
      <c r="I95" s="30">
        <f t="shared" si="7"/>
        <v>0.99458128078817731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16</v>
      </c>
      <c r="F96" s="31" t="e">
        <f t="shared" si="6"/>
        <v>#DIV/0!</v>
      </c>
      <c r="G96" s="474">
        <f>SUM(G84,G87,G90,G93)</f>
        <v>9</v>
      </c>
      <c r="H96" s="474">
        <f>SUM(H84,H87,H90,H93)</f>
        <v>98.5</v>
      </c>
      <c r="I96" s="31">
        <f t="shared" si="7"/>
        <v>10.944444444444445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182</v>
      </c>
      <c r="F97" s="31">
        <f t="shared" si="6"/>
        <v>0.73092369477911645</v>
      </c>
      <c r="G97" s="474">
        <f>SUM(G85,G88,G91,G94)</f>
        <v>2720</v>
      </c>
      <c r="H97" s="474">
        <f>SUM(H85,H88,H91,H94)</f>
        <v>2272</v>
      </c>
      <c r="I97" s="31">
        <f t="shared" si="7"/>
        <v>0.83529411764705885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198</v>
      </c>
      <c r="F98" s="41">
        <f t="shared" si="6"/>
        <v>0.79518072289156627</v>
      </c>
      <c r="G98" s="475">
        <f>SUM(G96:G97)</f>
        <v>2729</v>
      </c>
      <c r="H98" s="475">
        <f>SUM(H96:H97)</f>
        <v>2370.5</v>
      </c>
      <c r="I98" s="41">
        <f t="shared" si="7"/>
        <v>0.86863319897398317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4</v>
      </c>
      <c r="F99" s="499" t="e">
        <f>E99/D99</f>
        <v>#DIV/0!</v>
      </c>
      <c r="G99" s="70">
        <f>D99+'2017OCT'!G99</f>
        <v>3</v>
      </c>
      <c r="H99" s="70">
        <f>E99+'2017OCT'!H99</f>
        <v>16</v>
      </c>
      <c r="I99" s="499">
        <f>H99/G99</f>
        <v>5.333333333333333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76</v>
      </c>
      <c r="E100" s="490">
        <v>44</v>
      </c>
      <c r="F100" s="28">
        <f t="shared" ref="F100:F109" si="8">E100/D100</f>
        <v>0.57894736842105265</v>
      </c>
      <c r="G100" s="70">
        <f>D100+'2017OCT'!G100</f>
        <v>824</v>
      </c>
      <c r="H100" s="71">
        <f>E100+'2017OCT'!H100</f>
        <v>569</v>
      </c>
      <c r="I100" s="28">
        <f t="shared" ref="I100:I109" si="9">H100/G100</f>
        <v>0.69053398058252424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48</v>
      </c>
      <c r="F101" s="30">
        <f t="shared" si="8"/>
        <v>0.63157894736842102</v>
      </c>
      <c r="G101" s="487">
        <f>SUM(G99:G100)</f>
        <v>827</v>
      </c>
      <c r="H101" s="487">
        <f>SUM(H99:H100)</f>
        <v>585</v>
      </c>
      <c r="I101" s="30">
        <f t="shared" si="9"/>
        <v>0.70737605804111248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5</v>
      </c>
      <c r="F102" s="28" t="e">
        <f t="shared" si="8"/>
        <v>#DIV/0!</v>
      </c>
      <c r="G102" s="66">
        <f>D102+'2017OCT'!G102</f>
        <v>2</v>
      </c>
      <c r="H102" s="66">
        <f>E102+'2017OCT'!H102</f>
        <v>24</v>
      </c>
      <c r="I102" s="28">
        <f t="shared" si="9"/>
        <v>12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D103+'2017OCT'!G103</f>
        <v>449</v>
      </c>
      <c r="H103" s="66">
        <f>E103+'2017OCT'!H103</f>
        <v>371</v>
      </c>
      <c r="I103" s="28">
        <f t="shared" si="9"/>
        <v>0.82628062360801779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37</v>
      </c>
      <c r="F104" s="30">
        <f t="shared" si="8"/>
        <v>0.90243902439024393</v>
      </c>
      <c r="G104" s="487">
        <f>SUM(G102:G103)</f>
        <v>451</v>
      </c>
      <c r="H104" s="487">
        <f>SUM(H102:H103)</f>
        <v>395</v>
      </c>
      <c r="I104" s="30">
        <f t="shared" si="9"/>
        <v>0.87583148558758317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9</v>
      </c>
      <c r="F105" s="30" t="e">
        <f t="shared" si="8"/>
        <v>#DIV/0!</v>
      </c>
      <c r="G105" s="474">
        <f>SUM(G99,G102)</f>
        <v>5</v>
      </c>
      <c r="H105" s="474">
        <f>SUM(H99,H102)</f>
        <v>40</v>
      </c>
      <c r="I105" s="30">
        <f t="shared" si="9"/>
        <v>8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117</v>
      </c>
      <c r="E106" s="474">
        <f>SUM(E100,E103)</f>
        <v>76</v>
      </c>
      <c r="F106" s="30">
        <f t="shared" si="8"/>
        <v>0.6495726495726496</v>
      </c>
      <c r="G106" s="474">
        <f>SUM(G100,G103)</f>
        <v>1273</v>
      </c>
      <c r="H106" s="474">
        <f>SUM(H100,H103)</f>
        <v>940</v>
      </c>
      <c r="I106" s="30">
        <f t="shared" si="9"/>
        <v>0.73841319717203457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85</v>
      </c>
      <c r="F107" s="41">
        <f t="shared" si="8"/>
        <v>0.72649572649572647</v>
      </c>
      <c r="G107" s="475">
        <f>SUM(G105:G106)</f>
        <v>1278</v>
      </c>
      <c r="H107" s="475">
        <f>SUM(H105:H106)</f>
        <v>980</v>
      </c>
      <c r="I107" s="41">
        <f t="shared" si="9"/>
        <v>0.76682316118935834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25</v>
      </c>
      <c r="F108" s="45" t="e">
        <f t="shared" si="8"/>
        <v>#DIV/0!</v>
      </c>
      <c r="G108" s="46">
        <f>SUM(G96,G105)</f>
        <v>14</v>
      </c>
      <c r="H108" s="46">
        <f>SUM(H96,H105)</f>
        <v>138.5</v>
      </c>
      <c r="I108" s="45">
        <f t="shared" si="9"/>
        <v>9.8928571428571423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366</v>
      </c>
      <c r="E109" s="473">
        <f>SUM(E97,E106)</f>
        <v>258</v>
      </c>
      <c r="F109" s="32">
        <f t="shared" si="8"/>
        <v>0.70491803278688525</v>
      </c>
      <c r="G109" s="473">
        <f>SUM(G97,G106)</f>
        <v>3993</v>
      </c>
      <c r="H109" s="473">
        <f>SUM(H97,H106)</f>
        <v>3212</v>
      </c>
      <c r="I109" s="32">
        <f t="shared" si="9"/>
        <v>0.80440771349862261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283</v>
      </c>
      <c r="F110" s="49">
        <f>E110/D110</f>
        <v>0.77322404371584696</v>
      </c>
      <c r="G110" s="472">
        <f>SUM(G108:G109)</f>
        <v>4007</v>
      </c>
      <c r="H110" s="472">
        <f>SUM(H108:H109)</f>
        <v>3350.5</v>
      </c>
      <c r="I110" s="49">
        <f>H110/G110</f>
        <v>0.83616171699525832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859</v>
      </c>
      <c r="D118" s="592"/>
      <c r="E118" s="591">
        <v>16</v>
      </c>
      <c r="F118" s="592"/>
      <c r="G118" s="591">
        <v>1</v>
      </c>
      <c r="H118" s="592"/>
      <c r="I118" s="591">
        <v>1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639</v>
      </c>
      <c r="D123" s="590"/>
      <c r="E123" s="590">
        <v>446</v>
      </c>
      <c r="F123" s="590"/>
      <c r="G123" s="590">
        <v>0</v>
      </c>
      <c r="H123" s="590"/>
      <c r="I123" s="772">
        <v>9355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'2017OCT'!H138</f>
        <v>132132.4</v>
      </c>
      <c r="C138" s="63">
        <f>E43-E42</f>
        <v>125399</v>
      </c>
      <c r="D138" s="512">
        <v>48301</v>
      </c>
      <c r="E138" s="531" t="s">
        <v>114</v>
      </c>
      <c r="F138" s="531"/>
      <c r="G138" s="531"/>
      <c r="H138" s="513">
        <f>C138+A138+B138-D138</f>
        <v>209230.4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25659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17824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1889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839F7918-3B1B-1642-9FD6-7B7C1C43B074}">
      <formula1>"USA, JAPAN"</formula1>
    </dataValidation>
    <dataValidation type="list" allowBlank="1" showInputMessage="1" showErrorMessage="1" sqref="G1" xr:uid="{9E6EE3F6-5AEB-5A42-AD8A-880FBB445D03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5616-7DFF-7142-8B5D-3196885CB321}">
  <sheetPr codeName="Sheet13">
    <pageSetUpPr fitToPage="1"/>
  </sheetPr>
  <dimension ref="A1:N150"/>
  <sheetViews>
    <sheetView topLeftCell="A123" zoomScale="98" zoomScaleNormal="98" zoomScaleSheetLayoutView="85" workbookViewId="0">
      <selection activeCell="C137" sqref="C13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153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0</v>
      </c>
      <c r="E11" s="770" t="s">
        <v>15</v>
      </c>
      <c r="F11" s="691"/>
      <c r="G11" s="691"/>
      <c r="H11" s="691"/>
      <c r="I11" s="692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14458</v>
      </c>
      <c r="E21" s="490">
        <v>10922</v>
      </c>
      <c r="F21" s="14">
        <f t="shared" ref="F21:F26" si="0">E21/D21</f>
        <v>0.75542951998893348</v>
      </c>
      <c r="G21" s="66">
        <f>D21+'2017NOV'!G21</f>
        <v>169998</v>
      </c>
      <c r="H21" s="66">
        <f>E21+'2017NOV'!H21</f>
        <v>129587</v>
      </c>
      <c r="I21" s="14">
        <f t="shared" ref="I21:I26" si="1">H21/G21</f>
        <v>0.76228543865221943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14458</v>
      </c>
      <c r="E22" s="487">
        <f>SUM(E21:E21)</f>
        <v>10922</v>
      </c>
      <c r="F22" s="16">
        <f t="shared" si="0"/>
        <v>0.75542951998893348</v>
      </c>
      <c r="G22" s="487">
        <f>SUM(G21:G21)</f>
        <v>169998</v>
      </c>
      <c r="H22" s="487">
        <f>SUM(H21:H21)</f>
        <v>129587</v>
      </c>
      <c r="I22" s="16">
        <f t="shared" si="1"/>
        <v>0.76228543865221943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4547</v>
      </c>
      <c r="E23" s="490">
        <v>2735</v>
      </c>
      <c r="F23" s="14">
        <f t="shared" si="0"/>
        <v>0.60149549153287885</v>
      </c>
      <c r="G23" s="66">
        <f>D23+'2017NOV'!G23</f>
        <v>55540</v>
      </c>
      <c r="H23" s="66">
        <f>E23+'2017NOV'!H23</f>
        <v>42382</v>
      </c>
      <c r="I23" s="14">
        <f t="shared" si="1"/>
        <v>0.76308966510622978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4547</v>
      </c>
      <c r="E25" s="487">
        <f>SUM(E23:E24)</f>
        <v>2735</v>
      </c>
      <c r="F25" s="16">
        <f t="shared" si="0"/>
        <v>0.60149549153287885</v>
      </c>
      <c r="G25" s="487">
        <f>SUM(G23:G24)</f>
        <v>55540</v>
      </c>
      <c r="H25" s="487">
        <f>SUM(H23:H24)</f>
        <v>42382</v>
      </c>
      <c r="I25" s="16">
        <f t="shared" si="1"/>
        <v>0.76308966510622978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19005</v>
      </c>
      <c r="E26" s="489">
        <f>SUM(E22,E25)</f>
        <v>13657</v>
      </c>
      <c r="F26" s="17">
        <f t="shared" si="0"/>
        <v>0.71860036832412522</v>
      </c>
      <c r="G26" s="489">
        <f>SUM(G22,G25)</f>
        <v>225538</v>
      </c>
      <c r="H26" s="489">
        <f>SUM(H22,H25)</f>
        <v>171969</v>
      </c>
      <c r="I26" s="17">
        <f t="shared" si="1"/>
        <v>0.76248348393618814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7940</v>
      </c>
      <c r="F28" s="14">
        <f>E28/D28</f>
        <v>39.700000000000003</v>
      </c>
      <c r="G28" s="66">
        <f>D28+'2017NOV'!G28</f>
        <v>2400</v>
      </c>
      <c r="H28" s="66">
        <f>E28+'2017NOV'!H28</f>
        <v>20374</v>
      </c>
      <c r="I28" s="14">
        <f>H28/G28</f>
        <v>8.4891666666666659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7940</v>
      </c>
      <c r="F30" s="14">
        <f t="shared" si="2"/>
        <v>39.700000000000003</v>
      </c>
      <c r="G30" s="487">
        <f>SUM(G28:G29)</f>
        <v>2400</v>
      </c>
      <c r="H30" s="487">
        <f>SUM(H28:H29)</f>
        <v>20374</v>
      </c>
      <c r="I30" s="14">
        <f t="shared" si="3"/>
        <v>8.4891666666666659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8700</v>
      </c>
      <c r="E31" s="490">
        <v>13167</v>
      </c>
      <c r="F31" s="14">
        <f t="shared" si="2"/>
        <v>1.5134482758620689</v>
      </c>
      <c r="G31" s="66">
        <f>D31+'2017NOV'!G31</f>
        <v>41900</v>
      </c>
      <c r="H31" s="66">
        <f>E31+'2017NOV'!H31</f>
        <v>88999</v>
      </c>
      <c r="I31" s="14">
        <f t="shared" si="3"/>
        <v>2.1240811455847255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8900</v>
      </c>
      <c r="E32" s="485">
        <f>SUM(E30,E31)</f>
        <v>21107</v>
      </c>
      <c r="F32" s="14">
        <f t="shared" si="2"/>
        <v>2.3715730337078651</v>
      </c>
      <c r="G32" s="485">
        <f>SUM(G30,G31)</f>
        <v>44300</v>
      </c>
      <c r="H32" s="485">
        <f>SUM(H30,H31)</f>
        <v>109373</v>
      </c>
      <c r="I32" s="14">
        <f t="shared" si="3"/>
        <v>2.4689164785553048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D33+'2017NOV'!G33</f>
        <v>420000</v>
      </c>
      <c r="H33" s="66">
        <f>E33+'2017NOV'!H33</f>
        <v>173890</v>
      </c>
      <c r="I33" s="14">
        <f t="shared" si="3"/>
        <v>0.41402380952380952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420000</v>
      </c>
      <c r="H35" s="479">
        <f>SUM(H33:H34)</f>
        <v>173890</v>
      </c>
      <c r="I35" s="16">
        <f t="shared" si="3"/>
        <v>0.41402380952380952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D36+'2017NOV'!G36</f>
        <v>19998</v>
      </c>
      <c r="H36" s="66">
        <f>E36+'2017NOV'!H36</f>
        <v>28435</v>
      </c>
      <c r="I36" s="14">
        <f t="shared" si="3"/>
        <v>1.4218921892189218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19998</v>
      </c>
      <c r="H38" s="487">
        <f>SUM(H36:H37)</f>
        <v>28435</v>
      </c>
      <c r="I38" s="16">
        <f t="shared" si="3"/>
        <v>1.4218921892189218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439998</v>
      </c>
      <c r="H39" s="485">
        <f>SUM(H35,H38)</f>
        <v>202325</v>
      </c>
      <c r="I39" s="19">
        <f t="shared" si="3"/>
        <v>0.45983163559834361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29728</v>
      </c>
      <c r="F40" s="21">
        <f t="shared" si="2"/>
        <v>99.093333333333334</v>
      </c>
      <c r="G40" s="68">
        <f>D40+'2017NOV'!G40</f>
        <v>3600</v>
      </c>
      <c r="H40" s="77">
        <f>E40+'2017NOV'!H40</f>
        <v>60191.4</v>
      </c>
      <c r="I40" s="21">
        <f t="shared" si="3"/>
        <v>16.719833333333334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D41+'2017NOV'!G41</f>
        <v>54000</v>
      </c>
      <c r="H41" s="68">
        <f>E41+'2017NOV'!H41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13000</v>
      </c>
      <c r="E42" s="20">
        <v>0</v>
      </c>
      <c r="F42" s="21">
        <f t="shared" si="2"/>
        <v>0</v>
      </c>
      <c r="G42" s="68">
        <f>D42+'2017NOV'!G42</f>
        <v>200000</v>
      </c>
      <c r="H42" s="68">
        <f>E42+'2017NOV'!H42</f>
        <v>342145</v>
      </c>
      <c r="I42" s="21">
        <f t="shared" si="3"/>
        <v>1.7107250000000001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85177</v>
      </c>
      <c r="E43" s="78">
        <f>SUM(E26,E32,E39,E40:E42)</f>
        <v>151437</v>
      </c>
      <c r="F43" s="22">
        <f t="shared" si="2"/>
        <v>1.7779095295678411</v>
      </c>
      <c r="G43" s="484">
        <f>SUM(G26,G32,G39,G40:G42)</f>
        <v>967436</v>
      </c>
      <c r="H43" s="484">
        <f>SUM(H26,H32,H39,H40:H42)</f>
        <v>886003.4</v>
      </c>
      <c r="I43" s="22">
        <f t="shared" si="3"/>
        <v>0.91582636990974087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84877</v>
      </c>
      <c r="E44" s="484">
        <f>E43-E40</f>
        <v>121709</v>
      </c>
      <c r="F44" s="22">
        <f t="shared" si="2"/>
        <v>1.4339455918564512</v>
      </c>
      <c r="G44" s="484">
        <f>G43-G40</f>
        <v>963836</v>
      </c>
      <c r="H44" s="484">
        <f>H43-H40</f>
        <v>825812</v>
      </c>
      <c r="I44" s="22">
        <f t="shared" si="3"/>
        <v>0.85679721446387147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71877</v>
      </c>
      <c r="E45" s="482">
        <f>E44-E42</f>
        <v>121709</v>
      </c>
      <c r="F45" s="23">
        <f t="shared" si="2"/>
        <v>1.6932954909080791</v>
      </c>
      <c r="G45" s="482">
        <f>G44-G42</f>
        <v>763836</v>
      </c>
      <c r="H45" s="482">
        <f>H44-H42</f>
        <v>483667</v>
      </c>
      <c r="I45" s="23">
        <f t="shared" si="3"/>
        <v>0.63320791374064589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35</v>
      </c>
      <c r="F51" s="28">
        <f t="shared" ref="F51:F77" si="4">E51/D51</f>
        <v>7</v>
      </c>
      <c r="G51" s="66">
        <f>D51+'2017NOV'!G51</f>
        <v>60</v>
      </c>
      <c r="H51" s="66">
        <f>E51+'2017NOV'!H51</f>
        <v>182</v>
      </c>
      <c r="I51" s="28">
        <f t="shared" ref="I51:I77" si="5">H51/G51</f>
        <v>3.0333333333333332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385</v>
      </c>
      <c r="E52" s="490">
        <v>279</v>
      </c>
      <c r="F52" s="28">
        <f t="shared" si="4"/>
        <v>0.72467532467532469</v>
      </c>
      <c r="G52" s="66">
        <f>D52+'2017NOV'!G52</f>
        <v>4828</v>
      </c>
      <c r="H52" s="66">
        <f>E52+'2017NOV'!H52</f>
        <v>4123</v>
      </c>
      <c r="I52" s="28">
        <f t="shared" si="5"/>
        <v>0.85397680198840098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390</v>
      </c>
      <c r="E53" s="487">
        <f>SUM(E51:E52)</f>
        <v>314</v>
      </c>
      <c r="F53" s="30">
        <f t="shared" si="4"/>
        <v>0.80512820512820515</v>
      </c>
      <c r="G53" s="487">
        <f>SUM(G51:G52)</f>
        <v>4888</v>
      </c>
      <c r="H53" s="487">
        <f>SUM(H51:H52)</f>
        <v>4305</v>
      </c>
      <c r="I53" s="30">
        <f t="shared" si="5"/>
        <v>0.88072831423895259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D54+'2017NOV'!G54</f>
        <v>24</v>
      </c>
      <c r="H54" s="66">
        <f>E54+'2017NOV'!H54</f>
        <v>221</v>
      </c>
      <c r="I54" s="28">
        <f t="shared" si="5"/>
        <v>9.2083333333333339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287</v>
      </c>
      <c r="E55" s="490">
        <v>203</v>
      </c>
      <c r="F55" s="28">
        <f t="shared" si="4"/>
        <v>0.70731707317073167</v>
      </c>
      <c r="G55" s="66">
        <f>D55+'2017NOV'!G55</f>
        <v>3599</v>
      </c>
      <c r="H55" s="66">
        <f>E55+'2017NOV'!H55</f>
        <v>3480</v>
      </c>
      <c r="I55" s="28">
        <f t="shared" si="5"/>
        <v>0.96693525979438733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289</v>
      </c>
      <c r="E56" s="474">
        <f>SUM(E54:E55)</f>
        <v>203</v>
      </c>
      <c r="F56" s="28">
        <f t="shared" si="4"/>
        <v>0.70242214532871972</v>
      </c>
      <c r="G56" s="474">
        <f>SUM(G54:G55)</f>
        <v>3623</v>
      </c>
      <c r="H56" s="474">
        <f>SUM(H54:H55)</f>
        <v>3701</v>
      </c>
      <c r="I56" s="31">
        <f t="shared" si="5"/>
        <v>1.0215291195142147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35</v>
      </c>
      <c r="F57" s="32">
        <f t="shared" si="4"/>
        <v>5</v>
      </c>
      <c r="G57" s="473">
        <f>SUM(G51,G54)</f>
        <v>84</v>
      </c>
      <c r="H57" s="473">
        <f>SUM(H51,H54)</f>
        <v>403</v>
      </c>
      <c r="I57" s="32">
        <f t="shared" si="5"/>
        <v>4.7976190476190474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672</v>
      </c>
      <c r="E58" s="473">
        <f>SUM(E52,E55)</f>
        <v>482</v>
      </c>
      <c r="F58" s="32">
        <f t="shared" si="4"/>
        <v>0.71726190476190477</v>
      </c>
      <c r="G58" s="473">
        <f>SUM(G52,G55)</f>
        <v>8427</v>
      </c>
      <c r="H58" s="473">
        <f>SUM(H52,H55)</f>
        <v>7603</v>
      </c>
      <c r="I58" s="32">
        <f t="shared" si="5"/>
        <v>0.90221905779043554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679</v>
      </c>
      <c r="E59" s="481">
        <f>SUM(E57:E58)</f>
        <v>517</v>
      </c>
      <c r="F59" s="33">
        <f t="shared" si="4"/>
        <v>0.76141384388807065</v>
      </c>
      <c r="G59" s="481">
        <f>SUM(G57:G58)</f>
        <v>8511</v>
      </c>
      <c r="H59" s="481">
        <f>SUM(H57:H58)</f>
        <v>8006</v>
      </c>
      <c r="I59" s="33">
        <f t="shared" si="5"/>
        <v>0.94066502173657618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121.7</v>
      </c>
      <c r="F60" s="28">
        <f t="shared" si="4"/>
        <v>7.6062500000000002</v>
      </c>
      <c r="G60" s="66">
        <f>D60+'2017NOV'!G60</f>
        <v>192</v>
      </c>
      <c r="H60" s="66">
        <f>E60+'2017NOV'!H60</f>
        <v>597.70000000000005</v>
      </c>
      <c r="I60" s="28">
        <f t="shared" si="5"/>
        <v>3.1130208333333336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1260</v>
      </c>
      <c r="E61" s="479">
        <f>E70/10</f>
        <v>970.5</v>
      </c>
      <c r="F61" s="28">
        <f t="shared" si="4"/>
        <v>0.77023809523809528</v>
      </c>
      <c r="G61" s="66">
        <f>D61+'2017NOV'!G61</f>
        <v>15790</v>
      </c>
      <c r="H61" s="66">
        <f>E61+'2017NOV'!H61</f>
        <v>12361</v>
      </c>
      <c r="I61" s="28">
        <f t="shared" si="5"/>
        <v>0.78283723875870803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1276</v>
      </c>
      <c r="E62" s="487">
        <f>SUM(E60:E61)</f>
        <v>1092.2</v>
      </c>
      <c r="F62" s="30">
        <f t="shared" si="4"/>
        <v>0.8559561128526646</v>
      </c>
      <c r="G62" s="487">
        <f>SUM(G60:G61)</f>
        <v>15982</v>
      </c>
      <c r="H62" s="487">
        <f>SUM(H60:H61)</f>
        <v>12958.7</v>
      </c>
      <c r="I62" s="30">
        <f t="shared" si="5"/>
        <v>0.81083093480165191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D63+'2017NOV'!G63</f>
        <v>24</v>
      </c>
      <c r="H63" s="66">
        <f>E63+'2017NOV'!H63</f>
        <v>43.1</v>
      </c>
      <c r="I63" s="28">
        <f t="shared" si="5"/>
        <v>1.7958333333333334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431</v>
      </c>
      <c r="E64" s="479">
        <f>E73/10</f>
        <v>273.5</v>
      </c>
      <c r="F64" s="28">
        <f t="shared" si="4"/>
        <v>0.63457076566125292</v>
      </c>
      <c r="G64" s="66">
        <f>D64+'2017NOV'!G64</f>
        <v>5398</v>
      </c>
      <c r="H64" s="66">
        <f>E64+'2017NOV'!H64</f>
        <v>4195.1000000000004</v>
      </c>
      <c r="I64" s="28">
        <f t="shared" si="5"/>
        <v>0.77715820674323832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433</v>
      </c>
      <c r="E65" s="474">
        <f>SUM(E63:E64)</f>
        <v>273.5</v>
      </c>
      <c r="F65" s="31">
        <f t="shared" si="4"/>
        <v>0.63163972286374137</v>
      </c>
      <c r="G65" s="474">
        <f>SUM(G63:G64)</f>
        <v>5422</v>
      </c>
      <c r="H65" s="474">
        <f>SUM(H63:H64)</f>
        <v>4238.2000000000007</v>
      </c>
      <c r="I65" s="31">
        <f t="shared" si="5"/>
        <v>0.78166728144596098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121.7</v>
      </c>
      <c r="F66" s="32">
        <f t="shared" si="4"/>
        <v>6.7611111111111111</v>
      </c>
      <c r="G66" s="473">
        <f>SUM(G60,G63)</f>
        <v>216</v>
      </c>
      <c r="H66" s="473">
        <f>SUM(H60,H63)</f>
        <v>640.80000000000007</v>
      </c>
      <c r="I66" s="32">
        <f t="shared" si="5"/>
        <v>2.9666666666666668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1691</v>
      </c>
      <c r="E67" s="473">
        <f>SUM(E61,E64)</f>
        <v>1244</v>
      </c>
      <c r="F67" s="32">
        <f t="shared" si="4"/>
        <v>0.73565937315198104</v>
      </c>
      <c r="G67" s="473">
        <f>SUM(G61,G64)</f>
        <v>21188</v>
      </c>
      <c r="H67" s="473">
        <f>SUM(H61,H64)</f>
        <v>16556.099999999999</v>
      </c>
      <c r="I67" s="32">
        <f t="shared" si="5"/>
        <v>0.7813904096658485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1709</v>
      </c>
      <c r="E68" s="481">
        <f>SUM(E66:E67)</f>
        <v>1365.7</v>
      </c>
      <c r="F68" s="34">
        <f t="shared" si="4"/>
        <v>0.79912229373902866</v>
      </c>
      <c r="G68" s="481">
        <f>SUM(G66:G67)</f>
        <v>21404</v>
      </c>
      <c r="H68" s="481">
        <f>SUM(H66:H67)</f>
        <v>17196.899999999998</v>
      </c>
      <c r="I68" s="34">
        <f t="shared" si="5"/>
        <v>0.80344328162960188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1860</v>
      </c>
      <c r="E69" s="490">
        <v>1217</v>
      </c>
      <c r="F69" s="28">
        <f t="shared" si="4"/>
        <v>0.6543010752688172</v>
      </c>
      <c r="G69" s="66">
        <f>D69+'2017NOV'!G69</f>
        <v>12090</v>
      </c>
      <c r="H69" s="66">
        <f>E69+'2017NOV'!H69</f>
        <v>5977</v>
      </c>
      <c r="I69" s="28">
        <f t="shared" si="5"/>
        <v>0.49437551695616211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12598</v>
      </c>
      <c r="E70" s="479">
        <f>E21-E69</f>
        <v>9705</v>
      </c>
      <c r="F70" s="28">
        <f t="shared" si="4"/>
        <v>0.77036037466264484</v>
      </c>
      <c r="G70" s="66">
        <f>D70+'2017NOV'!G70</f>
        <v>157908</v>
      </c>
      <c r="H70" s="66">
        <f>E70+'2017NOV'!H70</f>
        <v>123610</v>
      </c>
      <c r="I70" s="28">
        <f t="shared" si="5"/>
        <v>0.78279757833675301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14458</v>
      </c>
      <c r="E71" s="487">
        <f>SUM(E69:E70)</f>
        <v>10922</v>
      </c>
      <c r="F71" s="30">
        <f t="shared" si="4"/>
        <v>0.75542951998893348</v>
      </c>
      <c r="G71" s="487">
        <f>SUM(G69:G70)</f>
        <v>169998</v>
      </c>
      <c r="H71" s="487">
        <f>SUM(H69:H70)</f>
        <v>129587</v>
      </c>
      <c r="I71" s="30">
        <f t="shared" si="5"/>
        <v>0.76228543865221943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240</v>
      </c>
      <c r="E72" s="490">
        <v>0</v>
      </c>
      <c r="F72" s="28">
        <f t="shared" si="4"/>
        <v>0</v>
      </c>
      <c r="G72" s="66">
        <f>D72+'2017NOV'!G72</f>
        <v>1560</v>
      </c>
      <c r="H72" s="66">
        <f>E72+'2017NOV'!H72</f>
        <v>431</v>
      </c>
      <c r="I72" s="28">
        <f t="shared" si="5"/>
        <v>0.2762820512820513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4306</v>
      </c>
      <c r="E73" s="479">
        <f>E23-E72</f>
        <v>2735</v>
      </c>
      <c r="F73" s="28">
        <f t="shared" si="4"/>
        <v>0.63516024152345563</v>
      </c>
      <c r="G73" s="66">
        <f>D73+'2017NOV'!G73</f>
        <v>53979</v>
      </c>
      <c r="H73" s="66">
        <f>E73+'2017NOV'!H73</f>
        <v>41951</v>
      </c>
      <c r="I73" s="28">
        <f t="shared" si="5"/>
        <v>0.77717260416087741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4546</v>
      </c>
      <c r="E74" s="474">
        <f>SUM(E72:E73)</f>
        <v>2735</v>
      </c>
      <c r="F74" s="31">
        <f t="shared" si="4"/>
        <v>0.60162780466344035</v>
      </c>
      <c r="G74" s="474">
        <f>SUM(G72:G73)</f>
        <v>55539</v>
      </c>
      <c r="H74" s="474">
        <f>SUM(H72:H73)</f>
        <v>42382</v>
      </c>
      <c r="I74" s="31">
        <f t="shared" si="5"/>
        <v>0.76310340481463479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2100</v>
      </c>
      <c r="E75" s="473">
        <f>SUM(E69,E72)</f>
        <v>1217</v>
      </c>
      <c r="F75" s="32">
        <f t="shared" si="4"/>
        <v>0.57952380952380955</v>
      </c>
      <c r="G75" s="473">
        <f>SUM(G69,G72)</f>
        <v>13650</v>
      </c>
      <c r="H75" s="473">
        <f>SUM(H69,H72)</f>
        <v>6408</v>
      </c>
      <c r="I75" s="32">
        <f t="shared" si="5"/>
        <v>0.46945054945054943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16904</v>
      </c>
      <c r="E76" s="473">
        <f>SUM(E70,E73)</f>
        <v>12440</v>
      </c>
      <c r="F76" s="32">
        <f t="shared" si="4"/>
        <v>0.73592049219119737</v>
      </c>
      <c r="G76" s="473">
        <f>SUM(G70,G73)</f>
        <v>211887</v>
      </c>
      <c r="H76" s="473">
        <f>SUM(H70,H73)</f>
        <v>165561</v>
      </c>
      <c r="I76" s="32">
        <f t="shared" si="5"/>
        <v>0.78136459527955937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19004</v>
      </c>
      <c r="E77" s="481">
        <f>SUM(E75:E76)</f>
        <v>13657</v>
      </c>
      <c r="F77" s="34">
        <f t="shared" si="4"/>
        <v>0.7186381814354873</v>
      </c>
      <c r="G77" s="481">
        <f>SUM(G75:G76)</f>
        <v>225537</v>
      </c>
      <c r="H77" s="481">
        <f>SUM(H75:H76)</f>
        <v>171969</v>
      </c>
      <c r="I77" s="34">
        <f t="shared" si="5"/>
        <v>0.76248686468295668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2</v>
      </c>
      <c r="F84" s="498" t="e">
        <f>E84/D84</f>
        <v>#DIV/0!</v>
      </c>
      <c r="G84" s="66">
        <f>D84+'2017NOV'!G84</f>
        <v>2</v>
      </c>
      <c r="H84" s="66">
        <f>E84+'2017NOV'!H84</f>
        <v>6</v>
      </c>
      <c r="I84" s="498">
        <f>H84/G84</f>
        <v>3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D85+'2017NOV'!G85</f>
        <v>1018</v>
      </c>
      <c r="H85" s="66">
        <f>E85+'2017NOV'!H85</f>
        <v>707.5</v>
      </c>
      <c r="I85" s="28">
        <f t="shared" ref="I85:I98" si="7">H85/G85</f>
        <v>0.69499017681728881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42</v>
      </c>
      <c r="F86" s="30">
        <f t="shared" si="6"/>
        <v>0.49411764705882355</v>
      </c>
      <c r="G86" s="487">
        <f>SUM(G84:G85)</f>
        <v>1020</v>
      </c>
      <c r="H86" s="487">
        <f>SUM(H84:H85)</f>
        <v>713.5</v>
      </c>
      <c r="I86" s="30">
        <f t="shared" si="7"/>
        <v>0.69950980392156858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D87+'2017NOV'!G87</f>
        <v>1</v>
      </c>
      <c r="H87" s="66">
        <f>E87+'2017NOV'!H87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D88+'2017NOV'!G88</f>
        <v>239</v>
      </c>
      <c r="H88" s="66">
        <f>E88+'2017NOV'!H88</f>
        <v>183</v>
      </c>
      <c r="I88" s="28">
        <f t="shared" si="7"/>
        <v>0.76569037656903771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240</v>
      </c>
      <c r="H89" s="487">
        <f>SUM(H87:H88)</f>
        <v>190</v>
      </c>
      <c r="I89" s="30">
        <f t="shared" si="7"/>
        <v>0.79166666666666663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12</v>
      </c>
      <c r="F90" s="28" t="e">
        <f t="shared" si="6"/>
        <v>#DIV/0!</v>
      </c>
      <c r="G90" s="66">
        <f>D90+'2017NOV'!G90</f>
        <v>2</v>
      </c>
      <c r="H90" s="66">
        <f>E90+'2017NOV'!H90</f>
        <v>42</v>
      </c>
      <c r="I90" s="28">
        <f t="shared" si="7"/>
        <v>21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50</v>
      </c>
      <c r="F91" s="28">
        <f t="shared" si="6"/>
        <v>0.98039215686274506</v>
      </c>
      <c r="G91" s="66">
        <f>D91+'2017NOV'!G91</f>
        <v>608</v>
      </c>
      <c r="H91" s="66">
        <f>E91+'2017NOV'!H91</f>
        <v>530.5</v>
      </c>
      <c r="I91" s="28">
        <f t="shared" si="7"/>
        <v>0.87253289473684215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62</v>
      </c>
      <c r="F92" s="30">
        <f t="shared" si="6"/>
        <v>1.2156862745098038</v>
      </c>
      <c r="G92" s="487">
        <f>SUM(G90:G91)</f>
        <v>610</v>
      </c>
      <c r="H92" s="487">
        <f>SUM(H90:H91)</f>
        <v>572.5</v>
      </c>
      <c r="I92" s="30">
        <f t="shared" si="7"/>
        <v>0.93852459016393441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D93+'2017NOV'!G93</f>
        <v>4</v>
      </c>
      <c r="H93" s="66">
        <f>E93+'2017NOV'!H93</f>
        <v>63.5</v>
      </c>
      <c r="I93" s="28">
        <f t="shared" si="7"/>
        <v>15.875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95</v>
      </c>
      <c r="F94" s="28">
        <f t="shared" si="6"/>
        <v>1.021505376344086</v>
      </c>
      <c r="G94" s="66">
        <f>D94+'2017NOV'!G94</f>
        <v>1104</v>
      </c>
      <c r="H94" s="66">
        <f>E94+'2017NOV'!H94</f>
        <v>1047</v>
      </c>
      <c r="I94" s="28">
        <f t="shared" si="7"/>
        <v>0.94836956521739135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101</v>
      </c>
      <c r="F95" s="30">
        <f t="shared" si="6"/>
        <v>1.086021505376344</v>
      </c>
      <c r="G95" s="487">
        <f>SUM(G93:G94)</f>
        <v>1108</v>
      </c>
      <c r="H95" s="487">
        <f>SUM(H93:H94)</f>
        <v>1110.5</v>
      </c>
      <c r="I95" s="30">
        <f t="shared" si="7"/>
        <v>1.0022563176895307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20</v>
      </c>
      <c r="F96" s="31" t="e">
        <f t="shared" si="6"/>
        <v>#DIV/0!</v>
      </c>
      <c r="G96" s="474">
        <f>SUM(G84,G87,G90,G93)</f>
        <v>9</v>
      </c>
      <c r="H96" s="474">
        <f>SUM(H84,H87,H90,H93)</f>
        <v>118.5</v>
      </c>
      <c r="I96" s="31">
        <f t="shared" si="7"/>
        <v>13.166666666666666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2969</v>
      </c>
      <c r="H97" s="474">
        <f>SUM(H85,H88,H91,H94)</f>
        <v>2468</v>
      </c>
      <c r="I97" s="31">
        <f t="shared" si="7"/>
        <v>0.83125631525766253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216</v>
      </c>
      <c r="F98" s="41">
        <f t="shared" si="6"/>
        <v>0.86746987951807231</v>
      </c>
      <c r="G98" s="475">
        <f>SUM(G96:G97)</f>
        <v>2978</v>
      </c>
      <c r="H98" s="475">
        <f>SUM(H96:H97)</f>
        <v>2586.5</v>
      </c>
      <c r="I98" s="41">
        <f t="shared" si="7"/>
        <v>0.86853593015446606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2</v>
      </c>
      <c r="F99" s="499" t="e">
        <f>E99/D99</f>
        <v>#DIV/0!</v>
      </c>
      <c r="G99" s="70">
        <f>D99+'2017NOV'!G99</f>
        <v>3</v>
      </c>
      <c r="H99" s="70">
        <f>E99+'2017NOV'!H99</f>
        <v>18</v>
      </c>
      <c r="I99" s="499">
        <f>H99/G99</f>
        <v>6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76</v>
      </c>
      <c r="E100" s="490">
        <v>47</v>
      </c>
      <c r="F100" s="28">
        <f t="shared" ref="F100:F109" si="8">E100/D100</f>
        <v>0.61842105263157898</v>
      </c>
      <c r="G100" s="70">
        <f>D100+'2017NOV'!G100</f>
        <v>900</v>
      </c>
      <c r="H100" s="71">
        <f>E100+'2017NOV'!H100</f>
        <v>616</v>
      </c>
      <c r="I100" s="28">
        <f t="shared" ref="I100:I109" si="9">H100/G100</f>
        <v>0.68444444444444441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49</v>
      </c>
      <c r="F101" s="30">
        <f t="shared" si="8"/>
        <v>0.64473684210526316</v>
      </c>
      <c r="G101" s="487">
        <f>SUM(G99:G100)</f>
        <v>903</v>
      </c>
      <c r="H101" s="487">
        <f>SUM(H99:H100)</f>
        <v>634</v>
      </c>
      <c r="I101" s="30">
        <f t="shared" si="9"/>
        <v>0.70210409745293467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8</v>
      </c>
      <c r="F102" s="28" t="e">
        <f t="shared" si="8"/>
        <v>#DIV/0!</v>
      </c>
      <c r="G102" s="66">
        <f>D102+'2017NOV'!G102</f>
        <v>2</v>
      </c>
      <c r="H102" s="66">
        <f>E102+'2017NOV'!H102</f>
        <v>32</v>
      </c>
      <c r="I102" s="28">
        <f t="shared" si="9"/>
        <v>16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36</v>
      </c>
      <c r="F103" s="28">
        <f t="shared" si="8"/>
        <v>0.87804878048780488</v>
      </c>
      <c r="G103" s="66">
        <f>D103+'2017NOV'!G103</f>
        <v>490</v>
      </c>
      <c r="H103" s="66">
        <f>E103+'2017NOV'!H103</f>
        <v>407</v>
      </c>
      <c r="I103" s="28">
        <f t="shared" si="9"/>
        <v>0.83061224489795915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44</v>
      </c>
      <c r="F104" s="30">
        <f t="shared" si="8"/>
        <v>1.0731707317073171</v>
      </c>
      <c r="G104" s="487">
        <f>SUM(G102:G103)</f>
        <v>492</v>
      </c>
      <c r="H104" s="487">
        <f>SUM(H102:H103)</f>
        <v>439</v>
      </c>
      <c r="I104" s="30">
        <f t="shared" si="9"/>
        <v>0.89227642276422769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10</v>
      </c>
      <c r="F105" s="30" t="e">
        <f t="shared" si="8"/>
        <v>#DIV/0!</v>
      </c>
      <c r="G105" s="474">
        <f>SUM(G99,G102)</f>
        <v>5</v>
      </c>
      <c r="H105" s="474">
        <f>SUM(H99,H102)</f>
        <v>50</v>
      </c>
      <c r="I105" s="30">
        <f t="shared" si="9"/>
        <v>10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117</v>
      </c>
      <c r="E106" s="474">
        <f>SUM(E100,E103)</f>
        <v>83</v>
      </c>
      <c r="F106" s="30">
        <f t="shared" si="8"/>
        <v>0.70940170940170943</v>
      </c>
      <c r="G106" s="474">
        <f>SUM(G100,G103)</f>
        <v>1390</v>
      </c>
      <c r="H106" s="474">
        <f>SUM(H100,H103)</f>
        <v>1023</v>
      </c>
      <c r="I106" s="30">
        <f t="shared" si="9"/>
        <v>0.73597122302158269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93</v>
      </c>
      <c r="F107" s="41">
        <f t="shared" si="8"/>
        <v>0.79487179487179482</v>
      </c>
      <c r="G107" s="475">
        <f>SUM(G105:G106)</f>
        <v>1395</v>
      </c>
      <c r="H107" s="475">
        <f>SUM(H105:H106)</f>
        <v>1073</v>
      </c>
      <c r="I107" s="41">
        <f t="shared" si="9"/>
        <v>0.76917562724014332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30</v>
      </c>
      <c r="F108" s="45" t="e">
        <f t="shared" si="8"/>
        <v>#DIV/0!</v>
      </c>
      <c r="G108" s="46">
        <f>SUM(G96,G105)</f>
        <v>14</v>
      </c>
      <c r="H108" s="46">
        <f>SUM(H96,H105)</f>
        <v>168.5</v>
      </c>
      <c r="I108" s="45">
        <f t="shared" si="9"/>
        <v>12.035714285714286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366</v>
      </c>
      <c r="E109" s="473">
        <f>SUM(E97,E106)</f>
        <v>279</v>
      </c>
      <c r="F109" s="32">
        <f t="shared" si="8"/>
        <v>0.76229508196721307</v>
      </c>
      <c r="G109" s="473">
        <f>SUM(G97,G106)</f>
        <v>4359</v>
      </c>
      <c r="H109" s="473">
        <f>SUM(H97,H106)</f>
        <v>3491</v>
      </c>
      <c r="I109" s="32">
        <f t="shared" si="9"/>
        <v>0.80087175957788481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309</v>
      </c>
      <c r="F110" s="49">
        <f>E110/D110</f>
        <v>0.84426229508196726</v>
      </c>
      <c r="G110" s="472">
        <f>SUM(G108:G109)</f>
        <v>4373</v>
      </c>
      <c r="H110" s="472">
        <f>SUM(H108:H109)</f>
        <v>3659.5</v>
      </c>
      <c r="I110" s="49">
        <f>H110/G110</f>
        <v>0.83683969814772463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1133</v>
      </c>
      <c r="D118" s="592"/>
      <c r="E118" s="591">
        <v>13</v>
      </c>
      <c r="F118" s="592"/>
      <c r="G118" s="591">
        <v>8</v>
      </c>
      <c r="H118" s="592"/>
      <c r="I118" s="591">
        <v>2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871</v>
      </c>
      <c r="D123" s="590"/>
      <c r="E123" s="590">
        <v>181</v>
      </c>
      <c r="F123" s="590"/>
      <c r="G123" s="590">
        <v>79</v>
      </c>
      <c r="H123" s="590"/>
      <c r="I123" s="772">
        <v>28597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'2017SEP'!H138</f>
        <v>-44201</v>
      </c>
      <c r="C138" s="63">
        <f>E43-E42</f>
        <v>151437</v>
      </c>
      <c r="D138" s="512">
        <v>48301</v>
      </c>
      <c r="E138" s="531" t="s">
        <v>114</v>
      </c>
      <c r="F138" s="531"/>
      <c r="G138" s="531"/>
      <c r="H138" s="513">
        <f>C138+A138+B138-D138</f>
        <v>58935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25550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17981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1891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5E0CBB6C-466D-B74A-82C2-9BF880218B71}">
      <formula1>"Jan, Feb, March, April, May, June, July, Aug, Sep, Oct, Nov, Dec"</formula1>
    </dataValidation>
    <dataValidation type="list" allowBlank="1" showInputMessage="1" showErrorMessage="1" sqref="L3" xr:uid="{8167097D-F901-6E44-A5E0-7BB2D96221C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N167"/>
  <sheetViews>
    <sheetView topLeftCell="A146" zoomScale="96" zoomScaleNormal="96" zoomScaleSheetLayoutView="85" workbookViewId="0">
      <selection activeCell="B155" sqref="B155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19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43150</v>
      </c>
      <c r="M7" s="691"/>
    </row>
    <row r="8" spans="1:13" ht="15" thickBot="1">
      <c r="A8" s="5" t="s">
        <v>154</v>
      </c>
    </row>
    <row r="9" spans="1:13" ht="28">
      <c r="A9" s="560" t="s">
        <v>8</v>
      </c>
      <c r="B9" s="561"/>
      <c r="C9" s="80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79" t="s">
        <v>176</v>
      </c>
      <c r="C10" s="61">
        <v>2</v>
      </c>
      <c r="D10" s="8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00" t="s">
        <v>177</v>
      </c>
      <c r="C11" s="61">
        <v>2</v>
      </c>
      <c r="D11" s="101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79" t="s">
        <v>179</v>
      </c>
      <c r="C12" s="61">
        <v>2</v>
      </c>
      <c r="D12" s="82">
        <v>0</v>
      </c>
      <c r="E12" s="770" t="s">
        <v>184</v>
      </c>
      <c r="F12" s="691"/>
      <c r="G12" s="691"/>
      <c r="H12" s="691"/>
      <c r="I12" s="692"/>
    </row>
    <row r="13" spans="1:13">
      <c r="A13" s="690"/>
      <c r="B13" s="79" t="s">
        <v>180</v>
      </c>
      <c r="C13" s="61">
        <v>3</v>
      </c>
      <c r="D13" s="82">
        <v>1</v>
      </c>
      <c r="E13" s="691" t="s">
        <v>130</v>
      </c>
      <c r="F13" s="691"/>
      <c r="G13" s="691"/>
      <c r="H13" s="691"/>
      <c r="I13" s="692"/>
    </row>
    <row r="14" spans="1:13">
      <c r="A14" s="690"/>
      <c r="B14" s="100" t="s">
        <v>178</v>
      </c>
      <c r="C14" s="61">
        <v>0</v>
      </c>
      <c r="D14" s="101">
        <v>0</v>
      </c>
      <c r="E14" s="693"/>
      <c r="F14" s="694"/>
      <c r="G14" s="694"/>
      <c r="H14" s="694"/>
      <c r="I14" s="695"/>
    </row>
    <row r="15" spans="1:13">
      <c r="A15" s="690"/>
      <c r="B15" s="79" t="s">
        <v>13</v>
      </c>
      <c r="C15" s="61">
        <v>2</v>
      </c>
      <c r="D15" s="82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5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60" t="s">
        <v>155</v>
      </c>
      <c r="B20" s="561" t="s">
        <v>156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157</v>
      </c>
      <c r="K20" s="561"/>
      <c r="L20" s="561"/>
      <c r="M20" s="689"/>
    </row>
    <row r="21" spans="1:13">
      <c r="A21" s="687"/>
      <c r="B21" s="661"/>
      <c r="C21" s="661"/>
      <c r="D21" s="81" t="s">
        <v>23</v>
      </c>
      <c r="E21" s="81" t="s">
        <v>24</v>
      </c>
      <c r="F21" s="81" t="s">
        <v>25</v>
      </c>
      <c r="G21" s="81" t="s">
        <v>158</v>
      </c>
      <c r="H21" s="81" t="s">
        <v>24</v>
      </c>
      <c r="I21" s="8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159</v>
      </c>
      <c r="C23" s="13" t="s">
        <v>29</v>
      </c>
      <c r="D23" s="65">
        <v>10718</v>
      </c>
      <c r="E23" s="82">
        <v>11652</v>
      </c>
      <c r="F23" s="14">
        <f t="shared" ref="F23:F28" si="0">E23/D23</f>
        <v>1.0871431237171114</v>
      </c>
      <c r="G23" s="66">
        <f>D23</f>
        <v>10718</v>
      </c>
      <c r="H23" s="66">
        <f>E23</f>
        <v>11652</v>
      </c>
      <c r="I23" s="14">
        <f t="shared" ref="I23:I28" si="1">H23/G23</f>
        <v>1.0871431237171114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83">
        <f>SUM(D23:D23)</f>
        <v>10718</v>
      </c>
      <c r="E24" s="83">
        <f>SUM(E23:E23)</f>
        <v>11652</v>
      </c>
      <c r="F24" s="16">
        <f t="shared" si="0"/>
        <v>1.0871431237171114</v>
      </c>
      <c r="G24" s="83">
        <f>SUM(G23:G23)</f>
        <v>10718</v>
      </c>
      <c r="H24" s="83">
        <f>SUM(H23:H23)</f>
        <v>11652</v>
      </c>
      <c r="I24" s="16">
        <f t="shared" si="1"/>
        <v>1.0871431237171114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3" t="s">
        <v>29</v>
      </c>
      <c r="D25" s="65">
        <v>10240</v>
      </c>
      <c r="E25" s="82">
        <v>11323</v>
      </c>
      <c r="F25" s="14">
        <f t="shared" si="0"/>
        <v>1.10576171875</v>
      </c>
      <c r="G25" s="66">
        <f>D25</f>
        <v>10240</v>
      </c>
      <c r="H25" s="66">
        <f>E25</f>
        <v>11323</v>
      </c>
      <c r="I25" s="14">
        <f t="shared" si="1"/>
        <v>1.10576171875</v>
      </c>
      <c r="J25" s="623"/>
      <c r="K25" s="623"/>
      <c r="L25" s="623"/>
      <c r="M25" s="664"/>
    </row>
    <row r="26" spans="1:13" ht="13.5" customHeight="1">
      <c r="A26" s="681"/>
      <c r="B26" s="554"/>
      <c r="C26" s="13" t="s">
        <v>32</v>
      </c>
      <c r="D26" s="65">
        <v>0</v>
      </c>
      <c r="E26" s="82">
        <v>0</v>
      </c>
      <c r="F26" s="14" t="e">
        <f t="shared" si="0"/>
        <v>#DIV/0!</v>
      </c>
      <c r="G26" s="79">
        <f>D26</f>
        <v>0</v>
      </c>
      <c r="H26" s="79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83">
        <f>SUM(D25:D26)</f>
        <v>10240</v>
      </c>
      <c r="E27" s="83">
        <f>SUM(E25:E26)</f>
        <v>11323</v>
      </c>
      <c r="F27" s="16">
        <f t="shared" si="0"/>
        <v>1.10576171875</v>
      </c>
      <c r="G27" s="83">
        <f>SUM(G25:G26)</f>
        <v>10240</v>
      </c>
      <c r="H27" s="83">
        <f>SUM(H25:H26)</f>
        <v>11323</v>
      </c>
      <c r="I27" s="16">
        <f t="shared" si="1"/>
        <v>1.10576171875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84">
        <f>SUM(D24,D27)</f>
        <v>20958</v>
      </c>
      <c r="E28" s="84">
        <f>SUM(E24,E27)</f>
        <v>22975</v>
      </c>
      <c r="F28" s="17">
        <f t="shared" si="0"/>
        <v>1.0962400992461112</v>
      </c>
      <c r="G28" s="84">
        <f>SUM(G24,G27)</f>
        <v>20958</v>
      </c>
      <c r="H28" s="84">
        <f>SUM(H24,H27)</f>
        <v>22975</v>
      </c>
      <c r="I28" s="17">
        <f t="shared" si="1"/>
        <v>1.0962400992461112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160</v>
      </c>
      <c r="B30" s="672" t="s">
        <v>161</v>
      </c>
      <c r="C30" s="13" t="s">
        <v>162</v>
      </c>
      <c r="D30" s="65">
        <v>1000</v>
      </c>
      <c r="E30" s="82">
        <v>2424</v>
      </c>
      <c r="F30" s="14">
        <f>E30/D30</f>
        <v>2.4239999999999999</v>
      </c>
      <c r="G30" s="66">
        <f>D30</f>
        <v>1000</v>
      </c>
      <c r="H30" s="66">
        <f>E30</f>
        <v>2424</v>
      </c>
      <c r="I30" s="14">
        <f>H30/G30</f>
        <v>2.4239999999999999</v>
      </c>
      <c r="J30" s="623"/>
      <c r="K30" s="623"/>
      <c r="L30" s="623"/>
      <c r="M30" s="664"/>
    </row>
    <row r="31" spans="1:13">
      <c r="A31" s="620"/>
      <c r="B31" s="673"/>
      <c r="C31" s="13" t="s">
        <v>32</v>
      </c>
      <c r="D31" s="65">
        <v>0</v>
      </c>
      <c r="E31" s="82">
        <v>9939</v>
      </c>
      <c r="F31" s="14" t="e">
        <f t="shared" ref="F31:F47" si="2">E31/D31</f>
        <v>#DIV/0!</v>
      </c>
      <c r="G31" s="66">
        <f>D31</f>
        <v>0</v>
      </c>
      <c r="H31" s="66">
        <f>E31</f>
        <v>9939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83">
        <f>SUM(D30:D31)</f>
        <v>1000</v>
      </c>
      <c r="E32" s="83">
        <f>SUM(E30:E31)</f>
        <v>12363</v>
      </c>
      <c r="F32" s="14">
        <f t="shared" si="2"/>
        <v>12.363</v>
      </c>
      <c r="G32" s="83">
        <f>SUM(G30:G31)</f>
        <v>1000</v>
      </c>
      <c r="H32" s="83">
        <f>SUM(H30:H31)</f>
        <v>12363</v>
      </c>
      <c r="I32" s="14">
        <f t="shared" si="3"/>
        <v>12.363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82">
        <v>652</v>
      </c>
      <c r="F33" s="14">
        <f t="shared" si="2"/>
        <v>1.003076923076923</v>
      </c>
      <c r="G33" s="66">
        <f>D33</f>
        <v>650</v>
      </c>
      <c r="H33" s="66">
        <f>E33</f>
        <v>652</v>
      </c>
      <c r="I33" s="14">
        <f t="shared" si="3"/>
        <v>1.003076923076923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81">
        <f>SUM(D32,D33)</f>
        <v>1650</v>
      </c>
      <c r="E34" s="81">
        <f>SUM(E32,E33)</f>
        <v>13015</v>
      </c>
      <c r="F34" s="14">
        <f t="shared" si="2"/>
        <v>7.8878787878787877</v>
      </c>
      <c r="G34" s="81">
        <f>SUM(G32,G33)</f>
        <v>1650</v>
      </c>
      <c r="H34" s="81">
        <f>SUM(H32,H33)</f>
        <v>13015</v>
      </c>
      <c r="I34" s="14">
        <f t="shared" si="3"/>
        <v>7.8878787878787877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79">
        <v>0</v>
      </c>
      <c r="F35" s="14">
        <f t="shared" si="2"/>
        <v>0</v>
      </c>
      <c r="G35" s="66">
        <f>D35</f>
        <v>36232</v>
      </c>
      <c r="H35" s="66">
        <f>E35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3" t="s">
        <v>40</v>
      </c>
      <c r="D36" s="79"/>
      <c r="E36" s="79"/>
      <c r="F36" s="14" t="e">
        <f t="shared" si="2"/>
        <v>#DIV/0!</v>
      </c>
      <c r="G36" s="79"/>
      <c r="H36" s="79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83">
        <f>SUM(D35:D36)</f>
        <v>36232</v>
      </c>
      <c r="E37" s="83">
        <f>SUM(E35:E36)</f>
        <v>0</v>
      </c>
      <c r="F37" s="16">
        <f t="shared" si="2"/>
        <v>0</v>
      </c>
      <c r="G37" s="99">
        <f>SUM(G35:G36)</f>
        <v>36232</v>
      </c>
      <c r="H37" s="99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3" t="s">
        <v>40</v>
      </c>
      <c r="D38" s="65">
        <v>1100</v>
      </c>
      <c r="E38" s="82">
        <v>0</v>
      </c>
      <c r="F38" s="14">
        <f t="shared" si="2"/>
        <v>0</v>
      </c>
      <c r="G38" s="66">
        <f>D38</f>
        <v>1100</v>
      </c>
      <c r="H38" s="66">
        <f>E38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3" t="s">
        <v>40</v>
      </c>
      <c r="D39" s="79"/>
      <c r="E39" s="79"/>
      <c r="F39" s="14" t="e">
        <f t="shared" si="2"/>
        <v>#DIV/0!</v>
      </c>
      <c r="G39" s="79"/>
      <c r="H39" s="79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83">
        <f>SUM(D38:D39)</f>
        <v>1100</v>
      </c>
      <c r="E40" s="83">
        <f>SUM(E38:E39)</f>
        <v>0</v>
      </c>
      <c r="F40" s="16">
        <f t="shared" si="2"/>
        <v>0</v>
      </c>
      <c r="G40" s="83">
        <f>SUM(G38:G39)</f>
        <v>1100</v>
      </c>
      <c r="H40" s="83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81">
        <f>SUM(D37,D40)</f>
        <v>37332</v>
      </c>
      <c r="E41" s="81">
        <f>SUM(E37,E40)</f>
        <v>0</v>
      </c>
      <c r="F41" s="19">
        <f t="shared" si="2"/>
        <v>0</v>
      </c>
      <c r="G41" s="81">
        <f>SUM(G37,G40)</f>
        <v>37332</v>
      </c>
      <c r="H41" s="81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34798</v>
      </c>
      <c r="F42" s="21">
        <f t="shared" si="2"/>
        <v>3.1634545454545453</v>
      </c>
      <c r="G42" s="68">
        <f t="shared" ref="G42:H44" si="4">D42</f>
        <v>11000</v>
      </c>
      <c r="H42" s="77">
        <f t="shared" si="4"/>
        <v>34798</v>
      </c>
      <c r="I42" s="21">
        <f t="shared" si="3"/>
        <v>3.1634545454545453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 t="shared" si="4"/>
        <v>0</v>
      </c>
      <c r="H43" s="68">
        <f t="shared" si="4"/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 t="shared" si="4"/>
        <v>33500</v>
      </c>
      <c r="H44" s="68">
        <f t="shared" si="4"/>
        <v>0</v>
      </c>
      <c r="I44" s="21">
        <f t="shared" si="3"/>
        <v>0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87">
        <f>SUM(D28,D34,D41,D42:D44)</f>
        <v>104440</v>
      </c>
      <c r="E45" s="78">
        <f>SUM(E28,E34,E41,E42:E44)</f>
        <v>70788</v>
      </c>
      <c r="F45" s="22">
        <f t="shared" si="2"/>
        <v>0.67778628877824587</v>
      </c>
      <c r="G45" s="87">
        <f>SUM(G28,G34,G41,G42:G44)</f>
        <v>104440</v>
      </c>
      <c r="H45" s="87">
        <f>SUM(H28,H34,H41,H42:H44)</f>
        <v>70788</v>
      </c>
      <c r="I45" s="22">
        <f t="shared" si="3"/>
        <v>0.67778628877824587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87">
        <f>D45-D42</f>
        <v>93440</v>
      </c>
      <c r="E46" s="87">
        <f>E45-E42</f>
        <v>35990</v>
      </c>
      <c r="F46" s="22">
        <f t="shared" si="2"/>
        <v>0.38516695205479451</v>
      </c>
      <c r="G46" s="87">
        <f>G45-G42</f>
        <v>93440</v>
      </c>
      <c r="H46" s="87">
        <f>H45-H42</f>
        <v>35990</v>
      </c>
      <c r="I46" s="22">
        <f t="shared" si="3"/>
        <v>0.38516695205479451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85">
        <f>D46-D44</f>
        <v>59940</v>
      </c>
      <c r="E47" s="85">
        <f>E46-E44</f>
        <v>35990</v>
      </c>
      <c r="F47" s="23">
        <f t="shared" si="2"/>
        <v>0.60043376710043372</v>
      </c>
      <c r="G47" s="85">
        <f>G46-G44</f>
        <v>59940</v>
      </c>
      <c r="H47" s="85">
        <f>H46-H44</f>
        <v>35990</v>
      </c>
      <c r="I47" s="23">
        <f t="shared" si="3"/>
        <v>0.60043376710043372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86" t="s">
        <v>23</v>
      </c>
      <c r="E52" s="86" t="s">
        <v>24</v>
      </c>
      <c r="F52" s="86" t="s">
        <v>25</v>
      </c>
      <c r="G52" s="86" t="s">
        <v>23</v>
      </c>
      <c r="H52" s="86" t="s">
        <v>24</v>
      </c>
      <c r="I52" s="8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8</v>
      </c>
      <c r="E53" s="82">
        <v>24</v>
      </c>
      <c r="F53" s="28">
        <f t="shared" ref="F53:F79" si="5">E53/D53</f>
        <v>3</v>
      </c>
      <c r="G53" s="66">
        <f>D53</f>
        <v>8</v>
      </c>
      <c r="H53" s="66">
        <f>E53</f>
        <v>24</v>
      </c>
      <c r="I53" s="28">
        <f t="shared" ref="I53:I79" si="6">H53/G53</f>
        <v>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82">
        <v>311</v>
      </c>
      <c r="F54" s="28">
        <f t="shared" si="5"/>
        <v>1.0366666666666666</v>
      </c>
      <c r="G54" s="66">
        <f>D54</f>
        <v>300</v>
      </c>
      <c r="H54" s="66">
        <f>E54</f>
        <v>311</v>
      </c>
      <c r="I54" s="28">
        <f t="shared" si="6"/>
        <v>1.0366666666666666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83">
        <f>SUM(D53:D54)</f>
        <v>308</v>
      </c>
      <c r="E55" s="83">
        <f>SUM(E53:E54)</f>
        <v>335</v>
      </c>
      <c r="F55" s="30">
        <f t="shared" si="5"/>
        <v>1.0876623376623376</v>
      </c>
      <c r="G55" s="83">
        <f>SUM(G53:G54)</f>
        <v>308</v>
      </c>
      <c r="H55" s="83">
        <f>SUM(H53:H54)</f>
        <v>335</v>
      </c>
      <c r="I55" s="30">
        <f t="shared" si="6"/>
        <v>1.0876623376623376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82">
        <v>46</v>
      </c>
      <c r="F56" s="28">
        <f t="shared" si="5"/>
        <v>1.1499999999999999</v>
      </c>
      <c r="G56" s="66">
        <f>D56</f>
        <v>40</v>
      </c>
      <c r="H56" s="66">
        <f>E56</f>
        <v>46</v>
      </c>
      <c r="I56" s="28">
        <f t="shared" si="6"/>
        <v>1.1499999999999999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82">
        <v>666</v>
      </c>
      <c r="F57" s="28">
        <f t="shared" si="5"/>
        <v>1.1100000000000001</v>
      </c>
      <c r="G57" s="66">
        <f>D57</f>
        <v>600</v>
      </c>
      <c r="H57" s="66">
        <f>E57</f>
        <v>666</v>
      </c>
      <c r="I57" s="28">
        <f t="shared" si="6"/>
        <v>1.1100000000000001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91">
        <f>SUM(D56:D57)</f>
        <v>640</v>
      </c>
      <c r="E58" s="91">
        <f>SUM(E56:E57)</f>
        <v>712</v>
      </c>
      <c r="F58" s="28">
        <f t="shared" si="5"/>
        <v>1.1125</v>
      </c>
      <c r="G58" s="91">
        <f>SUM(G56:G57)</f>
        <v>640</v>
      </c>
      <c r="H58" s="91">
        <f>SUM(H56:H57)</f>
        <v>712</v>
      </c>
      <c r="I58" s="31">
        <f t="shared" si="6"/>
        <v>1.1125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92">
        <f>SUM(D53,D56)</f>
        <v>48</v>
      </c>
      <c r="E59" s="92">
        <f>SUM(E53,E56)</f>
        <v>70</v>
      </c>
      <c r="F59" s="32">
        <f t="shared" si="5"/>
        <v>1.4583333333333333</v>
      </c>
      <c r="G59" s="92">
        <f>SUM(G53,G56)</f>
        <v>48</v>
      </c>
      <c r="H59" s="92">
        <f>SUM(H53,H56)</f>
        <v>70</v>
      </c>
      <c r="I59" s="32">
        <f t="shared" si="6"/>
        <v>1.4583333333333333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92">
        <f>SUM(D54,D57)</f>
        <v>900</v>
      </c>
      <c r="E60" s="92">
        <f>SUM(E54,E57)</f>
        <v>977</v>
      </c>
      <c r="F60" s="32">
        <f t="shared" si="5"/>
        <v>1.0855555555555556</v>
      </c>
      <c r="G60" s="92">
        <f>SUM(G54,G57)</f>
        <v>900</v>
      </c>
      <c r="H60" s="92">
        <f>SUM(H54,H57)</f>
        <v>977</v>
      </c>
      <c r="I60" s="32">
        <f t="shared" si="6"/>
        <v>1.0855555555555556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93">
        <f>SUM(D59:D60)</f>
        <v>948</v>
      </c>
      <c r="E61" s="93">
        <f>SUM(E59:E60)</f>
        <v>1047</v>
      </c>
      <c r="F61" s="33">
        <f t="shared" si="5"/>
        <v>1.1044303797468353</v>
      </c>
      <c r="G61" s="93">
        <f>SUM(G59:G60)</f>
        <v>948</v>
      </c>
      <c r="H61" s="93">
        <f>SUM(H59:H60)</f>
        <v>1047</v>
      </c>
      <c r="I61" s="33">
        <f t="shared" si="6"/>
        <v>1.1044303797468353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28</v>
      </c>
      <c r="E62" s="79">
        <f>E71/10</f>
        <v>83.5</v>
      </c>
      <c r="F62" s="28">
        <f t="shared" si="5"/>
        <v>2.9821428571428572</v>
      </c>
      <c r="G62" s="66">
        <f>D62</f>
        <v>28</v>
      </c>
      <c r="H62" s="66">
        <f>E62</f>
        <v>83.5</v>
      </c>
      <c r="I62" s="28">
        <f t="shared" si="6"/>
        <v>2.9821428571428572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79">
        <f>E72/10</f>
        <v>1081.7</v>
      </c>
      <c r="F63" s="28">
        <f t="shared" si="5"/>
        <v>1.0361111111111112</v>
      </c>
      <c r="G63" s="66">
        <f>D63</f>
        <v>1044</v>
      </c>
      <c r="H63" s="66">
        <f>E63</f>
        <v>1081.7</v>
      </c>
      <c r="I63" s="28">
        <f t="shared" si="6"/>
        <v>1.0361111111111112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1072</v>
      </c>
      <c r="E64" s="83">
        <f>SUM(E62:E63)</f>
        <v>1165.2</v>
      </c>
      <c r="F64" s="30">
        <f t="shared" si="5"/>
        <v>1.0869402985074628</v>
      </c>
      <c r="G64" s="83">
        <f>SUM(G62:G63)</f>
        <v>1072</v>
      </c>
      <c r="H64" s="83">
        <f>SUM(H62:H63)</f>
        <v>1165.2</v>
      </c>
      <c r="I64" s="30">
        <f t="shared" si="6"/>
        <v>1.0869402985074628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79">
        <f>E74/10</f>
        <v>56.5</v>
      </c>
      <c r="F65" s="28">
        <f t="shared" si="5"/>
        <v>0.8828125</v>
      </c>
      <c r="G65" s="66">
        <f>D65</f>
        <v>64</v>
      </c>
      <c r="H65" s="66">
        <f>E65</f>
        <v>56.5</v>
      </c>
      <c r="I65" s="28">
        <f t="shared" si="6"/>
        <v>0.8828125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79">
        <f>E75/10</f>
        <v>1075.8</v>
      </c>
      <c r="F66" s="28">
        <f t="shared" si="5"/>
        <v>1.120625</v>
      </c>
      <c r="G66" s="66">
        <f>D66</f>
        <v>960</v>
      </c>
      <c r="H66" s="66">
        <f>E66</f>
        <v>1075.8</v>
      </c>
      <c r="I66" s="28">
        <f t="shared" si="6"/>
        <v>1.120625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91">
        <f>SUM(D65:D66)</f>
        <v>1024</v>
      </c>
      <c r="E67" s="91">
        <f>SUM(E65:E66)</f>
        <v>1132.3</v>
      </c>
      <c r="F67" s="31">
        <f t="shared" si="5"/>
        <v>1.10576171875</v>
      </c>
      <c r="G67" s="91">
        <f>SUM(G65:G66)</f>
        <v>1024</v>
      </c>
      <c r="H67" s="91">
        <f>SUM(H65:H66)</f>
        <v>1132.3</v>
      </c>
      <c r="I67" s="31">
        <f t="shared" si="6"/>
        <v>1.10576171875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92">
        <f>SUM(D62,D65)</f>
        <v>92</v>
      </c>
      <c r="E68" s="92">
        <f>SUM(E62,E65)</f>
        <v>140</v>
      </c>
      <c r="F68" s="32">
        <f t="shared" si="5"/>
        <v>1.5217391304347827</v>
      </c>
      <c r="G68" s="92">
        <f>SUM(G62,G65)</f>
        <v>92</v>
      </c>
      <c r="H68" s="92">
        <f>SUM(H62,H65)</f>
        <v>140</v>
      </c>
      <c r="I68" s="32">
        <f t="shared" si="6"/>
        <v>1.5217391304347827</v>
      </c>
      <c r="J68" s="635"/>
      <c r="K68" s="636"/>
      <c r="L68" s="636"/>
      <c r="M68" s="637"/>
    </row>
    <row r="69" spans="1:14" s="8" customFormat="1">
      <c r="A69" s="633"/>
      <c r="B69" s="594" t="s">
        <v>163</v>
      </c>
      <c r="C69" s="594"/>
      <c r="D69" s="92">
        <f>SUM(D63,D66)</f>
        <v>2004</v>
      </c>
      <c r="E69" s="92">
        <f>SUM(E63,E66)</f>
        <v>2157.5</v>
      </c>
      <c r="F69" s="32">
        <f t="shared" si="5"/>
        <v>1.0765968063872255</v>
      </c>
      <c r="G69" s="92">
        <f>SUM(G63,G66)</f>
        <v>2004</v>
      </c>
      <c r="H69" s="92">
        <f>SUM(H63,H66)</f>
        <v>2157.5</v>
      </c>
      <c r="I69" s="32">
        <f t="shared" si="6"/>
        <v>1.0765968063872255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93">
        <f>SUM(D68:D69)</f>
        <v>2096</v>
      </c>
      <c r="E70" s="93">
        <f>SUM(E68:E69)</f>
        <v>2297.5</v>
      </c>
      <c r="F70" s="34">
        <f t="shared" si="5"/>
        <v>1.0961354961832062</v>
      </c>
      <c r="G70" s="93">
        <f>SUM(G68:G69)</f>
        <v>2096</v>
      </c>
      <c r="H70" s="93">
        <f>SUM(H68:H69)</f>
        <v>2297.5</v>
      </c>
      <c r="I70" s="34">
        <f t="shared" si="6"/>
        <v>1.0961354961832062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278</v>
      </c>
      <c r="E71" s="82">
        <v>835</v>
      </c>
      <c r="F71" s="28">
        <f t="shared" si="5"/>
        <v>3.0035971223021583</v>
      </c>
      <c r="G71" s="66">
        <f>D71</f>
        <v>278</v>
      </c>
      <c r="H71" s="66">
        <f>E71</f>
        <v>835</v>
      </c>
      <c r="I71" s="28">
        <f t="shared" si="6"/>
        <v>3.0035971223021583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99">
        <f>E23-E71</f>
        <v>10817</v>
      </c>
      <c r="F72" s="28">
        <f t="shared" si="5"/>
        <v>1.0361111111111112</v>
      </c>
      <c r="G72" s="66">
        <f>D72</f>
        <v>10440</v>
      </c>
      <c r="H72" s="66">
        <f>E72</f>
        <v>10817</v>
      </c>
      <c r="I72" s="28">
        <f t="shared" si="6"/>
        <v>1.0361111111111112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83">
        <f>SUM(D71:D72)</f>
        <v>10718</v>
      </c>
      <c r="E73" s="83">
        <f>SUM(E71:E72)</f>
        <v>11652</v>
      </c>
      <c r="F73" s="30">
        <f t="shared" si="5"/>
        <v>1.0871431237171114</v>
      </c>
      <c r="G73" s="83">
        <f>SUM(G71:G72)</f>
        <v>10718</v>
      </c>
      <c r="H73" s="83">
        <f>SUM(H71:H72)</f>
        <v>11652</v>
      </c>
      <c r="I73" s="30">
        <f t="shared" si="6"/>
        <v>1.0871431237171114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640</v>
      </c>
      <c r="E74" s="82">
        <v>565</v>
      </c>
      <c r="F74" s="28">
        <f t="shared" si="5"/>
        <v>0.8828125</v>
      </c>
      <c r="G74" s="66">
        <f>D74</f>
        <v>640</v>
      </c>
      <c r="H74" s="66">
        <f>E74</f>
        <v>565</v>
      </c>
      <c r="I74" s="28">
        <f t="shared" si="6"/>
        <v>0.8828125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99">
        <f>E25-E74</f>
        <v>10758</v>
      </c>
      <c r="F75" s="28">
        <f t="shared" si="5"/>
        <v>1.120625</v>
      </c>
      <c r="G75" s="66">
        <f>D75</f>
        <v>9600</v>
      </c>
      <c r="H75" s="66">
        <f>E75</f>
        <v>10758</v>
      </c>
      <c r="I75" s="28">
        <f t="shared" si="6"/>
        <v>1.120625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91">
        <f>SUM(D74:D75)</f>
        <v>10240</v>
      </c>
      <c r="E76" s="91">
        <f>SUM(E74:E75)</f>
        <v>11323</v>
      </c>
      <c r="F76" s="31">
        <f t="shared" si="5"/>
        <v>1.10576171875</v>
      </c>
      <c r="G76" s="91">
        <f>SUM(G74:G75)</f>
        <v>10240</v>
      </c>
      <c r="H76" s="91">
        <f>SUM(H74:H75)</f>
        <v>11323</v>
      </c>
      <c r="I76" s="31">
        <f t="shared" si="6"/>
        <v>1.10576171875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92">
        <f>SUM(D71,D74)</f>
        <v>918</v>
      </c>
      <c r="E77" s="92">
        <f>SUM(E71,E74)</f>
        <v>1400</v>
      </c>
      <c r="F77" s="32">
        <f t="shared" si="5"/>
        <v>1.5250544662309369</v>
      </c>
      <c r="G77" s="92">
        <f>SUM(G71,G74)</f>
        <v>918</v>
      </c>
      <c r="H77" s="92">
        <f>SUM(H71,H74)</f>
        <v>1400</v>
      </c>
      <c r="I77" s="32">
        <f t="shared" si="6"/>
        <v>1.5250544662309369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92">
        <f>SUM(D72,D75)</f>
        <v>20040</v>
      </c>
      <c r="E78" s="92">
        <f>SUM(E72,E75)</f>
        <v>21575</v>
      </c>
      <c r="F78" s="32">
        <f t="shared" si="5"/>
        <v>1.0765968063872255</v>
      </c>
      <c r="G78" s="92">
        <f>SUM(G72,G75)</f>
        <v>20040</v>
      </c>
      <c r="H78" s="92">
        <f>SUM(H72,H75)</f>
        <v>21575</v>
      </c>
      <c r="I78" s="32">
        <f t="shared" si="6"/>
        <v>1.0765968063872255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93">
        <f>SUM(D77:D78)</f>
        <v>20958</v>
      </c>
      <c r="E79" s="93">
        <f>SUM(E77:E78)</f>
        <v>22975</v>
      </c>
      <c r="F79" s="34">
        <f t="shared" si="5"/>
        <v>1.0962400992461112</v>
      </c>
      <c r="G79" s="93">
        <f>SUM(G77:G78)</f>
        <v>20958</v>
      </c>
      <c r="H79" s="93">
        <f>SUM(H77:H78)</f>
        <v>22975</v>
      </c>
      <c r="I79" s="34">
        <f t="shared" si="6"/>
        <v>1.0962400992461112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5" t="s">
        <v>64</v>
      </c>
    </row>
    <row r="83" spans="1:13" s="126" customFormat="1" ht="14">
      <c r="A83" s="125" t="s">
        <v>188</v>
      </c>
    </row>
    <row r="84" spans="1:13" s="126" customFormat="1" ht="12.75" customHeight="1">
      <c r="A84" s="775" t="s">
        <v>189</v>
      </c>
      <c r="B84" s="775"/>
      <c r="C84" s="775"/>
      <c r="D84" s="776" t="s">
        <v>205</v>
      </c>
      <c r="E84" s="776"/>
      <c r="F84" s="776" t="s">
        <v>190</v>
      </c>
      <c r="G84" s="776"/>
      <c r="H84" s="776" t="s">
        <v>191</v>
      </c>
    </row>
    <row r="85" spans="1:13" s="126" customFormat="1" ht="12.7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s="126" customFormat="1">
      <c r="A86" s="775" t="s">
        <v>194</v>
      </c>
      <c r="B86" s="776" t="s">
        <v>195</v>
      </c>
      <c r="C86" s="776"/>
      <c r="D86" s="128">
        <v>311</v>
      </c>
      <c r="E86" s="130"/>
      <c r="F86" s="128">
        <v>311</v>
      </c>
      <c r="G86" s="130"/>
      <c r="H86" s="128" t="s">
        <v>196</v>
      </c>
    </row>
    <row r="87" spans="1:13" s="126" customFormat="1">
      <c r="A87" s="775"/>
      <c r="B87" s="776" t="s">
        <v>197</v>
      </c>
      <c r="C87" s="776"/>
      <c r="D87" s="128">
        <v>335</v>
      </c>
      <c r="E87" s="130"/>
      <c r="F87" s="128">
        <v>335</v>
      </c>
      <c r="G87" s="130"/>
      <c r="H87" s="128"/>
    </row>
    <row r="88" spans="1:13" s="126" customFormat="1">
      <c r="A88" s="775"/>
      <c r="B88" s="776" t="s">
        <v>198</v>
      </c>
      <c r="C88" s="776"/>
      <c r="D88" s="128">
        <v>24</v>
      </c>
      <c r="E88" s="128"/>
      <c r="F88" s="128">
        <v>24</v>
      </c>
      <c r="G88" s="128"/>
      <c r="H88" s="128"/>
    </row>
    <row r="89" spans="1:13" s="126" customFormat="1">
      <c r="A89" s="775"/>
      <c r="B89" s="776" t="s">
        <v>199</v>
      </c>
      <c r="C89" s="776"/>
      <c r="D89" s="128">
        <v>0</v>
      </c>
      <c r="E89" s="128">
        <f>D89/D87</f>
        <v>0</v>
      </c>
      <c r="F89" s="128">
        <v>0</v>
      </c>
      <c r="G89" s="128">
        <f>F89/F87</f>
        <v>0</v>
      </c>
      <c r="H89" s="128"/>
    </row>
    <row r="90" spans="1:13" s="126" customFormat="1">
      <c r="A90" s="775" t="s">
        <v>200</v>
      </c>
      <c r="B90" s="776" t="s">
        <v>201</v>
      </c>
      <c r="C90" s="776"/>
      <c r="D90" s="128">
        <v>6</v>
      </c>
      <c r="E90" s="128">
        <f>D90/D92</f>
        <v>3.7037037037037035E-2</v>
      </c>
      <c r="F90" s="128">
        <v>6</v>
      </c>
      <c r="G90" s="128">
        <f>F90/F92</f>
        <v>3.7037037037037035E-2</v>
      </c>
      <c r="H90" s="128"/>
    </row>
    <row r="91" spans="1:13" s="126" customFormat="1">
      <c r="A91" s="775"/>
      <c r="B91" s="776" t="s">
        <v>202</v>
      </c>
      <c r="C91" s="776"/>
      <c r="D91" s="128">
        <v>183</v>
      </c>
      <c r="E91" s="128">
        <f>D91/D92</f>
        <v>1.1296296296296295</v>
      </c>
      <c r="F91" s="128">
        <v>183</v>
      </c>
      <c r="G91" s="128">
        <f>F91/F92</f>
        <v>1.1296296296296295</v>
      </c>
      <c r="H91" s="128"/>
    </row>
    <row r="92" spans="1:13" s="126" customFormat="1">
      <c r="A92" s="775"/>
      <c r="B92" s="776" t="s">
        <v>203</v>
      </c>
      <c r="C92" s="776"/>
      <c r="D92" s="128">
        <v>162</v>
      </c>
      <c r="E92" s="130"/>
      <c r="F92" s="128">
        <v>162</v>
      </c>
      <c r="G92" s="130"/>
      <c r="H92" s="128"/>
    </row>
    <row r="93" spans="1:13" s="126" customFormat="1" ht="14">
      <c r="A93" s="127"/>
      <c r="C93" s="126" t="s">
        <v>210</v>
      </c>
      <c r="D93" s="126">
        <v>497</v>
      </c>
      <c r="F93" s="126">
        <v>497</v>
      </c>
    </row>
    <row r="94" spans="1:13" s="126" customFormat="1" ht="14">
      <c r="A94" s="127"/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86" t="s">
        <v>23</v>
      </c>
      <c r="E97" s="86" t="s">
        <v>24</v>
      </c>
      <c r="F97" s="86" t="s">
        <v>25</v>
      </c>
      <c r="G97" s="86" t="s">
        <v>23</v>
      </c>
      <c r="H97" s="86" t="s">
        <v>24</v>
      </c>
      <c r="I97" s="8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164</v>
      </c>
      <c r="C98" s="27" t="s">
        <v>69</v>
      </c>
      <c r="D98" s="65">
        <v>0</v>
      </c>
      <c r="E98" s="82">
        <v>1</v>
      </c>
      <c r="F98" s="37" t="e">
        <f>E98/D98</f>
        <v>#DIV/0!</v>
      </c>
      <c r="G98" s="66">
        <f>D98</f>
        <v>0</v>
      </c>
      <c r="H98" s="66">
        <f>E98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82">
        <v>41</v>
      </c>
      <c r="F99" s="28">
        <f t="shared" ref="F99:F115" si="7">E99/D99</f>
        <v>1</v>
      </c>
      <c r="G99" s="66">
        <f>D99</f>
        <v>41</v>
      </c>
      <c r="H99" s="66">
        <f>E99</f>
        <v>41</v>
      </c>
      <c r="I99" s="28">
        <f t="shared" ref="I99:I115" si="8">H99/G99</f>
        <v>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83">
        <f>SUM(D98:D99)</f>
        <v>41</v>
      </c>
      <c r="E100" s="83">
        <f>SUM(E98:E99)</f>
        <v>42</v>
      </c>
      <c r="F100" s="30">
        <f t="shared" si="7"/>
        <v>1.024390243902439</v>
      </c>
      <c r="G100" s="83">
        <f>SUM(G98:G99)</f>
        <v>41</v>
      </c>
      <c r="H100" s="83">
        <f>SUM(H98:H99)</f>
        <v>42</v>
      </c>
      <c r="I100" s="30">
        <f t="shared" si="8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82">
        <v>0</v>
      </c>
      <c r="F101" s="28" t="e">
        <f t="shared" si="7"/>
        <v>#DIV/0!</v>
      </c>
      <c r="G101" s="66">
        <f>D101</f>
        <v>0</v>
      </c>
      <c r="H101" s="66">
        <f>E101</f>
        <v>0</v>
      </c>
      <c r="I101" s="28" t="e">
        <f t="shared" si="8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82">
        <v>11</v>
      </c>
      <c r="F102" s="28">
        <f t="shared" si="7"/>
        <v>1</v>
      </c>
      <c r="G102" s="66">
        <f>D102</f>
        <v>11</v>
      </c>
      <c r="H102" s="66">
        <f>E102</f>
        <v>11</v>
      </c>
      <c r="I102" s="28">
        <f t="shared" si="8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83">
        <f>SUM(D101:D102)</f>
        <v>11</v>
      </c>
      <c r="E103" s="83">
        <f>SUM(E101:E102)</f>
        <v>11</v>
      </c>
      <c r="F103" s="30">
        <f t="shared" si="7"/>
        <v>1</v>
      </c>
      <c r="G103" s="83">
        <f>SUM(G101:G102)</f>
        <v>11</v>
      </c>
      <c r="H103" s="83">
        <f>SUM(H101:H102)</f>
        <v>11</v>
      </c>
      <c r="I103" s="30">
        <f t="shared" si="8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82">
        <v>0</v>
      </c>
      <c r="F104" s="28" t="e">
        <f t="shared" si="7"/>
        <v>#DIV/0!</v>
      </c>
      <c r="G104" s="66">
        <f>D104</f>
        <v>0</v>
      </c>
      <c r="H104" s="66">
        <f>E104</f>
        <v>0</v>
      </c>
      <c r="I104" s="28" t="e">
        <f t="shared" si="8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82">
        <v>60</v>
      </c>
      <c r="F105" s="28">
        <f t="shared" si="7"/>
        <v>0.95238095238095233</v>
      </c>
      <c r="G105" s="66">
        <f>D105</f>
        <v>63</v>
      </c>
      <c r="H105" s="66">
        <f>E105</f>
        <v>60</v>
      </c>
      <c r="I105" s="28">
        <f t="shared" si="8"/>
        <v>0.95238095238095233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83">
        <f>SUM(D104:D105)</f>
        <v>63</v>
      </c>
      <c r="E106" s="83">
        <f>SUM(E104:E105)</f>
        <v>60</v>
      </c>
      <c r="F106" s="30">
        <f t="shared" si="7"/>
        <v>0.95238095238095233</v>
      </c>
      <c r="G106" s="83">
        <f>SUM(G104:G105)</f>
        <v>63</v>
      </c>
      <c r="H106" s="83">
        <f>SUM(H104:H105)</f>
        <v>60</v>
      </c>
      <c r="I106" s="30">
        <f t="shared" si="8"/>
        <v>0.95238095238095233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0</v>
      </c>
      <c r="E107" s="82">
        <v>0</v>
      </c>
      <c r="F107" s="28" t="e">
        <f>E107/D107</f>
        <v>#DIV/0!</v>
      </c>
      <c r="G107" s="66">
        <f>D107</f>
        <v>0</v>
      </c>
      <c r="H107" s="66">
        <f>E107</f>
        <v>0</v>
      </c>
      <c r="I107" s="28" t="e">
        <f>H107/G107</f>
        <v>#DIV/0!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100</v>
      </c>
      <c r="E108" s="82">
        <v>101</v>
      </c>
      <c r="F108" s="28">
        <f>E108/D108</f>
        <v>1.01</v>
      </c>
      <c r="G108" s="66">
        <f>D108</f>
        <v>100</v>
      </c>
      <c r="H108" s="66">
        <f>E108</f>
        <v>101</v>
      </c>
      <c r="I108" s="28">
        <f t="shared" si="8"/>
        <v>1.01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83">
        <f>SUM(D107:D108)</f>
        <v>100</v>
      </c>
      <c r="E109" s="83">
        <f>SUM(E107:E108)</f>
        <v>101</v>
      </c>
      <c r="F109" s="30">
        <f t="shared" si="7"/>
        <v>1.01</v>
      </c>
      <c r="G109" s="83">
        <f>SUM(G107:G108)</f>
        <v>100</v>
      </c>
      <c r="H109" s="83">
        <f>SUM(H107:H108)</f>
        <v>101</v>
      </c>
      <c r="I109" s="30">
        <f t="shared" si="8"/>
        <v>1.01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82">
        <v>13</v>
      </c>
      <c r="F110" s="30">
        <f>E110/D110</f>
        <v>1.625</v>
      </c>
      <c r="G110" s="66">
        <f>D110</f>
        <v>8</v>
      </c>
      <c r="H110" s="66">
        <f>E110</f>
        <v>13</v>
      </c>
      <c r="I110" s="30">
        <f>H110/G110</f>
        <v>1.625</v>
      </c>
      <c r="J110" s="88"/>
      <c r="K110" s="89"/>
      <c r="L110" s="89"/>
      <c r="M110" s="90"/>
    </row>
    <row r="111" spans="1:13">
      <c r="A111" s="553"/>
      <c r="B111" s="803"/>
      <c r="C111" s="27" t="s">
        <v>70</v>
      </c>
      <c r="D111" s="65">
        <v>0</v>
      </c>
      <c r="E111" s="82">
        <v>5</v>
      </c>
      <c r="F111" s="30" t="e">
        <f t="shared" ref="F111:F112" si="9">E111/D111</f>
        <v>#DIV/0!</v>
      </c>
      <c r="G111" s="66">
        <f>D111</f>
        <v>0</v>
      </c>
      <c r="H111" s="66">
        <f>E111</f>
        <v>5</v>
      </c>
      <c r="I111" s="30" t="e">
        <f t="shared" ref="I111:I112" si="10">H111/G111</f>
        <v>#DIV/0!</v>
      </c>
      <c r="J111" s="88"/>
      <c r="K111" s="89"/>
      <c r="L111" s="89"/>
      <c r="M111" s="90"/>
    </row>
    <row r="112" spans="1:13">
      <c r="A112" s="553"/>
      <c r="B112" s="804"/>
      <c r="C112" s="38" t="s">
        <v>166</v>
      </c>
      <c r="D112" s="83">
        <f>SUM(D110:D111)</f>
        <v>8</v>
      </c>
      <c r="E112" s="83">
        <f>SUM(E110:E111)</f>
        <v>18</v>
      </c>
      <c r="F112" s="30">
        <f t="shared" si="9"/>
        <v>2.25</v>
      </c>
      <c r="G112" s="83">
        <f>SUM(G110:G111)</f>
        <v>8</v>
      </c>
      <c r="H112" s="83">
        <f>SUM(H110:H111)</f>
        <v>18</v>
      </c>
      <c r="I112" s="30">
        <f t="shared" si="10"/>
        <v>2.25</v>
      </c>
      <c r="J112" s="88"/>
      <c r="K112" s="89"/>
      <c r="L112" s="89"/>
      <c r="M112" s="90"/>
    </row>
    <row r="113" spans="1:13">
      <c r="A113" s="553"/>
      <c r="B113" s="611" t="s">
        <v>46</v>
      </c>
      <c r="C113" s="39" t="s">
        <v>69</v>
      </c>
      <c r="D113" s="91">
        <f>SUM(D98,D101,D104,D107,D110)</f>
        <v>8</v>
      </c>
      <c r="E113" s="91">
        <f>SUM(E98,E101,E104,E107,E110)</f>
        <v>14</v>
      </c>
      <c r="F113" s="31">
        <f t="shared" si="7"/>
        <v>1.75</v>
      </c>
      <c r="G113" s="91">
        <f>SUM(G98,G101,G104,G107,G110)</f>
        <v>8</v>
      </c>
      <c r="H113" s="91">
        <f>SUM(H98,H101,H104,H107,H110)</f>
        <v>14</v>
      </c>
      <c r="I113" s="31">
        <f t="shared" si="8"/>
        <v>1.75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91">
        <f>SUM(D99,D102,D105,D108,D111)</f>
        <v>215</v>
      </c>
      <c r="E114" s="91">
        <f>SUM(E99,E102,E105,E108,E111)</f>
        <v>218</v>
      </c>
      <c r="F114" s="31">
        <f t="shared" si="7"/>
        <v>1.0139534883720931</v>
      </c>
      <c r="G114" s="91">
        <f>SUM(G99,G102,G105,G108,G111)</f>
        <v>215</v>
      </c>
      <c r="H114" s="91">
        <f>SUM(H99,H102,H105,H108,H111)</f>
        <v>218</v>
      </c>
      <c r="I114" s="31">
        <f t="shared" si="8"/>
        <v>1.0139534883720931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94">
        <f>SUM(D113:D114)</f>
        <v>223</v>
      </c>
      <c r="E115" s="94">
        <f>SUM(E113:E114)</f>
        <v>232</v>
      </c>
      <c r="F115" s="41">
        <f t="shared" si="7"/>
        <v>1.0403587443946187</v>
      </c>
      <c r="G115" s="94">
        <f>SUM(G113:G114)</f>
        <v>223</v>
      </c>
      <c r="H115" s="94">
        <f>SUM(H113:H114)</f>
        <v>232</v>
      </c>
      <c r="I115" s="41">
        <f t="shared" si="8"/>
        <v>1.0403587443946187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0</v>
      </c>
      <c r="E116" s="64">
        <v>10</v>
      </c>
      <c r="F116" s="43" t="e">
        <f>E116/D116</f>
        <v>#DIV/0!</v>
      </c>
      <c r="G116" s="70">
        <f>D116</f>
        <v>0</v>
      </c>
      <c r="H116" s="70">
        <f>E116</f>
        <v>10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48</v>
      </c>
      <c r="E117" s="82">
        <v>49</v>
      </c>
      <c r="F117" s="28">
        <f t="shared" ref="F117:F126" si="11">E117/D117</f>
        <v>1.0208333333333333</v>
      </c>
      <c r="G117" s="70">
        <f>D117</f>
        <v>48</v>
      </c>
      <c r="H117" s="71">
        <f>E117</f>
        <v>49</v>
      </c>
      <c r="I117" s="28">
        <f t="shared" ref="I117:I126" si="12">H117/G117</f>
        <v>1.0208333333333333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83">
        <f>SUM(D116:D117)</f>
        <v>48</v>
      </c>
      <c r="E118" s="83">
        <f>SUM(E116:E117)</f>
        <v>59</v>
      </c>
      <c r="F118" s="30">
        <f t="shared" si="11"/>
        <v>1.2291666666666667</v>
      </c>
      <c r="G118" s="83">
        <f>SUM(G116:G117)</f>
        <v>48</v>
      </c>
      <c r="H118" s="83">
        <f>SUM(H116:H117)</f>
        <v>59</v>
      </c>
      <c r="I118" s="30">
        <f t="shared" si="12"/>
        <v>1.2291666666666667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82">
        <v>0</v>
      </c>
      <c r="F119" s="28" t="e">
        <f t="shared" si="11"/>
        <v>#DIV/0!</v>
      </c>
      <c r="G119" s="66">
        <f>D119</f>
        <v>0</v>
      </c>
      <c r="H119" s="66">
        <f>E119</f>
        <v>0</v>
      </c>
      <c r="I119" s="28" t="e">
        <f t="shared" si="12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167</v>
      </c>
      <c r="D120" s="65">
        <v>37</v>
      </c>
      <c r="E120" s="82">
        <v>44</v>
      </c>
      <c r="F120" s="28">
        <f t="shared" si="11"/>
        <v>1.1891891891891893</v>
      </c>
      <c r="G120" s="66">
        <f>D120</f>
        <v>37</v>
      </c>
      <c r="H120" s="66">
        <f>E120</f>
        <v>44</v>
      </c>
      <c r="I120" s="28">
        <f t="shared" si="12"/>
        <v>1.1891891891891893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168</v>
      </c>
      <c r="D121" s="83">
        <f>SUM(D119:D120)</f>
        <v>37</v>
      </c>
      <c r="E121" s="83">
        <f>SUM(E119:E120)</f>
        <v>44</v>
      </c>
      <c r="F121" s="30">
        <f t="shared" si="11"/>
        <v>1.1891891891891893</v>
      </c>
      <c r="G121" s="83">
        <f>SUM(G119:G120)</f>
        <v>37</v>
      </c>
      <c r="H121" s="83">
        <f>SUM(H119:H120)</f>
        <v>44</v>
      </c>
      <c r="I121" s="30">
        <f t="shared" si="12"/>
        <v>1.1891891891891893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91">
        <f>SUM(D116,D119)</f>
        <v>0</v>
      </c>
      <c r="E122" s="91">
        <f>SUM(E116,E119)</f>
        <v>10</v>
      </c>
      <c r="F122" s="30" t="e">
        <f t="shared" si="11"/>
        <v>#DIV/0!</v>
      </c>
      <c r="G122" s="91">
        <f>SUM(G116,G119)</f>
        <v>0</v>
      </c>
      <c r="H122" s="91">
        <f>SUM(H116,H119)</f>
        <v>10</v>
      </c>
      <c r="I122" s="30" t="e">
        <f t="shared" si="12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167</v>
      </c>
      <c r="D123" s="91">
        <f>SUM(D117,D120)</f>
        <v>85</v>
      </c>
      <c r="E123" s="91">
        <f>SUM(E117,E120)</f>
        <v>93</v>
      </c>
      <c r="F123" s="30">
        <f t="shared" si="11"/>
        <v>1.0941176470588236</v>
      </c>
      <c r="G123" s="91">
        <f>SUM(G117,G120)</f>
        <v>85</v>
      </c>
      <c r="H123" s="91">
        <f>SUM(H117,H120)</f>
        <v>93</v>
      </c>
      <c r="I123" s="30">
        <f t="shared" si="12"/>
        <v>1.0941176470588236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94">
        <f>SUM(D122:D123)</f>
        <v>85</v>
      </c>
      <c r="E124" s="94">
        <f>SUM(E122:E123)</f>
        <v>103</v>
      </c>
      <c r="F124" s="41">
        <f t="shared" si="11"/>
        <v>1.2117647058823529</v>
      </c>
      <c r="G124" s="94">
        <f>SUM(G122:G123)</f>
        <v>85</v>
      </c>
      <c r="H124" s="94">
        <f>SUM(H122:H123)</f>
        <v>103</v>
      </c>
      <c r="I124" s="41">
        <f t="shared" si="12"/>
        <v>1.2117647058823529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96">
        <f>SUM(D113,D122)</f>
        <v>8</v>
      </c>
      <c r="E125" s="96">
        <f>SUM(E113,E122)</f>
        <v>24</v>
      </c>
      <c r="F125" s="45">
        <f t="shared" si="11"/>
        <v>3</v>
      </c>
      <c r="G125" s="46">
        <f>SUM(G113,G122)</f>
        <v>8</v>
      </c>
      <c r="H125" s="46">
        <f>SUM(H113,H122)</f>
        <v>24</v>
      </c>
      <c r="I125" s="45">
        <f t="shared" si="12"/>
        <v>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92">
        <f>SUM(D114,D123)</f>
        <v>300</v>
      </c>
      <c r="E126" s="92">
        <f>SUM(E114,E123)</f>
        <v>311</v>
      </c>
      <c r="F126" s="32">
        <f t="shared" si="11"/>
        <v>1.0366666666666666</v>
      </c>
      <c r="G126" s="92">
        <f>SUM(G114,G123)</f>
        <v>300</v>
      </c>
      <c r="H126" s="92">
        <f>SUM(H114,H123)</f>
        <v>311</v>
      </c>
      <c r="I126" s="32">
        <f t="shared" si="12"/>
        <v>1.0366666666666666</v>
      </c>
      <c r="J126" s="598"/>
      <c r="K126" s="599"/>
      <c r="L126" s="599"/>
      <c r="M126" s="600"/>
    </row>
    <row r="127" spans="1:13">
      <c r="A127" s="594"/>
      <c r="B127" s="594"/>
      <c r="C127" s="48" t="s">
        <v>169</v>
      </c>
      <c r="D127" s="92">
        <f>SUM(D125:D126)</f>
        <v>308</v>
      </c>
      <c r="E127" s="92">
        <f>SUM(E125:E126)</f>
        <v>335</v>
      </c>
      <c r="F127" s="49">
        <f>E127/D127</f>
        <v>1.0876623376623376</v>
      </c>
      <c r="G127" s="96">
        <f>SUM(G125:G126)</f>
        <v>308</v>
      </c>
      <c r="H127" s="96">
        <f>SUM(H125:H126)</f>
        <v>335</v>
      </c>
      <c r="I127" s="49">
        <f>H127/G127</f>
        <v>1.0876623376623376</v>
      </c>
      <c r="J127" s="598"/>
      <c r="K127" s="599"/>
      <c r="L127" s="599"/>
      <c r="M127" s="600"/>
    </row>
    <row r="130" spans="1:12" ht="15" thickBot="1">
      <c r="A130" s="5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170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924</v>
      </c>
      <c r="D135" s="592"/>
      <c r="E135" s="591">
        <v>7</v>
      </c>
      <c r="F135" s="592"/>
      <c r="G135" s="591">
        <v>6</v>
      </c>
      <c r="H135" s="592"/>
      <c r="I135" s="591">
        <v>8</v>
      </c>
      <c r="J135" s="592"/>
      <c r="K135" s="579"/>
      <c r="L135" s="580"/>
    </row>
    <row r="136" spans="1:12">
      <c r="A136" s="586" t="s">
        <v>92</v>
      </c>
      <c r="B136" s="533"/>
      <c r="C136" s="800" t="s">
        <v>171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9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9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9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95" t="s">
        <v>99</v>
      </c>
      <c r="C140" s="590">
        <v>876</v>
      </c>
      <c r="D140" s="590"/>
      <c r="E140" s="590">
        <v>233</v>
      </c>
      <c r="F140" s="590"/>
      <c r="G140" s="590">
        <v>138</v>
      </c>
      <c r="H140" s="590"/>
      <c r="I140" s="772">
        <v>33551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60" t="s">
        <v>101</v>
      </c>
      <c r="B145" s="561"/>
      <c r="C145" s="562" t="s">
        <v>185</v>
      </c>
      <c r="D145" s="563"/>
      <c r="E145" s="564"/>
      <c r="F145" s="562" t="s">
        <v>133</v>
      </c>
      <c r="G145" s="563"/>
      <c r="H145" s="563"/>
      <c r="I145" s="564"/>
      <c r="J145" s="563" t="s">
        <v>186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/>
      <c r="G146" s="754"/>
      <c r="H146" s="754"/>
      <c r="I146" s="755"/>
      <c r="J146" s="751" t="s">
        <v>187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174</v>
      </c>
      <c r="B154" s="98" t="s">
        <v>442</v>
      </c>
      <c r="C154" s="98" t="s">
        <v>110</v>
      </c>
      <c r="D154" s="9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02">
        <v>0</v>
      </c>
      <c r="C155" s="63">
        <f>E45-E44</f>
        <v>70788</v>
      </c>
      <c r="D155" s="73">
        <f>I140+30000</f>
        <v>63551</v>
      </c>
      <c r="E155" s="531" t="s">
        <v>114</v>
      </c>
      <c r="F155" s="531"/>
      <c r="G155" s="531"/>
      <c r="H155" s="72">
        <f>C155+A155+B155-D155</f>
        <v>7237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23597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99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18117</v>
      </c>
      <c r="H165" s="778"/>
      <c r="I165" s="779"/>
      <c r="J165" s="779"/>
      <c r="K165" s="780"/>
    </row>
    <row r="166" spans="1:11" ht="14">
      <c r="A166" s="97" t="s">
        <v>126</v>
      </c>
      <c r="B166" s="777" t="s">
        <v>127</v>
      </c>
      <c r="C166" s="777"/>
      <c r="D166" s="777"/>
      <c r="E166" s="777"/>
      <c r="F166" s="777"/>
      <c r="G166" s="82">
        <v>1895</v>
      </c>
      <c r="H166" s="778"/>
      <c r="I166" s="779"/>
      <c r="J166" s="779"/>
      <c r="K166" s="780"/>
    </row>
    <row r="167" spans="1:11" ht="14">
      <c r="A167" s="97" t="s">
        <v>128</v>
      </c>
      <c r="B167" s="777" t="s">
        <v>129</v>
      </c>
      <c r="C167" s="777"/>
      <c r="D167" s="777"/>
      <c r="E167" s="777"/>
      <c r="F167" s="777"/>
      <c r="G167" s="9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A16:B16"/>
    <mergeCell ref="E16:I16"/>
    <mergeCell ref="E11:I11"/>
    <mergeCell ref="E14:I14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2:I12"/>
    <mergeCell ref="E13:I13"/>
    <mergeCell ref="E15:I15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A90:A92"/>
    <mergeCell ref="B90:C90"/>
    <mergeCell ref="B91:C91"/>
    <mergeCell ref="B92:C92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</mergeCells>
  <phoneticPr fontId="20"/>
  <dataValidations count="2">
    <dataValidation type="list" allowBlank="1" showInputMessage="1" showErrorMessage="1" sqref="L3" xr:uid="{00000000-0002-0000-0D00-000000000000}">
      <formula1>"USA, JAPAN"</formula1>
    </dataValidation>
    <dataValidation type="list" allowBlank="1" showInputMessage="1" showErrorMessage="1" sqref="G1" xr:uid="{00000000-0002-0000-0D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N167"/>
  <sheetViews>
    <sheetView topLeftCell="A144" zoomScale="125" zoomScaleNormal="70" zoomScaleSheetLayoutView="85" workbookViewId="0">
      <selection activeCell="A44" sqref="A44:C44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27.6640625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43174</v>
      </c>
      <c r="M7" s="691"/>
    </row>
    <row r="8" spans="1:13" ht="15" thickBot="1">
      <c r="A8" s="5" t="s">
        <v>7</v>
      </c>
    </row>
    <row r="9" spans="1:13" ht="28">
      <c r="A9" s="560" t="s">
        <v>8</v>
      </c>
      <c r="B9" s="561"/>
      <c r="C9" s="104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03" t="s">
        <v>176</v>
      </c>
      <c r="C10" s="61">
        <v>2</v>
      </c>
      <c r="D10" s="106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03" t="s">
        <v>177</v>
      </c>
      <c r="C11" s="61">
        <v>2</v>
      </c>
      <c r="D11" s="106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03" t="s">
        <v>179</v>
      </c>
      <c r="C12" s="61">
        <v>2</v>
      </c>
      <c r="D12" s="106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03" t="s">
        <v>180</v>
      </c>
      <c r="C13" s="61">
        <v>3</v>
      </c>
      <c r="D13" s="106">
        <v>1</v>
      </c>
      <c r="E13" s="691" t="s">
        <v>130</v>
      </c>
      <c r="F13" s="691"/>
      <c r="G13" s="691"/>
      <c r="H13" s="691"/>
      <c r="I13" s="692"/>
    </row>
    <row r="14" spans="1:13">
      <c r="A14" s="690"/>
      <c r="B14" s="103" t="s">
        <v>12</v>
      </c>
      <c r="C14" s="61">
        <v>0</v>
      </c>
      <c r="D14" s="106">
        <v>0</v>
      </c>
      <c r="E14" s="693"/>
      <c r="F14" s="694"/>
      <c r="G14" s="694"/>
      <c r="H14" s="694"/>
      <c r="I14" s="695"/>
    </row>
    <row r="15" spans="1:13">
      <c r="A15" s="690"/>
      <c r="B15" s="103" t="s">
        <v>13</v>
      </c>
      <c r="C15" s="61">
        <v>2</v>
      </c>
      <c r="D15" s="106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05" t="s">
        <v>23</v>
      </c>
      <c r="E21" s="105" t="s">
        <v>24</v>
      </c>
      <c r="F21" s="105" t="s">
        <v>25</v>
      </c>
      <c r="G21" s="105" t="s">
        <v>23</v>
      </c>
      <c r="H21" s="105" t="s">
        <v>24</v>
      </c>
      <c r="I21" s="105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159</v>
      </c>
      <c r="C23" s="13" t="s">
        <v>29</v>
      </c>
      <c r="D23" s="65">
        <v>11136</v>
      </c>
      <c r="E23" s="106">
        <v>12209</v>
      </c>
      <c r="F23" s="14">
        <f t="shared" ref="F23:F28" si="0">E23/D23</f>
        <v>1.0963541666666667</v>
      </c>
      <c r="G23" s="66">
        <f>D23+'2018JAN'!G23</f>
        <v>21854</v>
      </c>
      <c r="H23" s="66">
        <f>E23+'2018JAN'!H23</f>
        <v>23861</v>
      </c>
      <c r="I23" s="14">
        <f t="shared" ref="I23:I28" si="1">H23/G23</f>
        <v>1.0918367346938775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07">
        <f>SUM(D23:D23)</f>
        <v>11136</v>
      </c>
      <c r="E24" s="107">
        <f>SUM(E23:E23)</f>
        <v>12209</v>
      </c>
      <c r="F24" s="16">
        <f t="shared" si="0"/>
        <v>1.0963541666666667</v>
      </c>
      <c r="G24" s="107">
        <f>SUM(G23:G23)</f>
        <v>21854</v>
      </c>
      <c r="H24" s="107">
        <f>SUM(H23:H23)</f>
        <v>23861</v>
      </c>
      <c r="I24" s="16">
        <f t="shared" si="1"/>
        <v>1.0918367346938775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3" t="s">
        <v>29</v>
      </c>
      <c r="D25" s="65">
        <v>10880</v>
      </c>
      <c r="E25" s="106">
        <v>12053</v>
      </c>
      <c r="F25" s="14">
        <f t="shared" si="0"/>
        <v>1.1078125000000001</v>
      </c>
      <c r="G25" s="66">
        <f>D25+'2018JAN'!G25</f>
        <v>21120</v>
      </c>
      <c r="H25" s="66">
        <f>E25+'2018JAN'!H25</f>
        <v>23376</v>
      </c>
      <c r="I25" s="14">
        <f t="shared" si="1"/>
        <v>1.1068181818181819</v>
      </c>
      <c r="J25" s="623"/>
      <c r="K25" s="623"/>
      <c r="L25" s="623"/>
      <c r="M25" s="664"/>
    </row>
    <row r="26" spans="1:13" ht="13.5" customHeight="1">
      <c r="A26" s="681"/>
      <c r="B26" s="554"/>
      <c r="C26" s="13" t="s">
        <v>32</v>
      </c>
      <c r="D26" s="65">
        <v>0</v>
      </c>
      <c r="E26" s="106">
        <v>0</v>
      </c>
      <c r="F26" s="14" t="e">
        <f t="shared" si="0"/>
        <v>#DIV/0!</v>
      </c>
      <c r="G26" s="103">
        <f>D26</f>
        <v>0</v>
      </c>
      <c r="H26" s="10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07">
        <f>SUM(D25:D26)</f>
        <v>10880</v>
      </c>
      <c r="E27" s="107">
        <f>SUM(E25:E26)</f>
        <v>12053</v>
      </c>
      <c r="F27" s="16">
        <f t="shared" si="0"/>
        <v>1.1078125000000001</v>
      </c>
      <c r="G27" s="107">
        <f>SUM(G25:G26)</f>
        <v>21120</v>
      </c>
      <c r="H27" s="107">
        <f>SUM(H25:H26)</f>
        <v>23376</v>
      </c>
      <c r="I27" s="16">
        <f t="shared" si="1"/>
        <v>1.1068181818181819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08">
        <f>SUM(D24,D27)</f>
        <v>22016</v>
      </c>
      <c r="E28" s="108">
        <f>SUM(E24,E27)</f>
        <v>24262</v>
      </c>
      <c r="F28" s="17">
        <f t="shared" si="0"/>
        <v>1.102016715116279</v>
      </c>
      <c r="G28" s="108">
        <f>SUM(G24,G27)</f>
        <v>42974</v>
      </c>
      <c r="H28" s="108">
        <f>SUM(H24,H27)</f>
        <v>47237</v>
      </c>
      <c r="I28" s="17">
        <f t="shared" si="1"/>
        <v>1.0991995159864103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3" t="s">
        <v>29</v>
      </c>
      <c r="D30" s="65">
        <v>1000</v>
      </c>
      <c r="E30" s="106">
        <v>1734</v>
      </c>
      <c r="F30" s="14">
        <f>E30/D30</f>
        <v>1.734</v>
      </c>
      <c r="G30" s="66">
        <f>D30+'2018JAN'!G30</f>
        <v>2000</v>
      </c>
      <c r="H30" s="66">
        <f>E30+'2018JAN'!H30</f>
        <v>4158</v>
      </c>
      <c r="I30" s="14">
        <f>H30/G30</f>
        <v>2.0790000000000002</v>
      </c>
      <c r="J30" s="623"/>
      <c r="K30" s="623"/>
      <c r="L30" s="623"/>
      <c r="M30" s="664"/>
    </row>
    <row r="31" spans="1:13">
      <c r="A31" s="620"/>
      <c r="B31" s="673"/>
      <c r="C31" s="13" t="s">
        <v>32</v>
      </c>
      <c r="D31" s="65">
        <v>0</v>
      </c>
      <c r="E31" s="106">
        <v>1116</v>
      </c>
      <c r="F31" s="14" t="e">
        <f t="shared" ref="F31:F47" si="2">E31/D31</f>
        <v>#DIV/0!</v>
      </c>
      <c r="G31" s="66">
        <f>D31+'2018JAN'!G31</f>
        <v>0</v>
      </c>
      <c r="H31" s="66">
        <f>E31+'2018JAN'!H31</f>
        <v>11055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07">
        <f>SUM(D30:D31)</f>
        <v>1000</v>
      </c>
      <c r="E32" s="107">
        <f>SUM(E30:E31)</f>
        <v>2850</v>
      </c>
      <c r="F32" s="14">
        <f t="shared" si="2"/>
        <v>2.85</v>
      </c>
      <c r="G32" s="107">
        <f>SUM(G30:G31)</f>
        <v>2000</v>
      </c>
      <c r="H32" s="107">
        <f>SUM(H30:H31)</f>
        <v>15213</v>
      </c>
      <c r="I32" s="14">
        <f t="shared" si="3"/>
        <v>7.6064999999999996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06">
        <v>632</v>
      </c>
      <c r="F33" s="14">
        <f t="shared" si="2"/>
        <v>0.97230769230769232</v>
      </c>
      <c r="G33" s="66">
        <f>D33+'2018JAN'!G33</f>
        <v>1300</v>
      </c>
      <c r="H33" s="66">
        <f>E33+'2018JAN'!H33</f>
        <v>1284</v>
      </c>
      <c r="I33" s="14">
        <f t="shared" si="3"/>
        <v>0.98769230769230765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05">
        <f>SUM(D32,D33)</f>
        <v>1650</v>
      </c>
      <c r="E34" s="105">
        <f>SUM(E32,E33)</f>
        <v>3482</v>
      </c>
      <c r="F34" s="14">
        <f t="shared" si="2"/>
        <v>2.1103030303030303</v>
      </c>
      <c r="G34" s="105">
        <f>SUM(G32,G33)</f>
        <v>3300</v>
      </c>
      <c r="H34" s="105">
        <f>SUM(H32,H33)</f>
        <v>16497</v>
      </c>
      <c r="I34" s="14">
        <f t="shared" si="3"/>
        <v>4.999090909090909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03">
        <v>0</v>
      </c>
      <c r="F35" s="14">
        <f t="shared" si="2"/>
        <v>0</v>
      </c>
      <c r="G35" s="66">
        <f>D35+'2018JAN'!G35</f>
        <v>72464</v>
      </c>
      <c r="H35" s="66">
        <f>E35+'2018JAN'!H35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3" t="s">
        <v>40</v>
      </c>
      <c r="D36" s="103"/>
      <c r="E36" s="103"/>
      <c r="F36" s="14" t="e">
        <f t="shared" si="2"/>
        <v>#DIV/0!</v>
      </c>
      <c r="G36" s="103"/>
      <c r="H36" s="10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07">
        <f>SUM(D35:D36)</f>
        <v>36232</v>
      </c>
      <c r="E37" s="107">
        <f>SUM(E35:E36)</f>
        <v>0</v>
      </c>
      <c r="F37" s="16">
        <f t="shared" si="2"/>
        <v>0</v>
      </c>
      <c r="G37" s="123">
        <f>SUM(G35:G36)</f>
        <v>72464</v>
      </c>
      <c r="H37" s="123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3" t="s">
        <v>40</v>
      </c>
      <c r="D38" s="65">
        <v>1100</v>
      </c>
      <c r="E38" s="106">
        <v>0</v>
      </c>
      <c r="F38" s="14">
        <f t="shared" si="2"/>
        <v>0</v>
      </c>
      <c r="G38" s="66">
        <f>D38+'2018JAN'!G38</f>
        <v>2200</v>
      </c>
      <c r="H38" s="66">
        <f>E38+'2018JAN'!H38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3" t="s">
        <v>40</v>
      </c>
      <c r="D39" s="103"/>
      <c r="E39" s="103"/>
      <c r="F39" s="14" t="e">
        <f t="shared" si="2"/>
        <v>#DIV/0!</v>
      </c>
      <c r="G39" s="103"/>
      <c r="H39" s="10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07">
        <f>SUM(D38:D39)</f>
        <v>1100</v>
      </c>
      <c r="E40" s="107">
        <f>SUM(E38:E39)</f>
        <v>0</v>
      </c>
      <c r="F40" s="16">
        <f t="shared" si="2"/>
        <v>0</v>
      </c>
      <c r="G40" s="107">
        <f>SUM(G38:G39)</f>
        <v>2200</v>
      </c>
      <c r="H40" s="107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05">
        <f>SUM(D37,D40)</f>
        <v>37332</v>
      </c>
      <c r="E41" s="105">
        <f>SUM(E37,E40)</f>
        <v>0</v>
      </c>
      <c r="F41" s="19">
        <f t="shared" si="2"/>
        <v>0</v>
      </c>
      <c r="G41" s="105">
        <f>SUM(G37,G40)</f>
        <v>74664</v>
      </c>
      <c r="H41" s="105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5121</v>
      </c>
      <c r="F42" s="21">
        <f t="shared" si="2"/>
        <v>0.46554545454545454</v>
      </c>
      <c r="G42" s="68">
        <f>D42+'2018JAN'!G42</f>
        <v>22000</v>
      </c>
      <c r="H42" s="77">
        <f>E42+'2018JAN'!H42</f>
        <v>39919</v>
      </c>
      <c r="I42" s="21">
        <f t="shared" si="3"/>
        <v>1.8145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>D43+'2018JAN'!G43</f>
        <v>0</v>
      </c>
      <c r="H43" s="68">
        <f>E43+'2018JAN'!H43</f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99970</v>
      </c>
      <c r="F44" s="21">
        <f t="shared" si="2"/>
        <v>2.984179104477612</v>
      </c>
      <c r="G44" s="68">
        <f>D44+'2018JAN'!G44</f>
        <v>67000</v>
      </c>
      <c r="H44" s="68">
        <f>E44+'2018JAN'!H44</f>
        <v>99970</v>
      </c>
      <c r="I44" s="21">
        <f t="shared" si="3"/>
        <v>1.492089552238806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11">
        <f>SUM(D28,D34,D41,D42:D44)</f>
        <v>105498</v>
      </c>
      <c r="E45" s="78">
        <f>SUM(E28,E34,E41,E42:E44)</f>
        <v>132835</v>
      </c>
      <c r="F45" s="22">
        <f t="shared" si="2"/>
        <v>1.2591233957041839</v>
      </c>
      <c r="G45" s="111">
        <f>SUM(G28,G34,G41,G42:G44)</f>
        <v>209938</v>
      </c>
      <c r="H45" s="111">
        <f>SUM(H28,H34,H41,H42:H44)</f>
        <v>203623</v>
      </c>
      <c r="I45" s="22">
        <f t="shared" si="3"/>
        <v>0.96991969057531269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11">
        <f>D45-D42</f>
        <v>94498</v>
      </c>
      <c r="E46" s="111">
        <f>E45-E42</f>
        <v>127714</v>
      </c>
      <c r="F46" s="22">
        <f t="shared" si="2"/>
        <v>1.3514995026349763</v>
      </c>
      <c r="G46" s="111">
        <f>G45-G42</f>
        <v>187938</v>
      </c>
      <c r="H46" s="111">
        <f>H45-H42</f>
        <v>163704</v>
      </c>
      <c r="I46" s="22">
        <f t="shared" si="3"/>
        <v>0.8710532196788302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09">
        <f>D46-D44</f>
        <v>60998</v>
      </c>
      <c r="E47" s="109">
        <f>E46-E44</f>
        <v>27744</v>
      </c>
      <c r="F47" s="23">
        <f t="shared" si="2"/>
        <v>0.45483458474048327</v>
      </c>
      <c r="G47" s="109">
        <f>G46-G44</f>
        <v>120938</v>
      </c>
      <c r="H47" s="109">
        <f>H46-H44</f>
        <v>63734</v>
      </c>
      <c r="I47" s="23">
        <f t="shared" si="3"/>
        <v>0.52699730440390946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10" t="s">
        <v>23</v>
      </c>
      <c r="E52" s="110" t="s">
        <v>24</v>
      </c>
      <c r="F52" s="110" t="s">
        <v>25</v>
      </c>
      <c r="G52" s="110" t="s">
        <v>23</v>
      </c>
      <c r="H52" s="110" t="s">
        <v>24</v>
      </c>
      <c r="I52" s="110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06">
        <v>21</v>
      </c>
      <c r="F53" s="28">
        <f t="shared" ref="F53:F79" si="4">E53/D53</f>
        <v>1.75</v>
      </c>
      <c r="G53" s="66">
        <f>D53+'2018JAN'!G53</f>
        <v>20</v>
      </c>
      <c r="H53" s="66">
        <f>E53+'2018JAN'!H53</f>
        <v>45</v>
      </c>
      <c r="I53" s="28">
        <f t="shared" ref="I53:I79" si="5">H53/G53</f>
        <v>2.25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06">
        <v>330</v>
      </c>
      <c r="F54" s="28">
        <f t="shared" si="4"/>
        <v>1.1000000000000001</v>
      </c>
      <c r="G54" s="66">
        <f>D54+'2018JAN'!G54</f>
        <v>600</v>
      </c>
      <c r="H54" s="66">
        <f>E54+'2018JAN'!H54</f>
        <v>641</v>
      </c>
      <c r="I54" s="28">
        <f t="shared" si="5"/>
        <v>1.0683333333333334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07">
        <f>SUM(D53:D54)</f>
        <v>312</v>
      </c>
      <c r="E55" s="107">
        <f>SUM(E53:E54)</f>
        <v>351</v>
      </c>
      <c r="F55" s="30">
        <f t="shared" si="4"/>
        <v>1.125</v>
      </c>
      <c r="G55" s="107">
        <f>SUM(G53:G54)</f>
        <v>620</v>
      </c>
      <c r="H55" s="107">
        <f>SUM(H53:H54)</f>
        <v>686</v>
      </c>
      <c r="I55" s="30">
        <f t="shared" si="5"/>
        <v>1.1064516129032258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06">
        <v>58</v>
      </c>
      <c r="F56" s="28">
        <f t="shared" si="4"/>
        <v>1.45</v>
      </c>
      <c r="G56" s="66">
        <f>D56+'2018JAN'!G56</f>
        <v>80</v>
      </c>
      <c r="H56" s="66">
        <f>E56+'2018JAN'!H56</f>
        <v>104</v>
      </c>
      <c r="I56" s="28">
        <f t="shared" si="5"/>
        <v>1.3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06">
        <v>704</v>
      </c>
      <c r="F57" s="28">
        <f t="shared" si="4"/>
        <v>1.1733333333333333</v>
      </c>
      <c r="G57" s="66">
        <f>D57+'2018JAN'!G57</f>
        <v>1200</v>
      </c>
      <c r="H57" s="66">
        <f>E57+'2018JAN'!H57</f>
        <v>1370</v>
      </c>
      <c r="I57" s="28">
        <f t="shared" si="5"/>
        <v>1.1416666666666666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15">
        <f>SUM(D56:D57)</f>
        <v>640</v>
      </c>
      <c r="E58" s="115">
        <f>SUM(E56:E57)</f>
        <v>762</v>
      </c>
      <c r="F58" s="28">
        <f t="shared" si="4"/>
        <v>1.190625</v>
      </c>
      <c r="G58" s="115">
        <f>SUM(G56:G57)</f>
        <v>1280</v>
      </c>
      <c r="H58" s="115">
        <f>SUM(H56:H57)</f>
        <v>1474</v>
      </c>
      <c r="I58" s="31">
        <f t="shared" si="5"/>
        <v>1.1515625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16">
        <f>SUM(D53,D56)</f>
        <v>52</v>
      </c>
      <c r="E59" s="116">
        <f>SUM(E53,E56)</f>
        <v>79</v>
      </c>
      <c r="F59" s="32">
        <f t="shared" si="4"/>
        <v>1.5192307692307692</v>
      </c>
      <c r="G59" s="116">
        <f>SUM(G53,G56)</f>
        <v>100</v>
      </c>
      <c r="H59" s="116">
        <f>SUM(H53,H56)</f>
        <v>149</v>
      </c>
      <c r="I59" s="32">
        <f t="shared" si="5"/>
        <v>1.49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16">
        <f>SUM(D54,D57)</f>
        <v>900</v>
      </c>
      <c r="E60" s="116">
        <f>SUM(E54,E57)</f>
        <v>1034</v>
      </c>
      <c r="F60" s="32">
        <f t="shared" si="4"/>
        <v>1.1488888888888888</v>
      </c>
      <c r="G60" s="116">
        <f>SUM(G54,G57)</f>
        <v>1800</v>
      </c>
      <c r="H60" s="116">
        <f>SUM(H54,H57)</f>
        <v>2011</v>
      </c>
      <c r="I60" s="32">
        <f t="shared" si="5"/>
        <v>1.1172222222222221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17">
        <f>SUM(D59:D60)</f>
        <v>952</v>
      </c>
      <c r="E61" s="117">
        <f>SUM(E59:E60)</f>
        <v>1113</v>
      </c>
      <c r="F61" s="33">
        <f t="shared" si="4"/>
        <v>1.1691176470588236</v>
      </c>
      <c r="G61" s="117">
        <f>SUM(G59:G60)</f>
        <v>1900</v>
      </c>
      <c r="H61" s="117">
        <f>SUM(H59:H60)</f>
        <v>2160</v>
      </c>
      <c r="I61" s="33">
        <f t="shared" si="5"/>
        <v>1.1368421052631579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03">
        <f>E71/10</f>
        <v>73</v>
      </c>
      <c r="F62" s="28">
        <f t="shared" si="4"/>
        <v>1.7380952380952381</v>
      </c>
      <c r="G62" s="66">
        <f>D62+'2018JAN'!G62</f>
        <v>70</v>
      </c>
      <c r="H62" s="66">
        <f>E62+'2018JAN'!H62</f>
        <v>156.5</v>
      </c>
      <c r="I62" s="28">
        <f t="shared" si="5"/>
        <v>2.2357142857142858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03">
        <f>E72/10</f>
        <v>1147.9000000000001</v>
      </c>
      <c r="F63" s="28">
        <f t="shared" si="4"/>
        <v>1.0995210727969349</v>
      </c>
      <c r="G63" s="66">
        <f>D63+'2018JAN'!G63</f>
        <v>2088</v>
      </c>
      <c r="H63" s="66">
        <f>E63+'2018JAN'!H63</f>
        <v>2229.6000000000004</v>
      </c>
      <c r="I63" s="28">
        <f t="shared" si="5"/>
        <v>1.0678160919540232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07">
        <f>SUM(E62:E63)</f>
        <v>1220.9000000000001</v>
      </c>
      <c r="F64" s="30">
        <f t="shared" si="4"/>
        <v>1.1242173112338858</v>
      </c>
      <c r="G64" s="107">
        <f>SUM(G62:G63)</f>
        <v>2158</v>
      </c>
      <c r="H64" s="107">
        <f>SUM(H62:H63)</f>
        <v>2386.1000000000004</v>
      </c>
      <c r="I64" s="30">
        <f t="shared" si="5"/>
        <v>1.1056997219647824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03">
        <f>E74/10</f>
        <v>83</v>
      </c>
      <c r="F65" s="28">
        <f t="shared" si="4"/>
        <v>1.296875</v>
      </c>
      <c r="G65" s="66">
        <f>D65+'2018JAN'!G65</f>
        <v>128</v>
      </c>
      <c r="H65" s="66">
        <f>E65+'2018JAN'!H65</f>
        <v>139.5</v>
      </c>
      <c r="I65" s="28">
        <f t="shared" si="5"/>
        <v>1.08984375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03">
        <f>E75/10</f>
        <v>1122.3</v>
      </c>
      <c r="F66" s="28">
        <f t="shared" si="4"/>
        <v>1.1690624999999999</v>
      </c>
      <c r="G66" s="66">
        <f>D66+'2018JAN'!G66</f>
        <v>1920</v>
      </c>
      <c r="H66" s="66">
        <f>E66+'2018JAN'!H66</f>
        <v>2198.1</v>
      </c>
      <c r="I66" s="28">
        <f t="shared" si="5"/>
        <v>1.1448437499999999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15">
        <f>SUM(D65:D66)</f>
        <v>1024</v>
      </c>
      <c r="E67" s="115">
        <f>SUM(E65:E66)</f>
        <v>1205.3</v>
      </c>
      <c r="F67" s="31">
        <f t="shared" si="4"/>
        <v>1.17705078125</v>
      </c>
      <c r="G67" s="115">
        <f>SUM(G65:G66)</f>
        <v>2048</v>
      </c>
      <c r="H67" s="115">
        <f>SUM(H65:H66)</f>
        <v>2337.6</v>
      </c>
      <c r="I67" s="31">
        <f t="shared" si="5"/>
        <v>1.14140625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16">
        <f>SUM(D62,D65)</f>
        <v>106</v>
      </c>
      <c r="E68" s="116">
        <f>SUM(E62,E65)</f>
        <v>156</v>
      </c>
      <c r="F68" s="32">
        <f t="shared" si="4"/>
        <v>1.4716981132075471</v>
      </c>
      <c r="G68" s="116">
        <f>SUM(G62,G65)</f>
        <v>198</v>
      </c>
      <c r="H68" s="116">
        <f>SUM(H62,H65)</f>
        <v>296</v>
      </c>
      <c r="I68" s="32">
        <f t="shared" si="5"/>
        <v>1.494949494949495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16">
        <f>SUM(D63,D66)</f>
        <v>2004</v>
      </c>
      <c r="E69" s="116">
        <f>SUM(E63,E66)</f>
        <v>2270.1999999999998</v>
      </c>
      <c r="F69" s="32">
        <f t="shared" si="4"/>
        <v>1.1328343313373253</v>
      </c>
      <c r="G69" s="116">
        <f>SUM(G63,G66)</f>
        <v>4008</v>
      </c>
      <c r="H69" s="116">
        <f>SUM(H63,H66)</f>
        <v>4427.7000000000007</v>
      </c>
      <c r="I69" s="32">
        <f t="shared" si="5"/>
        <v>1.1047155688622756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17">
        <f>SUM(D68:D69)</f>
        <v>2110</v>
      </c>
      <c r="E70" s="117">
        <f>SUM(E68:E69)</f>
        <v>2426.1999999999998</v>
      </c>
      <c r="F70" s="34">
        <f t="shared" si="4"/>
        <v>1.1498578199052132</v>
      </c>
      <c r="G70" s="117">
        <f>SUM(G68:G69)</f>
        <v>4206</v>
      </c>
      <c r="H70" s="117">
        <f>SUM(H68:H69)</f>
        <v>4723.7000000000007</v>
      </c>
      <c r="I70" s="34">
        <f t="shared" si="5"/>
        <v>1.1230860675225869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696</v>
      </c>
      <c r="E71" s="106">
        <v>730</v>
      </c>
      <c r="F71" s="28">
        <f t="shared" si="4"/>
        <v>1.0488505747126438</v>
      </c>
      <c r="G71" s="66">
        <f>D71+'2018JAN'!G71</f>
        <v>974</v>
      </c>
      <c r="H71" s="66">
        <f>E71+'2018JAN'!H71</f>
        <v>1565</v>
      </c>
      <c r="I71" s="28">
        <f t="shared" si="5"/>
        <v>1.606776180698152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23">
        <f>E23-E71</f>
        <v>11479</v>
      </c>
      <c r="F72" s="28">
        <f t="shared" si="4"/>
        <v>1.0995210727969349</v>
      </c>
      <c r="G72" s="66">
        <f>D72+'2018JAN'!G72</f>
        <v>20880</v>
      </c>
      <c r="H72" s="66">
        <f>E72+'2018JAN'!H72</f>
        <v>22296</v>
      </c>
      <c r="I72" s="28">
        <f t="shared" si="5"/>
        <v>1.0678160919540229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07">
        <f>SUM(D71:D72)</f>
        <v>11136</v>
      </c>
      <c r="E73" s="107">
        <f>SUM(E71:E72)</f>
        <v>12209</v>
      </c>
      <c r="F73" s="30">
        <f t="shared" si="4"/>
        <v>1.0963541666666667</v>
      </c>
      <c r="G73" s="107">
        <f>SUM(G71:G72)</f>
        <v>21854</v>
      </c>
      <c r="H73" s="107">
        <f>SUM(H71:H72)</f>
        <v>23861</v>
      </c>
      <c r="I73" s="30">
        <f t="shared" si="5"/>
        <v>1.0918367346938775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1280</v>
      </c>
      <c r="E74" s="106">
        <v>830</v>
      </c>
      <c r="F74" s="28">
        <f t="shared" si="4"/>
        <v>0.6484375</v>
      </c>
      <c r="G74" s="66">
        <f>D74+'2018JAN'!G74</f>
        <v>1920</v>
      </c>
      <c r="H74" s="66">
        <f>E74+'2018JAN'!H74</f>
        <v>1395</v>
      </c>
      <c r="I74" s="28">
        <f t="shared" si="5"/>
        <v>0.7265625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23">
        <f>E25-E74</f>
        <v>11223</v>
      </c>
      <c r="F75" s="28">
        <f t="shared" si="4"/>
        <v>1.1690624999999999</v>
      </c>
      <c r="G75" s="66">
        <f>D75+'2018JAN'!G75</f>
        <v>19200</v>
      </c>
      <c r="H75" s="66">
        <f>E75+'2018JAN'!H75</f>
        <v>21981</v>
      </c>
      <c r="I75" s="28">
        <f t="shared" si="5"/>
        <v>1.1448437499999999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15">
        <f>SUM(D74:D75)</f>
        <v>10880</v>
      </c>
      <c r="E76" s="115">
        <f>SUM(E74:E75)</f>
        <v>12053</v>
      </c>
      <c r="F76" s="31">
        <f t="shared" si="4"/>
        <v>1.1078125000000001</v>
      </c>
      <c r="G76" s="115">
        <f>SUM(G74:G75)</f>
        <v>21120</v>
      </c>
      <c r="H76" s="115">
        <f>SUM(H74:H75)</f>
        <v>23376</v>
      </c>
      <c r="I76" s="31">
        <f t="shared" si="5"/>
        <v>1.1068181818181819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16">
        <f>SUM(D71,D74)</f>
        <v>1976</v>
      </c>
      <c r="E77" s="116">
        <f>SUM(E71,E74)</f>
        <v>1560</v>
      </c>
      <c r="F77" s="32">
        <f t="shared" si="4"/>
        <v>0.78947368421052633</v>
      </c>
      <c r="G77" s="116">
        <f>SUM(G71,G74)</f>
        <v>2894</v>
      </c>
      <c r="H77" s="116">
        <f>SUM(H71,H74)</f>
        <v>2960</v>
      </c>
      <c r="I77" s="32">
        <f t="shared" si="5"/>
        <v>1.022805805114029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16">
        <f>SUM(D72,D75)</f>
        <v>20040</v>
      </c>
      <c r="E78" s="116">
        <f>SUM(E72,E75)</f>
        <v>22702</v>
      </c>
      <c r="F78" s="32">
        <f t="shared" si="4"/>
        <v>1.1328343313373253</v>
      </c>
      <c r="G78" s="116">
        <f>SUM(G72,G75)</f>
        <v>40080</v>
      </c>
      <c r="H78" s="116">
        <f>SUM(H72,H75)</f>
        <v>44277</v>
      </c>
      <c r="I78" s="32">
        <f t="shared" si="5"/>
        <v>1.1047155688622754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17">
        <f>SUM(D77:D78)</f>
        <v>22016</v>
      </c>
      <c r="E79" s="117">
        <f>SUM(E77:E78)</f>
        <v>24262</v>
      </c>
      <c r="F79" s="34">
        <f t="shared" si="4"/>
        <v>1.102016715116279</v>
      </c>
      <c r="G79" s="117">
        <f>SUM(G77:G78)</f>
        <v>42974</v>
      </c>
      <c r="H79" s="117">
        <f>SUM(H77:H78)</f>
        <v>47237</v>
      </c>
      <c r="I79" s="34">
        <f t="shared" si="5"/>
        <v>1.0991995159864103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4" ht="14">
      <c r="A82" s="5" t="s">
        <v>64</v>
      </c>
    </row>
    <row r="83" spans="1:14" ht="14">
      <c r="A83" s="125" t="s">
        <v>188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</row>
    <row r="84" spans="1:14" ht="15" customHeight="1">
      <c r="A84" s="775" t="s">
        <v>189</v>
      </c>
      <c r="B84" s="775"/>
      <c r="C84" s="775"/>
      <c r="D84" s="776" t="s">
        <v>204</v>
      </c>
      <c r="E84" s="776"/>
      <c r="F84" s="776" t="s">
        <v>190</v>
      </c>
      <c r="G84" s="776"/>
      <c r="H84" s="776" t="s">
        <v>191</v>
      </c>
      <c r="I84" s="126"/>
      <c r="J84" s="126"/>
      <c r="K84" s="126"/>
      <c r="L84" s="126"/>
      <c r="M84" s="126"/>
      <c r="N84" s="126"/>
    </row>
    <row r="85" spans="1:14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  <c r="I85" s="126"/>
      <c r="J85" s="126"/>
      <c r="K85" s="126"/>
      <c r="L85" s="126"/>
      <c r="M85" s="126"/>
      <c r="N85" s="126"/>
    </row>
    <row r="86" spans="1:14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  <c r="I86" s="126"/>
      <c r="J86" s="126"/>
      <c r="K86" s="126"/>
      <c r="L86" s="126"/>
      <c r="M86" s="126"/>
      <c r="N86" s="126"/>
    </row>
    <row r="87" spans="1:14" ht="15" customHeight="1">
      <c r="A87" s="775"/>
      <c r="B87" s="776" t="s">
        <v>197</v>
      </c>
      <c r="C87" s="776"/>
      <c r="D87" s="131">
        <v>351</v>
      </c>
      <c r="E87" s="130"/>
      <c r="F87" s="134">
        <f>D87+'2018JAN'!F87</f>
        <v>686</v>
      </c>
      <c r="G87" s="130"/>
      <c r="H87" s="128"/>
      <c r="I87" s="126"/>
      <c r="J87" s="126"/>
      <c r="K87" s="126"/>
      <c r="L87" s="126"/>
      <c r="M87" s="126"/>
      <c r="N87" s="126"/>
    </row>
    <row r="88" spans="1:14" ht="15" customHeight="1">
      <c r="A88" s="775"/>
      <c r="B88" s="776" t="s">
        <v>198</v>
      </c>
      <c r="C88" s="776"/>
      <c r="D88" s="131">
        <v>21</v>
      </c>
      <c r="E88" s="128"/>
      <c r="F88" s="134">
        <f>D88+'2018JAN'!F88</f>
        <v>45</v>
      </c>
      <c r="G88" s="128"/>
      <c r="H88" s="128"/>
      <c r="I88" s="126"/>
      <c r="J88" s="126"/>
      <c r="K88" s="126"/>
      <c r="L88" s="126"/>
      <c r="M88" s="126"/>
      <c r="N88" s="126"/>
    </row>
    <row r="89" spans="1:14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D89+'2018JAN'!F89</f>
        <v>0</v>
      </c>
      <c r="G89" s="128">
        <f>F89/F87</f>
        <v>0</v>
      </c>
      <c r="H89" s="128"/>
      <c r="I89" s="126"/>
      <c r="J89" s="126"/>
      <c r="K89" s="126"/>
      <c r="L89" s="126"/>
      <c r="M89" s="126"/>
      <c r="N89" s="126"/>
    </row>
    <row r="90" spans="1:14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2.7777777777777776E-2</v>
      </c>
      <c r="F90" s="134">
        <f>D90+'2018JAN'!F90</f>
        <v>10</v>
      </c>
      <c r="G90" s="128">
        <f>F90/F92</f>
        <v>3.2679738562091505E-2</v>
      </c>
      <c r="H90" s="128"/>
      <c r="I90" s="126"/>
      <c r="J90" s="126"/>
      <c r="K90" s="126"/>
      <c r="L90" s="126"/>
      <c r="M90" s="126"/>
      <c r="N90" s="126"/>
    </row>
    <row r="91" spans="1:14" ht="15" customHeight="1">
      <c r="A91" s="775"/>
      <c r="B91" s="776" t="s">
        <v>202</v>
      </c>
      <c r="C91" s="776"/>
      <c r="D91" s="131">
        <v>162</v>
      </c>
      <c r="E91" s="128">
        <f>D91/D92</f>
        <v>1.125</v>
      </c>
      <c r="F91" s="134">
        <f>D91+'2018JAN'!F91</f>
        <v>345</v>
      </c>
      <c r="G91" s="128">
        <f>F91/F92</f>
        <v>1.1274509803921569</v>
      </c>
      <c r="H91" s="128"/>
      <c r="I91" s="126"/>
      <c r="J91" s="126"/>
      <c r="K91" s="126"/>
      <c r="L91" s="126"/>
      <c r="M91" s="126"/>
      <c r="N91" s="126"/>
    </row>
    <row r="92" spans="1:14" ht="15" customHeight="1">
      <c r="A92" s="775"/>
      <c r="B92" s="776" t="s">
        <v>203</v>
      </c>
      <c r="C92" s="776"/>
      <c r="D92" s="131">
        <v>144</v>
      </c>
      <c r="E92" s="130"/>
      <c r="F92" s="134">
        <f>D92+'2018JAN'!F92</f>
        <v>306</v>
      </c>
      <c r="G92" s="130"/>
      <c r="H92" s="128"/>
      <c r="I92" s="126"/>
      <c r="J92" s="126"/>
      <c r="K92" s="126"/>
      <c r="L92" s="126"/>
      <c r="M92" s="126"/>
      <c r="N92" s="126"/>
    </row>
    <row r="93" spans="1:14">
      <c r="B93" s="126"/>
      <c r="C93" s="126" t="s">
        <v>210</v>
      </c>
      <c r="D93" s="132">
        <v>497</v>
      </c>
      <c r="E93" s="126"/>
      <c r="F93" s="126"/>
      <c r="G93" s="126"/>
      <c r="H93" s="126"/>
      <c r="I93" s="126"/>
      <c r="J93" s="126"/>
      <c r="K93" s="126"/>
      <c r="L93" s="126"/>
      <c r="M93" s="126"/>
      <c r="N93" s="126"/>
    </row>
    <row r="94" spans="1:14" ht="14">
      <c r="A94" s="129" t="s">
        <v>211</v>
      </c>
    </row>
    <row r="95" spans="1:14" ht="14" thickBot="1"/>
    <row r="96" spans="1:14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10" t="s">
        <v>23</v>
      </c>
      <c r="E97" s="110" t="s">
        <v>24</v>
      </c>
      <c r="F97" s="110" t="s">
        <v>25</v>
      </c>
      <c r="G97" s="110" t="s">
        <v>23</v>
      </c>
      <c r="H97" s="110" t="s">
        <v>24</v>
      </c>
      <c r="I97" s="110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06">
        <v>0</v>
      </c>
      <c r="F98" s="37" t="e">
        <f>E98/D98</f>
        <v>#DIV/0!</v>
      </c>
      <c r="G98" s="66">
        <f>D98+'2018JAN'!G98</f>
        <v>0</v>
      </c>
      <c r="H98" s="66">
        <f>E98+'2018JAN'!H98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06">
        <v>42</v>
      </c>
      <c r="F99" s="28">
        <f t="shared" ref="F99:F115" si="6">E99/D99</f>
        <v>1.024390243902439</v>
      </c>
      <c r="G99" s="66">
        <f>D99+'2018JAN'!G99</f>
        <v>82</v>
      </c>
      <c r="H99" s="66">
        <f>E99+'2018JAN'!H99</f>
        <v>83</v>
      </c>
      <c r="I99" s="28">
        <f t="shared" ref="I99:I115" si="7">H99/G99</f>
        <v>1.0121951219512195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07">
        <f>SUM(D98:D99)</f>
        <v>41</v>
      </c>
      <c r="E100" s="107">
        <f>SUM(E98:E99)</f>
        <v>42</v>
      </c>
      <c r="F100" s="30">
        <f t="shared" si="6"/>
        <v>1.024390243902439</v>
      </c>
      <c r="G100" s="107">
        <f>SUM(G98:G99)</f>
        <v>82</v>
      </c>
      <c r="H100" s="107">
        <f>SUM(H98:H99)</f>
        <v>84</v>
      </c>
      <c r="I100" s="30">
        <f t="shared" si="7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06">
        <v>0</v>
      </c>
      <c r="F101" s="28" t="e">
        <f t="shared" si="6"/>
        <v>#DIV/0!</v>
      </c>
      <c r="G101" s="66">
        <f>D101+'2018JAN'!G101</f>
        <v>0</v>
      </c>
      <c r="H101" s="66">
        <f>E101+'2018JAN'!H101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06">
        <v>10</v>
      </c>
      <c r="F102" s="28">
        <f t="shared" si="6"/>
        <v>0.90909090909090906</v>
      </c>
      <c r="G102" s="66">
        <f>D102+'2018JAN'!G102</f>
        <v>22</v>
      </c>
      <c r="H102" s="66">
        <f>E102+'2018JAN'!H102</f>
        <v>21</v>
      </c>
      <c r="I102" s="28">
        <f t="shared" si="7"/>
        <v>0.95454545454545459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07">
        <f>SUM(D101:D102)</f>
        <v>11</v>
      </c>
      <c r="E103" s="107">
        <f>SUM(E101:E102)</f>
        <v>10</v>
      </c>
      <c r="F103" s="30">
        <f t="shared" si="6"/>
        <v>0.90909090909090906</v>
      </c>
      <c r="G103" s="107">
        <f>SUM(G101:G102)</f>
        <v>22</v>
      </c>
      <c r="H103" s="107">
        <f>SUM(H101:H102)</f>
        <v>21</v>
      </c>
      <c r="I103" s="30">
        <f t="shared" si="7"/>
        <v>0.95454545454545459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06">
        <v>0</v>
      </c>
      <c r="F104" s="28" t="e">
        <f t="shared" si="6"/>
        <v>#DIV/0!</v>
      </c>
      <c r="G104" s="66">
        <f>D104+'2018JAN'!G104</f>
        <v>0</v>
      </c>
      <c r="H104" s="66">
        <f>E104+'2018JAN'!H104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06">
        <v>60</v>
      </c>
      <c r="F105" s="28">
        <f t="shared" si="6"/>
        <v>0.95238095238095233</v>
      </c>
      <c r="G105" s="66">
        <f>D105+'2018JAN'!G105</f>
        <v>126</v>
      </c>
      <c r="H105" s="66">
        <f>E105+'2018JAN'!H105</f>
        <v>120</v>
      </c>
      <c r="I105" s="28">
        <f t="shared" si="7"/>
        <v>0.95238095238095233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07">
        <f>SUM(D104:D105)</f>
        <v>63</v>
      </c>
      <c r="E106" s="107">
        <f>SUM(E104:E105)</f>
        <v>60</v>
      </c>
      <c r="F106" s="30">
        <f t="shared" si="6"/>
        <v>0.95238095238095233</v>
      </c>
      <c r="G106" s="107">
        <f>SUM(G104:G105)</f>
        <v>126</v>
      </c>
      <c r="H106" s="107">
        <f>SUM(H104:H105)</f>
        <v>120</v>
      </c>
      <c r="I106" s="30">
        <f t="shared" si="7"/>
        <v>0.95238095238095233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06">
        <v>0</v>
      </c>
      <c r="F107" s="28">
        <f>E107/D107</f>
        <v>0</v>
      </c>
      <c r="G107" s="66">
        <f>D107+'2018JAN'!G107</f>
        <v>2</v>
      </c>
      <c r="H107" s="66">
        <f>E107+'2018JAN'!H107</f>
        <v>0</v>
      </c>
      <c r="I107" s="28">
        <f>H107/G107</f>
        <v>0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100</v>
      </c>
      <c r="E108" s="106">
        <v>100</v>
      </c>
      <c r="F108" s="28">
        <f>E108/D108</f>
        <v>1</v>
      </c>
      <c r="G108" s="66">
        <f>D108+'2018JAN'!G108</f>
        <v>200</v>
      </c>
      <c r="H108" s="66">
        <f>E108+'2018JAN'!H108</f>
        <v>201</v>
      </c>
      <c r="I108" s="28">
        <f t="shared" si="7"/>
        <v>1.0049999999999999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07">
        <f>SUM(D107:D108)</f>
        <v>102</v>
      </c>
      <c r="E109" s="107">
        <f>SUM(E107:E108)</f>
        <v>100</v>
      </c>
      <c r="F109" s="30">
        <f t="shared" si="6"/>
        <v>0.98039215686274506</v>
      </c>
      <c r="G109" s="107">
        <f>SUM(G107:G108)</f>
        <v>202</v>
      </c>
      <c r="H109" s="107">
        <f>SUM(H107:H108)</f>
        <v>201</v>
      </c>
      <c r="I109" s="30">
        <f t="shared" si="7"/>
        <v>0.99504950495049505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06">
        <v>17</v>
      </c>
      <c r="F110" s="30">
        <f>E110/D110</f>
        <v>2.125</v>
      </c>
      <c r="G110" s="66">
        <f>D110+'2018JAN'!G110</f>
        <v>16</v>
      </c>
      <c r="H110" s="66">
        <f>E110+'2018JAN'!H110</f>
        <v>30</v>
      </c>
      <c r="I110" s="30">
        <f>H110/G110</f>
        <v>1.875</v>
      </c>
      <c r="J110" s="112"/>
      <c r="K110" s="113"/>
      <c r="L110" s="113"/>
      <c r="M110" s="114"/>
    </row>
    <row r="111" spans="1:13">
      <c r="A111" s="553"/>
      <c r="B111" s="803"/>
      <c r="C111" s="27" t="s">
        <v>70</v>
      </c>
      <c r="D111" s="65">
        <v>8</v>
      </c>
      <c r="E111" s="106">
        <v>17</v>
      </c>
      <c r="F111" s="30">
        <f t="shared" ref="F111:F112" si="8">E111/D111</f>
        <v>2.125</v>
      </c>
      <c r="G111" s="66">
        <f>D111+'2018JAN'!G111</f>
        <v>8</v>
      </c>
      <c r="H111" s="66">
        <f>E111+'2018JAN'!H111</f>
        <v>22</v>
      </c>
      <c r="I111" s="30">
        <f t="shared" ref="I111:I112" si="9">H111/G111</f>
        <v>2.75</v>
      </c>
      <c r="J111" s="112"/>
      <c r="K111" s="113"/>
      <c r="L111" s="113"/>
      <c r="M111" s="114"/>
    </row>
    <row r="112" spans="1:13">
      <c r="A112" s="553"/>
      <c r="B112" s="804"/>
      <c r="C112" s="38" t="s">
        <v>166</v>
      </c>
      <c r="D112" s="107">
        <f>SUM(D110:D111)</f>
        <v>16</v>
      </c>
      <c r="E112" s="107">
        <f>SUM(E110:E111)</f>
        <v>34</v>
      </c>
      <c r="F112" s="30">
        <f t="shared" si="8"/>
        <v>2.125</v>
      </c>
      <c r="G112" s="107">
        <f>SUM(G110:G111)</f>
        <v>24</v>
      </c>
      <c r="H112" s="107">
        <f>SUM(H110:H111)</f>
        <v>52</v>
      </c>
      <c r="I112" s="30">
        <f t="shared" si="9"/>
        <v>2.1666666666666665</v>
      </c>
      <c r="J112" s="112"/>
      <c r="K112" s="113"/>
      <c r="L112" s="113"/>
      <c r="M112" s="114"/>
    </row>
    <row r="113" spans="1:13">
      <c r="A113" s="553"/>
      <c r="B113" s="611" t="s">
        <v>46</v>
      </c>
      <c r="C113" s="39" t="s">
        <v>69</v>
      </c>
      <c r="D113" s="115">
        <f>SUM(D98,D101,D104,D107,D110)</f>
        <v>10</v>
      </c>
      <c r="E113" s="115">
        <f>SUM(E98,E101,E104,E107,E110)</f>
        <v>17</v>
      </c>
      <c r="F113" s="31">
        <f t="shared" si="6"/>
        <v>1.7</v>
      </c>
      <c r="G113" s="115">
        <f>SUM(G98,G101,G104,G107,G110)</f>
        <v>18</v>
      </c>
      <c r="H113" s="115">
        <f>SUM(H98,H101,H104,H107,H110)</f>
        <v>31</v>
      </c>
      <c r="I113" s="31">
        <f t="shared" si="7"/>
        <v>1.7222222222222223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15">
        <f>SUM(D99,D102,D105,D108,D111)</f>
        <v>223</v>
      </c>
      <c r="E114" s="115">
        <f>SUM(E99,E102,E105,E108,E111)</f>
        <v>229</v>
      </c>
      <c r="F114" s="31">
        <f t="shared" si="6"/>
        <v>1.0269058295964126</v>
      </c>
      <c r="G114" s="115">
        <f>SUM(G99,G102,G105,G108,G111)</f>
        <v>438</v>
      </c>
      <c r="H114" s="115">
        <f>SUM(H99,H102,H105,H108,H111)</f>
        <v>447</v>
      </c>
      <c r="I114" s="31">
        <f t="shared" si="7"/>
        <v>1.0205479452054795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18">
        <f>SUM(D113:D114)</f>
        <v>233</v>
      </c>
      <c r="E115" s="118">
        <f>SUM(E113:E114)</f>
        <v>246</v>
      </c>
      <c r="F115" s="41">
        <f t="shared" si="6"/>
        <v>1.055793991416309</v>
      </c>
      <c r="G115" s="118">
        <f>SUM(G113:G114)</f>
        <v>456</v>
      </c>
      <c r="H115" s="118">
        <f>SUM(H113:H114)</f>
        <v>478</v>
      </c>
      <c r="I115" s="41">
        <f t="shared" si="7"/>
        <v>1.0482456140350878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D116+'2018JAN'!G116</f>
        <v>2</v>
      </c>
      <c r="H116" s="70">
        <f>E116+'2018JAN'!H116</f>
        <v>10</v>
      </c>
      <c r="I116" s="43">
        <f>H116/G116</f>
        <v>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48</v>
      </c>
      <c r="E117" s="106">
        <v>58</v>
      </c>
      <c r="F117" s="28">
        <f t="shared" ref="F117:F126" si="10">E117/D117</f>
        <v>1.2083333333333333</v>
      </c>
      <c r="G117" s="70">
        <f>D117+'2018JAN'!G117</f>
        <v>96</v>
      </c>
      <c r="H117" s="71">
        <f>E117+'2018JAN'!H117</f>
        <v>107</v>
      </c>
      <c r="I117" s="28">
        <f t="shared" ref="I117:I126" si="11">H117/G117</f>
        <v>1.1145833333333333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07">
        <f>SUM(D116:D117)</f>
        <v>50</v>
      </c>
      <c r="E118" s="107">
        <f>SUM(E116:E117)</f>
        <v>58</v>
      </c>
      <c r="F118" s="30">
        <f t="shared" si="10"/>
        <v>1.1599999999999999</v>
      </c>
      <c r="G118" s="107">
        <f>SUM(G116:G117)</f>
        <v>98</v>
      </c>
      <c r="H118" s="107">
        <f>SUM(H116:H117)</f>
        <v>117</v>
      </c>
      <c r="I118" s="30">
        <f t="shared" si="11"/>
        <v>1.1938775510204083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06">
        <v>4</v>
      </c>
      <c r="F119" s="28" t="e">
        <f t="shared" si="10"/>
        <v>#DIV/0!</v>
      </c>
      <c r="G119" s="66">
        <f>D119+'2018JAN'!G119</f>
        <v>0</v>
      </c>
      <c r="H119" s="66">
        <f>E119+'2018JAN'!H119</f>
        <v>4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06">
        <v>43</v>
      </c>
      <c r="F120" s="28">
        <f t="shared" si="10"/>
        <v>1.1621621621621621</v>
      </c>
      <c r="G120" s="66">
        <f>D120+'2018JAN'!G120</f>
        <v>74</v>
      </c>
      <c r="H120" s="66">
        <f>E120+'2018JAN'!H120</f>
        <v>87</v>
      </c>
      <c r="I120" s="28">
        <f t="shared" si="11"/>
        <v>1.1756756756756757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07">
        <f>SUM(D119:D120)</f>
        <v>37</v>
      </c>
      <c r="E121" s="107">
        <f>SUM(E119:E120)</f>
        <v>47</v>
      </c>
      <c r="F121" s="30">
        <f t="shared" si="10"/>
        <v>1.2702702702702702</v>
      </c>
      <c r="G121" s="107">
        <f>SUM(G119:G120)</f>
        <v>74</v>
      </c>
      <c r="H121" s="107">
        <f>SUM(H119:H120)</f>
        <v>91</v>
      </c>
      <c r="I121" s="30">
        <f t="shared" si="11"/>
        <v>1.2297297297297298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15">
        <f>SUM(D116,D119)</f>
        <v>2</v>
      </c>
      <c r="E122" s="115">
        <f>SUM(E116,E119)</f>
        <v>4</v>
      </c>
      <c r="F122" s="30">
        <f t="shared" si="10"/>
        <v>2</v>
      </c>
      <c r="G122" s="115">
        <f>SUM(G116,G119)</f>
        <v>2</v>
      </c>
      <c r="H122" s="115">
        <f>SUM(H116,H119)</f>
        <v>14</v>
      </c>
      <c r="I122" s="30">
        <f t="shared" si="11"/>
        <v>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15">
        <f>SUM(D117,D120)</f>
        <v>85</v>
      </c>
      <c r="E123" s="115">
        <f>SUM(E117,E120)</f>
        <v>101</v>
      </c>
      <c r="F123" s="30">
        <f t="shared" si="10"/>
        <v>1.1882352941176471</v>
      </c>
      <c r="G123" s="115">
        <f>SUM(G117,G120)</f>
        <v>170</v>
      </c>
      <c r="H123" s="115">
        <f>SUM(H117,H120)</f>
        <v>194</v>
      </c>
      <c r="I123" s="30">
        <f t="shared" si="11"/>
        <v>1.1411764705882352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18">
        <f>SUM(D122:D123)</f>
        <v>87</v>
      </c>
      <c r="E124" s="118">
        <f>SUM(E122:E123)</f>
        <v>105</v>
      </c>
      <c r="F124" s="41">
        <f t="shared" si="10"/>
        <v>1.2068965517241379</v>
      </c>
      <c r="G124" s="118">
        <f>SUM(G122:G123)</f>
        <v>172</v>
      </c>
      <c r="H124" s="118">
        <f>SUM(H122:H123)</f>
        <v>208</v>
      </c>
      <c r="I124" s="41">
        <f t="shared" si="11"/>
        <v>1.2093023255813953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20">
        <f>SUM(D113,D122)</f>
        <v>12</v>
      </c>
      <c r="E125" s="120">
        <f>SUM(E113,E122)</f>
        <v>21</v>
      </c>
      <c r="F125" s="45">
        <f t="shared" si="10"/>
        <v>1.75</v>
      </c>
      <c r="G125" s="46">
        <f>SUM(G113,G122)</f>
        <v>20</v>
      </c>
      <c r="H125" s="46">
        <f>SUM(H113,H122)</f>
        <v>45</v>
      </c>
      <c r="I125" s="45">
        <f t="shared" si="11"/>
        <v>2.25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16">
        <f>SUM(D114,D123)</f>
        <v>308</v>
      </c>
      <c r="E126" s="116">
        <f>SUM(E114,E123)</f>
        <v>330</v>
      </c>
      <c r="F126" s="32">
        <f t="shared" si="10"/>
        <v>1.0714285714285714</v>
      </c>
      <c r="G126" s="116">
        <f>SUM(G114,G123)</f>
        <v>608</v>
      </c>
      <c r="H126" s="116">
        <f>SUM(H114,H123)</f>
        <v>641</v>
      </c>
      <c r="I126" s="32">
        <f t="shared" si="11"/>
        <v>1.0542763157894737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16">
        <f>SUM(D125:D126)</f>
        <v>320</v>
      </c>
      <c r="E127" s="116">
        <f>SUM(E125:E126)</f>
        <v>351</v>
      </c>
      <c r="F127" s="49">
        <f>E127/D127</f>
        <v>1.096875</v>
      </c>
      <c r="G127" s="120">
        <f>SUM(G125:G126)</f>
        <v>628</v>
      </c>
      <c r="H127" s="120">
        <f>SUM(H125:H126)</f>
        <v>686</v>
      </c>
      <c r="I127" s="49">
        <f>H127/G127</f>
        <v>1.0923566878980893</v>
      </c>
      <c r="J127" s="598"/>
      <c r="K127" s="599"/>
      <c r="L127" s="599"/>
      <c r="M127" s="600"/>
    </row>
    <row r="130" spans="1:12" ht="15" thickBot="1">
      <c r="A130" s="5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281</v>
      </c>
      <c r="D135" s="592"/>
      <c r="E135" s="591">
        <v>11</v>
      </c>
      <c r="F135" s="592"/>
      <c r="G135" s="591">
        <v>2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19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19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19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19" t="s">
        <v>99</v>
      </c>
      <c r="C140" s="590">
        <v>184</v>
      </c>
      <c r="D140" s="590"/>
      <c r="E140" s="590">
        <v>79</v>
      </c>
      <c r="F140" s="590"/>
      <c r="G140" s="590">
        <v>7</v>
      </c>
      <c r="H140" s="590"/>
      <c r="I140" s="772">
        <v>4851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22" t="s">
        <v>109</v>
      </c>
      <c r="C154" s="122" t="s">
        <v>110</v>
      </c>
      <c r="D154" s="122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99970</v>
      </c>
      <c r="B155" s="124">
        <f>'2018JAN'!H155</f>
        <v>7237</v>
      </c>
      <c r="C155" s="63">
        <f>E45-E44</f>
        <v>32865</v>
      </c>
      <c r="D155" s="73">
        <v>75267</v>
      </c>
      <c r="E155" s="531" t="s">
        <v>114</v>
      </c>
      <c r="F155" s="531"/>
      <c r="G155" s="531"/>
      <c r="H155" s="72">
        <f>C155+A155+B155-D155</f>
        <v>64805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17276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23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18209</v>
      </c>
      <c r="H165" s="778"/>
      <c r="I165" s="779"/>
      <c r="J165" s="779"/>
      <c r="K165" s="780"/>
    </row>
    <row r="166" spans="1:11" ht="14">
      <c r="A166" s="121" t="s">
        <v>126</v>
      </c>
      <c r="B166" s="777" t="s">
        <v>127</v>
      </c>
      <c r="C166" s="777"/>
      <c r="D166" s="777"/>
      <c r="E166" s="777"/>
      <c r="F166" s="777"/>
      <c r="G166" s="106">
        <v>1900</v>
      </c>
      <c r="H166" s="778"/>
      <c r="I166" s="779"/>
      <c r="J166" s="779"/>
      <c r="K166" s="780"/>
    </row>
    <row r="167" spans="1:11" ht="14">
      <c r="A167" s="121" t="s">
        <v>128</v>
      </c>
      <c r="B167" s="777" t="s">
        <v>129</v>
      </c>
      <c r="C167" s="777"/>
      <c r="D167" s="777"/>
      <c r="E167" s="777"/>
      <c r="F167" s="777"/>
      <c r="G167" s="123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90:A92"/>
    <mergeCell ref="B90:C90"/>
    <mergeCell ref="B91:C91"/>
    <mergeCell ref="B92:C92"/>
    <mergeCell ref="A84:C85"/>
    <mergeCell ref="D84:E84"/>
    <mergeCell ref="F84:G84"/>
    <mergeCell ref="H84:H85"/>
    <mergeCell ref="A86:A89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86:C86"/>
    <mergeCell ref="B87:C87"/>
    <mergeCell ref="B88:C88"/>
    <mergeCell ref="B89:C89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</mergeCells>
  <phoneticPr fontId="20"/>
  <dataValidations count="2">
    <dataValidation type="list" allowBlank="1" showInputMessage="1" showErrorMessage="1" sqref="G1" xr:uid="{00000000-0002-0000-0E00-000000000000}">
      <formula1>"Jan, Feb, March, April, May, June, July, Aug, Sep, Oct, Nov, Dec"</formula1>
    </dataValidation>
    <dataValidation type="list" allowBlank="1" showInputMessage="1" showErrorMessage="1" sqref="L3" xr:uid="{00000000-0002-0000-0E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N167"/>
  <sheetViews>
    <sheetView topLeftCell="A125" zoomScale="89" zoomScaleNormal="89" zoomScaleSheetLayoutView="85" workbookViewId="0">
      <selection activeCell="B155" sqref="B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43205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3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46" t="s">
        <v>176</v>
      </c>
      <c r="C10" s="61">
        <v>2</v>
      </c>
      <c r="D10" s="154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46" t="s">
        <v>177</v>
      </c>
      <c r="C11" s="61">
        <v>2</v>
      </c>
      <c r="D11" s="154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46" t="s">
        <v>179</v>
      </c>
      <c r="C12" s="61">
        <v>2</v>
      </c>
      <c r="D12" s="154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46" t="s">
        <v>180</v>
      </c>
      <c r="C13" s="61">
        <v>3</v>
      </c>
      <c r="D13" s="154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46" t="s">
        <v>12</v>
      </c>
      <c r="C14" s="61">
        <v>0</v>
      </c>
      <c r="D14" s="154">
        <v>0</v>
      </c>
      <c r="E14" s="693"/>
      <c r="F14" s="694"/>
      <c r="G14" s="694"/>
      <c r="H14" s="694"/>
      <c r="I14" s="695"/>
    </row>
    <row r="15" spans="1:13">
      <c r="A15" s="690"/>
      <c r="B15" s="146" t="s">
        <v>13</v>
      </c>
      <c r="C15" s="61">
        <v>2</v>
      </c>
      <c r="D15" s="154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51" t="s">
        <v>23</v>
      </c>
      <c r="E21" s="151" t="s">
        <v>24</v>
      </c>
      <c r="F21" s="151" t="s">
        <v>25</v>
      </c>
      <c r="G21" s="151" t="s">
        <v>23</v>
      </c>
      <c r="H21" s="151" t="s">
        <v>24</v>
      </c>
      <c r="I21" s="15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65">
        <v>11554</v>
      </c>
      <c r="E23" s="154">
        <v>12313</v>
      </c>
      <c r="F23" s="14">
        <f t="shared" ref="F23:F28" si="0">E23/D23</f>
        <v>1.065691535398996</v>
      </c>
      <c r="G23" s="66">
        <f>D23+'2018FEB'!G23</f>
        <v>33408</v>
      </c>
      <c r="H23" s="66">
        <f>E23+'2018FEB'!H23</f>
        <v>36174</v>
      </c>
      <c r="I23" s="14">
        <f t="shared" ref="I23:I28" si="1">H23/G23</f>
        <v>1.0827945402298851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52">
        <f>SUM(D23:D23)</f>
        <v>11554</v>
      </c>
      <c r="E24" s="152">
        <f>SUM(E23:E23)</f>
        <v>12313</v>
      </c>
      <c r="F24" s="16">
        <f t="shared" si="0"/>
        <v>1.065691535398996</v>
      </c>
      <c r="G24" s="152">
        <f>SUM(G23:G23)</f>
        <v>33408</v>
      </c>
      <c r="H24" s="152">
        <f>SUM(H23:H23)</f>
        <v>36174</v>
      </c>
      <c r="I24" s="16">
        <f t="shared" si="1"/>
        <v>1.0827945402298851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65">
        <v>11520</v>
      </c>
      <c r="E25" s="154">
        <v>12601</v>
      </c>
      <c r="F25" s="14">
        <f t="shared" si="0"/>
        <v>1.0938368055555556</v>
      </c>
      <c r="G25" s="66">
        <f>D25+'2018FEB'!G25</f>
        <v>32640</v>
      </c>
      <c r="H25" s="66">
        <f>E25+'2018FEB'!H25</f>
        <v>35977</v>
      </c>
      <c r="I25" s="14">
        <f t="shared" si="1"/>
        <v>1.1022365196078432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154">
        <v>0</v>
      </c>
      <c r="F26" s="14" t="e">
        <f t="shared" si="0"/>
        <v>#DIV/0!</v>
      </c>
      <c r="G26" s="146">
        <f>D26</f>
        <v>0</v>
      </c>
      <c r="H26" s="146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52">
        <f>SUM(D25:D26)</f>
        <v>11520</v>
      </c>
      <c r="E27" s="152">
        <f>SUM(E25:E26)</f>
        <v>12601</v>
      </c>
      <c r="F27" s="16">
        <f t="shared" si="0"/>
        <v>1.0938368055555556</v>
      </c>
      <c r="G27" s="152">
        <f>SUM(G25:G26)</f>
        <v>32640</v>
      </c>
      <c r="H27" s="152">
        <f>SUM(H25:H26)</f>
        <v>35977</v>
      </c>
      <c r="I27" s="16">
        <f t="shared" si="1"/>
        <v>1.1022365196078432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53">
        <f>SUM(D24,D27)</f>
        <v>23074</v>
      </c>
      <c r="E28" s="153">
        <f>SUM(E24,E27)</f>
        <v>24914</v>
      </c>
      <c r="F28" s="17">
        <f t="shared" si="0"/>
        <v>1.0797434341683281</v>
      </c>
      <c r="G28" s="153">
        <f>SUM(G24,G27)</f>
        <v>66048</v>
      </c>
      <c r="H28" s="153">
        <f>SUM(H24,H27)</f>
        <v>72151</v>
      </c>
      <c r="I28" s="17">
        <f t="shared" si="1"/>
        <v>1.0924024951550388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28" t="s">
        <v>29</v>
      </c>
      <c r="D30" s="65">
        <v>1000</v>
      </c>
      <c r="E30" s="154">
        <v>1081</v>
      </c>
      <c r="F30" s="14">
        <f>E30/D30</f>
        <v>1.081</v>
      </c>
      <c r="G30" s="66">
        <f>D30+'2018FEB'!G30</f>
        <v>3000</v>
      </c>
      <c r="H30" s="66">
        <f>E30+'2018FEB'!H30</f>
        <v>5239</v>
      </c>
      <c r="I30" s="14">
        <f>H30/G30</f>
        <v>1.7463333333333333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154">
        <v>1053</v>
      </c>
      <c r="F31" s="14" t="e">
        <f t="shared" ref="F31:F47" si="2">E31/D31</f>
        <v>#DIV/0!</v>
      </c>
      <c r="G31" s="66">
        <f>D31+'2018FEB'!G31</f>
        <v>0</v>
      </c>
      <c r="H31" s="66">
        <f>E31+'2018FEB'!H31</f>
        <v>12108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52">
        <f>SUM(D30:D31)</f>
        <v>1000</v>
      </c>
      <c r="E32" s="152">
        <f>SUM(E30:E31)</f>
        <v>2134</v>
      </c>
      <c r="F32" s="14">
        <f t="shared" si="2"/>
        <v>2.1339999999999999</v>
      </c>
      <c r="G32" s="152">
        <f>SUM(G30:G31)</f>
        <v>3000</v>
      </c>
      <c r="H32" s="152">
        <f>SUM(H30:H31)</f>
        <v>17347</v>
      </c>
      <c r="I32" s="14">
        <f t="shared" si="3"/>
        <v>5.7823333333333338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54">
        <v>1165</v>
      </c>
      <c r="F33" s="14">
        <f t="shared" si="2"/>
        <v>1.7923076923076924</v>
      </c>
      <c r="G33" s="66">
        <f>D33+'2018FEB'!G33</f>
        <v>1950</v>
      </c>
      <c r="H33" s="66">
        <f>E33+'2018FEB'!H33</f>
        <v>2449</v>
      </c>
      <c r="I33" s="14">
        <f t="shared" si="3"/>
        <v>1.255897435897436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51">
        <f>SUM(D32,D33)</f>
        <v>1650</v>
      </c>
      <c r="E34" s="151">
        <f>SUM(E32,E33)</f>
        <v>3299</v>
      </c>
      <c r="F34" s="14">
        <f t="shared" si="2"/>
        <v>1.9993939393939395</v>
      </c>
      <c r="G34" s="151">
        <f>SUM(G32,G33)</f>
        <v>4950</v>
      </c>
      <c r="H34" s="151">
        <f>SUM(H32,H33)</f>
        <v>19796</v>
      </c>
      <c r="I34" s="14">
        <f t="shared" si="3"/>
        <v>3.9991919191919192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46">
        <v>0</v>
      </c>
      <c r="F35" s="14">
        <f t="shared" si="2"/>
        <v>0</v>
      </c>
      <c r="G35" s="66">
        <f>D35+'2018FEB'!G35</f>
        <v>108696</v>
      </c>
      <c r="H35" s="66">
        <f>E35+'2018FEB'!H35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46"/>
      <c r="E36" s="146"/>
      <c r="F36" s="14" t="e">
        <f t="shared" si="2"/>
        <v>#DIV/0!</v>
      </c>
      <c r="G36" s="146"/>
      <c r="H36" s="146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52">
        <f>SUM(D35:D36)</f>
        <v>36232</v>
      </c>
      <c r="E37" s="152">
        <f>SUM(E35:E36)</f>
        <v>0</v>
      </c>
      <c r="F37" s="16">
        <f t="shared" si="2"/>
        <v>0</v>
      </c>
      <c r="G37" s="155">
        <f>SUM(G35:G36)</f>
        <v>108696</v>
      </c>
      <c r="H37" s="155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154">
        <v>0</v>
      </c>
      <c r="F38" s="14">
        <f t="shared" si="2"/>
        <v>0</v>
      </c>
      <c r="G38" s="66">
        <f>D38+'2018FEB'!G38</f>
        <v>3300</v>
      </c>
      <c r="H38" s="66">
        <f>E38+'2018FEB'!H38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46"/>
      <c r="E39" s="146"/>
      <c r="F39" s="14" t="e">
        <f t="shared" si="2"/>
        <v>#DIV/0!</v>
      </c>
      <c r="G39" s="146"/>
      <c r="H39" s="146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52">
        <f>SUM(D38:D39)</f>
        <v>1100</v>
      </c>
      <c r="E40" s="152">
        <f>SUM(E38:E39)</f>
        <v>0</v>
      </c>
      <c r="F40" s="16">
        <f t="shared" si="2"/>
        <v>0</v>
      </c>
      <c r="G40" s="152">
        <f>SUM(G38:G39)</f>
        <v>3300</v>
      </c>
      <c r="H40" s="152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51">
        <f>SUM(D37,D40)</f>
        <v>37332</v>
      </c>
      <c r="E41" s="151">
        <f>SUM(E37,E40)</f>
        <v>0</v>
      </c>
      <c r="F41" s="19">
        <f t="shared" si="2"/>
        <v>0</v>
      </c>
      <c r="G41" s="151">
        <f>SUM(G37,G40)</f>
        <v>111996</v>
      </c>
      <c r="H41" s="151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30744</v>
      </c>
      <c r="F42" s="21">
        <f t="shared" si="2"/>
        <v>2.794909090909091</v>
      </c>
      <c r="G42" s="68">
        <f>D42+'2018FEB'!G42</f>
        <v>33000</v>
      </c>
      <c r="H42" s="77">
        <f>E42+'2018FEB'!H42</f>
        <v>70663</v>
      </c>
      <c r="I42" s="21">
        <f t="shared" si="3"/>
        <v>2.1413030303030305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>D43+'2018FEB'!G43</f>
        <v>0</v>
      </c>
      <c r="H43" s="68">
        <f>E43+'2018FEB'!H43</f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>D44+'2018FEB'!G44</f>
        <v>100500</v>
      </c>
      <c r="H44" s="68">
        <f>E44+'2018FEB'!H44</f>
        <v>99970</v>
      </c>
      <c r="I44" s="21">
        <f t="shared" si="3"/>
        <v>0.99472636815920401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50">
        <f>SUM(D28,D34,D41,D42:D44)</f>
        <v>106556</v>
      </c>
      <c r="E45" s="78">
        <f>SUM(E28,E34,E41,E42:E44)</f>
        <v>58957</v>
      </c>
      <c r="F45" s="22">
        <f t="shared" si="2"/>
        <v>0.55329591951649837</v>
      </c>
      <c r="G45" s="150">
        <f>SUM(G28,G34,G41,G42:G44)</f>
        <v>316494</v>
      </c>
      <c r="H45" s="150">
        <f>SUM(H28,H34,H41,H42:H44)</f>
        <v>262580</v>
      </c>
      <c r="I45" s="22">
        <f t="shared" si="3"/>
        <v>0.8296523788760608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50">
        <f>D45-D42</f>
        <v>95556</v>
      </c>
      <c r="E46" s="150">
        <f>E45-E42</f>
        <v>28213</v>
      </c>
      <c r="F46" s="22">
        <f t="shared" si="2"/>
        <v>0.295250952321152</v>
      </c>
      <c r="G46" s="150">
        <f>G45-G42</f>
        <v>283494</v>
      </c>
      <c r="H46" s="150">
        <f>H45-H42</f>
        <v>191917</v>
      </c>
      <c r="I46" s="22">
        <f t="shared" si="3"/>
        <v>0.67697023570163739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49">
        <f>D46-D44</f>
        <v>62056</v>
      </c>
      <c r="E47" s="149">
        <f>E46-E44</f>
        <v>28213</v>
      </c>
      <c r="F47" s="23">
        <f t="shared" si="2"/>
        <v>0.45463774655150185</v>
      </c>
      <c r="G47" s="149">
        <f>G46-G44</f>
        <v>182994</v>
      </c>
      <c r="H47" s="149">
        <f>H46-H44</f>
        <v>91947</v>
      </c>
      <c r="I47" s="23">
        <f t="shared" si="3"/>
        <v>0.50245909701957436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47" t="s">
        <v>23</v>
      </c>
      <c r="E52" s="147" t="s">
        <v>24</v>
      </c>
      <c r="F52" s="147" t="s">
        <v>25</v>
      </c>
      <c r="G52" s="147" t="s">
        <v>23</v>
      </c>
      <c r="H52" s="147" t="s">
        <v>24</v>
      </c>
      <c r="I52" s="14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54">
        <v>7</v>
      </c>
      <c r="F53" s="28">
        <f t="shared" ref="F53:F79" si="4">E53/D53</f>
        <v>0.58333333333333337</v>
      </c>
      <c r="G53" s="66">
        <f>D53+'2018FEB'!G53</f>
        <v>32</v>
      </c>
      <c r="H53" s="66">
        <f>E53+'2018FEB'!H53</f>
        <v>52</v>
      </c>
      <c r="I53" s="28">
        <f t="shared" ref="I53:I79" si="5">H53/G53</f>
        <v>1.625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54">
        <v>347</v>
      </c>
      <c r="F54" s="28">
        <f t="shared" si="4"/>
        <v>1.1566666666666667</v>
      </c>
      <c r="G54" s="66">
        <f>D54+'2018FEB'!G54</f>
        <v>900</v>
      </c>
      <c r="H54" s="66">
        <f>E54+'2018FEB'!H54</f>
        <v>988</v>
      </c>
      <c r="I54" s="28">
        <f t="shared" si="5"/>
        <v>1.0977777777777777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52">
        <f>SUM(D53:D54)</f>
        <v>312</v>
      </c>
      <c r="E55" s="152">
        <f>SUM(E53:E54)</f>
        <v>354</v>
      </c>
      <c r="F55" s="30">
        <f t="shared" si="4"/>
        <v>1.1346153846153846</v>
      </c>
      <c r="G55" s="152">
        <f>SUM(G53:G54)</f>
        <v>932</v>
      </c>
      <c r="H55" s="152">
        <f>SUM(H53:H54)</f>
        <v>1040</v>
      </c>
      <c r="I55" s="30">
        <f t="shared" si="5"/>
        <v>1.1158798283261802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54">
        <v>64</v>
      </c>
      <c r="F56" s="28">
        <f t="shared" si="4"/>
        <v>1.6</v>
      </c>
      <c r="G56" s="66">
        <f>D56+'2018FEB'!G56</f>
        <v>120</v>
      </c>
      <c r="H56" s="66">
        <f>E56+'2018FEB'!H56</f>
        <v>168</v>
      </c>
      <c r="I56" s="28">
        <f t="shared" si="5"/>
        <v>1.4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54">
        <v>752</v>
      </c>
      <c r="F57" s="28">
        <f t="shared" si="4"/>
        <v>1.2533333333333334</v>
      </c>
      <c r="G57" s="66">
        <f>D57+'2018FEB'!G57</f>
        <v>1800</v>
      </c>
      <c r="H57" s="66">
        <f>E57+'2018FEB'!H57</f>
        <v>2122</v>
      </c>
      <c r="I57" s="28">
        <f t="shared" si="5"/>
        <v>1.1788888888888889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44">
        <f>SUM(D56:D57)</f>
        <v>640</v>
      </c>
      <c r="E58" s="144">
        <f>SUM(E56:E57)</f>
        <v>816</v>
      </c>
      <c r="F58" s="28">
        <f t="shared" si="4"/>
        <v>1.2749999999999999</v>
      </c>
      <c r="G58" s="144">
        <f>SUM(G56:G57)</f>
        <v>1920</v>
      </c>
      <c r="H58" s="144">
        <f>SUM(H56:H57)</f>
        <v>2290</v>
      </c>
      <c r="I58" s="31">
        <f t="shared" si="5"/>
        <v>1.1927083333333333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40">
        <f>SUM(D53,D56)</f>
        <v>52</v>
      </c>
      <c r="E59" s="140">
        <f>SUM(E53,E56)</f>
        <v>71</v>
      </c>
      <c r="F59" s="32">
        <f t="shared" si="4"/>
        <v>1.3653846153846154</v>
      </c>
      <c r="G59" s="140">
        <f>SUM(G53,G56)</f>
        <v>152</v>
      </c>
      <c r="H59" s="140">
        <f>SUM(H53,H56)</f>
        <v>220</v>
      </c>
      <c r="I59" s="32">
        <f t="shared" si="5"/>
        <v>1.4473684210526316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40">
        <f>SUM(D54,D57)</f>
        <v>900</v>
      </c>
      <c r="E60" s="140">
        <f>SUM(E54,E57)</f>
        <v>1099</v>
      </c>
      <c r="F60" s="32">
        <f t="shared" si="4"/>
        <v>1.221111111111111</v>
      </c>
      <c r="G60" s="140">
        <f>SUM(G54,G57)</f>
        <v>2700</v>
      </c>
      <c r="H60" s="140">
        <f>SUM(H54,H57)</f>
        <v>3110</v>
      </c>
      <c r="I60" s="32">
        <f t="shared" si="5"/>
        <v>1.1518518518518519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48">
        <f>SUM(D59:D60)</f>
        <v>952</v>
      </c>
      <c r="E61" s="148">
        <f>SUM(E59:E60)</f>
        <v>1170</v>
      </c>
      <c r="F61" s="33">
        <f t="shared" si="4"/>
        <v>1.2289915966386555</v>
      </c>
      <c r="G61" s="148">
        <f>SUM(G59:G60)</f>
        <v>2852</v>
      </c>
      <c r="H61" s="148">
        <f>SUM(H59:H60)</f>
        <v>3330</v>
      </c>
      <c r="I61" s="33">
        <f t="shared" si="5"/>
        <v>1.1676016830294531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46">
        <f>E71/10</f>
        <v>24.3</v>
      </c>
      <c r="F62" s="28">
        <f t="shared" si="4"/>
        <v>0.57857142857142863</v>
      </c>
      <c r="G62" s="66">
        <f>D62+'2018FEB'!G62</f>
        <v>112</v>
      </c>
      <c r="H62" s="66">
        <f>E62+'2018FEB'!H62</f>
        <v>180.8</v>
      </c>
      <c r="I62" s="28">
        <f t="shared" si="5"/>
        <v>1.6142857142857143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46">
        <f>E72/10</f>
        <v>1207</v>
      </c>
      <c r="F63" s="28">
        <f t="shared" si="4"/>
        <v>1.1561302681992338</v>
      </c>
      <c r="G63" s="66">
        <f>D63+'2018FEB'!G63</f>
        <v>3132</v>
      </c>
      <c r="H63" s="66">
        <f>E63+'2018FEB'!H63</f>
        <v>3436.6000000000004</v>
      </c>
      <c r="I63" s="28">
        <f t="shared" si="5"/>
        <v>1.0972541507024267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52">
        <f>SUM(E62:E63)</f>
        <v>1231.3</v>
      </c>
      <c r="F64" s="30">
        <f t="shared" si="4"/>
        <v>1.1337937384898711</v>
      </c>
      <c r="G64" s="152">
        <f>SUM(G62:G63)</f>
        <v>3244</v>
      </c>
      <c r="H64" s="152">
        <f>SUM(H62:H63)</f>
        <v>3617.4000000000005</v>
      </c>
      <c r="I64" s="30">
        <f t="shared" si="5"/>
        <v>1.1151048088779287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46">
        <f>E74/10</f>
        <v>68.3</v>
      </c>
      <c r="F65" s="28">
        <f t="shared" si="4"/>
        <v>1.0671875</v>
      </c>
      <c r="G65" s="66">
        <f>D65+'2018FEB'!G65</f>
        <v>192</v>
      </c>
      <c r="H65" s="66">
        <f>E65+'2018FEB'!H65</f>
        <v>207.8</v>
      </c>
      <c r="I65" s="28">
        <f t="shared" si="5"/>
        <v>1.0822916666666667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46">
        <f>E75/10</f>
        <v>1191.8</v>
      </c>
      <c r="F66" s="28">
        <f t="shared" si="4"/>
        <v>1.2414583333333333</v>
      </c>
      <c r="G66" s="66">
        <f>D66+'2018FEB'!G66</f>
        <v>2880</v>
      </c>
      <c r="H66" s="66">
        <f>E66+'2018FEB'!H66</f>
        <v>3389.8999999999996</v>
      </c>
      <c r="I66" s="28">
        <f t="shared" si="5"/>
        <v>1.1770486111111109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44">
        <f>SUM(D65:D66)</f>
        <v>1024</v>
      </c>
      <c r="E67" s="144">
        <f>SUM(E65:E66)</f>
        <v>1260.0999999999999</v>
      </c>
      <c r="F67" s="31">
        <f t="shared" si="4"/>
        <v>1.2305664062499999</v>
      </c>
      <c r="G67" s="144">
        <f>SUM(G65:G66)</f>
        <v>3072</v>
      </c>
      <c r="H67" s="144">
        <f>SUM(H65:H66)</f>
        <v>3597.7</v>
      </c>
      <c r="I67" s="31">
        <f t="shared" si="5"/>
        <v>1.1711263020833333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40">
        <f>SUM(D62,D65)</f>
        <v>106</v>
      </c>
      <c r="E68" s="140">
        <f>SUM(E62,E65)</f>
        <v>92.6</v>
      </c>
      <c r="F68" s="32">
        <f t="shared" si="4"/>
        <v>0.87358490566037728</v>
      </c>
      <c r="G68" s="140">
        <f>SUM(G62,G65)</f>
        <v>304</v>
      </c>
      <c r="H68" s="140">
        <f>SUM(H62,H65)</f>
        <v>388.6</v>
      </c>
      <c r="I68" s="32">
        <f t="shared" si="5"/>
        <v>1.2782894736842105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40">
        <f>SUM(D63,D66)</f>
        <v>2004</v>
      </c>
      <c r="E69" s="140">
        <f>SUM(E63,E66)</f>
        <v>2398.8000000000002</v>
      </c>
      <c r="F69" s="32">
        <f t="shared" si="4"/>
        <v>1.1970059880239521</v>
      </c>
      <c r="G69" s="140">
        <f>SUM(G63,G66)</f>
        <v>6012</v>
      </c>
      <c r="H69" s="140">
        <f>SUM(H63,H66)</f>
        <v>6826.5</v>
      </c>
      <c r="I69" s="32">
        <f t="shared" si="5"/>
        <v>1.1354790419161678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48">
        <f>SUM(D68:D69)</f>
        <v>2110</v>
      </c>
      <c r="E70" s="148">
        <f>SUM(E68:E69)</f>
        <v>2491.4</v>
      </c>
      <c r="F70" s="34">
        <f t="shared" si="4"/>
        <v>1.1807582938388625</v>
      </c>
      <c r="G70" s="148">
        <f>SUM(G68:G69)</f>
        <v>6316</v>
      </c>
      <c r="H70" s="148">
        <f>SUM(H68:H69)</f>
        <v>7215.1</v>
      </c>
      <c r="I70" s="34">
        <f t="shared" si="5"/>
        <v>1.1423527549081698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1114</v>
      </c>
      <c r="E71" s="154">
        <v>243</v>
      </c>
      <c r="F71" s="28">
        <f t="shared" si="4"/>
        <v>0.21813285457809695</v>
      </c>
      <c r="G71" s="66">
        <f>D71+'2018FEB'!G71</f>
        <v>2088</v>
      </c>
      <c r="H71" s="66">
        <f>E71+'2018FEB'!H71</f>
        <v>1808</v>
      </c>
      <c r="I71" s="28">
        <f t="shared" si="5"/>
        <v>0.86590038314176243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55">
        <f>E23-E71</f>
        <v>12070</v>
      </c>
      <c r="F72" s="28">
        <f t="shared" si="4"/>
        <v>1.1561302681992338</v>
      </c>
      <c r="G72" s="66">
        <f>D72+'2018FEB'!G72</f>
        <v>31320</v>
      </c>
      <c r="H72" s="66">
        <f>E72+'2018FEB'!H72</f>
        <v>34366</v>
      </c>
      <c r="I72" s="28">
        <f t="shared" si="5"/>
        <v>1.0972541507024265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52">
        <f>SUM(D71:D72)</f>
        <v>11554</v>
      </c>
      <c r="E73" s="152">
        <f>SUM(E71:E72)</f>
        <v>12313</v>
      </c>
      <c r="F73" s="30">
        <f t="shared" si="4"/>
        <v>1.065691535398996</v>
      </c>
      <c r="G73" s="152">
        <f>SUM(G71:G72)</f>
        <v>33408</v>
      </c>
      <c r="H73" s="152">
        <f>SUM(H71:H72)</f>
        <v>36174</v>
      </c>
      <c r="I73" s="30">
        <f t="shared" si="5"/>
        <v>1.0827945402298851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1920</v>
      </c>
      <c r="E74" s="154">
        <v>683</v>
      </c>
      <c r="F74" s="28">
        <f t="shared" si="4"/>
        <v>0.35572916666666665</v>
      </c>
      <c r="G74" s="66">
        <f>D74+'2018FEB'!G74</f>
        <v>3840</v>
      </c>
      <c r="H74" s="66">
        <f>E74+'2018FEB'!H74</f>
        <v>2078</v>
      </c>
      <c r="I74" s="28">
        <f t="shared" si="5"/>
        <v>0.54114583333333333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55">
        <f>E25-E74</f>
        <v>11918</v>
      </c>
      <c r="F75" s="28">
        <f t="shared" si="4"/>
        <v>1.2414583333333333</v>
      </c>
      <c r="G75" s="66">
        <f>D75+'2018FEB'!G75</f>
        <v>28800</v>
      </c>
      <c r="H75" s="66">
        <f>E75+'2018FEB'!H75</f>
        <v>33899</v>
      </c>
      <c r="I75" s="28">
        <f t="shared" si="5"/>
        <v>1.1770486111111111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44">
        <f>SUM(D74:D75)</f>
        <v>11520</v>
      </c>
      <c r="E76" s="144">
        <f>SUM(E74:E75)</f>
        <v>12601</v>
      </c>
      <c r="F76" s="31">
        <f t="shared" si="4"/>
        <v>1.0938368055555556</v>
      </c>
      <c r="G76" s="144">
        <f>SUM(G74:G75)</f>
        <v>32640</v>
      </c>
      <c r="H76" s="144">
        <f>SUM(H74:H75)</f>
        <v>35977</v>
      </c>
      <c r="I76" s="31">
        <f t="shared" si="5"/>
        <v>1.1022365196078432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40">
        <f>SUM(D71,D74)</f>
        <v>3034</v>
      </c>
      <c r="E77" s="140">
        <f>SUM(E71,E74)</f>
        <v>926</v>
      </c>
      <c r="F77" s="32">
        <f t="shared" si="4"/>
        <v>0.30520764667106132</v>
      </c>
      <c r="G77" s="140">
        <f>SUM(G71,G74)</f>
        <v>5928</v>
      </c>
      <c r="H77" s="140">
        <f>SUM(H71,H74)</f>
        <v>3886</v>
      </c>
      <c r="I77" s="32">
        <f t="shared" si="5"/>
        <v>0.65553306342780027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40">
        <f>SUM(D72,D75)</f>
        <v>20040</v>
      </c>
      <c r="E78" s="140">
        <f>SUM(E72,E75)</f>
        <v>23988</v>
      </c>
      <c r="F78" s="32">
        <f t="shared" si="4"/>
        <v>1.1970059880239521</v>
      </c>
      <c r="G78" s="140">
        <f>SUM(G72,G75)</f>
        <v>60120</v>
      </c>
      <c r="H78" s="140">
        <f>SUM(H72,H75)</f>
        <v>68265</v>
      </c>
      <c r="I78" s="32">
        <f t="shared" si="5"/>
        <v>1.1354790419161678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48">
        <f>SUM(D77:D78)</f>
        <v>23074</v>
      </c>
      <c r="E79" s="148">
        <f>SUM(E77:E78)</f>
        <v>24914</v>
      </c>
      <c r="F79" s="34">
        <f t="shared" si="4"/>
        <v>1.0797434341683281</v>
      </c>
      <c r="G79" s="148">
        <f>SUM(G77:G78)</f>
        <v>66048</v>
      </c>
      <c r="H79" s="148">
        <f>SUM(H77:H78)</f>
        <v>72151</v>
      </c>
      <c r="I79" s="34">
        <f t="shared" si="5"/>
        <v>1.0924024951550388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354</v>
      </c>
      <c r="E87" s="130"/>
      <c r="F87" s="134">
        <f>D87+'2018FEB'!F87</f>
        <v>1040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7</v>
      </c>
      <c r="E88" s="128"/>
      <c r="F88" s="134">
        <f>D88+'2018FEB'!F88</f>
        <v>52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3</v>
      </c>
      <c r="E89" s="128">
        <f>D89/D87</f>
        <v>8.4745762711864406E-3</v>
      </c>
      <c r="F89" s="134">
        <f>D89+'2018FEB'!F89</f>
        <v>3</v>
      </c>
      <c r="G89" s="128">
        <f>F89/F87</f>
        <v>2.8846153846153848E-3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94</v>
      </c>
      <c r="E90" s="128">
        <f>D90/D92</f>
        <v>0.40692640692640691</v>
      </c>
      <c r="F90" s="134">
        <f>D90+'2018FEB'!F90</f>
        <v>104</v>
      </c>
      <c r="G90" s="128">
        <f>F90/F92</f>
        <v>0.19366852886405958</v>
      </c>
      <c r="H90" s="128"/>
    </row>
    <row r="91" spans="1:13" ht="15" customHeight="1">
      <c r="A91" s="775"/>
      <c r="B91" s="776" t="s">
        <v>202</v>
      </c>
      <c r="C91" s="776"/>
      <c r="D91" s="131">
        <f>'2018FEB'!D92</f>
        <v>144</v>
      </c>
      <c r="E91" s="128">
        <f>D91/D92</f>
        <v>0.62337662337662336</v>
      </c>
      <c r="F91" s="134">
        <f>D91+'2018FEB'!F91</f>
        <v>489</v>
      </c>
      <c r="G91" s="128">
        <f>F91/F92</f>
        <v>0.91061452513966479</v>
      </c>
      <c r="H91" s="128"/>
    </row>
    <row r="92" spans="1:13" ht="15" customHeight="1">
      <c r="A92" s="775"/>
      <c r="B92" s="776" t="s">
        <v>203</v>
      </c>
      <c r="C92" s="776"/>
      <c r="D92" s="131">
        <v>231</v>
      </c>
      <c r="E92" s="130"/>
      <c r="F92" s="134">
        <f>D92+'2018FEB'!F92</f>
        <v>537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47" t="s">
        <v>23</v>
      </c>
      <c r="E97" s="147" t="s">
        <v>24</v>
      </c>
      <c r="F97" s="147" t="s">
        <v>25</v>
      </c>
      <c r="G97" s="147" t="s">
        <v>23</v>
      </c>
      <c r="H97" s="147" t="s">
        <v>24</v>
      </c>
      <c r="I97" s="14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54">
        <v>0</v>
      </c>
      <c r="F98" s="37" t="e">
        <f>E98/D98</f>
        <v>#DIV/0!</v>
      </c>
      <c r="G98" s="66">
        <f>D98+'2018FEB'!G98</f>
        <v>0</v>
      </c>
      <c r="H98" s="66">
        <f>E98+'2018FEB'!H98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54">
        <v>42</v>
      </c>
      <c r="F99" s="28">
        <f t="shared" ref="F99:F115" si="6">E99/D99</f>
        <v>1.024390243902439</v>
      </c>
      <c r="G99" s="66">
        <f>D99+'2018FEB'!G99</f>
        <v>123</v>
      </c>
      <c r="H99" s="66">
        <f>E99+'2018FEB'!H99</f>
        <v>125</v>
      </c>
      <c r="I99" s="28">
        <f t="shared" ref="I99:I115" si="7">H99/G99</f>
        <v>1.0162601626016261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52">
        <f>SUM(D98:D99)</f>
        <v>41</v>
      </c>
      <c r="E100" s="152">
        <f>SUM(E98:E99)</f>
        <v>42</v>
      </c>
      <c r="F100" s="30">
        <f t="shared" si="6"/>
        <v>1.024390243902439</v>
      </c>
      <c r="G100" s="152">
        <f>SUM(G98:G99)</f>
        <v>123</v>
      </c>
      <c r="H100" s="152">
        <f>SUM(H98:H99)</f>
        <v>126</v>
      </c>
      <c r="I100" s="30">
        <f t="shared" si="7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54">
        <v>0</v>
      </c>
      <c r="F101" s="28" t="e">
        <f t="shared" si="6"/>
        <v>#DIV/0!</v>
      </c>
      <c r="G101" s="66">
        <f>D101+'2018FEB'!G101</f>
        <v>0</v>
      </c>
      <c r="H101" s="66">
        <f>E101+'2018FEB'!H101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54">
        <v>10</v>
      </c>
      <c r="F102" s="28">
        <f t="shared" si="6"/>
        <v>0.90909090909090906</v>
      </c>
      <c r="G102" s="66">
        <f>D102+'2018FEB'!G102</f>
        <v>33</v>
      </c>
      <c r="H102" s="66">
        <f>E102+'2018FEB'!H102</f>
        <v>31</v>
      </c>
      <c r="I102" s="28">
        <f t="shared" si="7"/>
        <v>0.93939393939393945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52">
        <f>SUM(D101:D102)</f>
        <v>11</v>
      </c>
      <c r="E103" s="152">
        <f>SUM(E101:E102)</f>
        <v>10</v>
      </c>
      <c r="F103" s="30">
        <f t="shared" si="6"/>
        <v>0.90909090909090906</v>
      </c>
      <c r="G103" s="152">
        <f>SUM(G101:G102)</f>
        <v>33</v>
      </c>
      <c r="H103" s="152">
        <f>SUM(H101:H102)</f>
        <v>31</v>
      </c>
      <c r="I103" s="30">
        <f t="shared" si="7"/>
        <v>0.93939393939393945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54">
        <v>0</v>
      </c>
      <c r="F104" s="28" t="e">
        <f t="shared" si="6"/>
        <v>#DIV/0!</v>
      </c>
      <c r="G104" s="66">
        <f>D104+'2018FEB'!G104</f>
        <v>0</v>
      </c>
      <c r="H104" s="66">
        <f>E104+'2018FEB'!H104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54">
        <v>58</v>
      </c>
      <c r="F105" s="28">
        <f t="shared" si="6"/>
        <v>0.92063492063492058</v>
      </c>
      <c r="G105" s="66">
        <f>D105+'2018FEB'!G105</f>
        <v>189</v>
      </c>
      <c r="H105" s="66">
        <f>E105+'2018FEB'!H105</f>
        <v>178</v>
      </c>
      <c r="I105" s="28">
        <f t="shared" si="7"/>
        <v>0.94179894179894175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52">
        <f>SUM(D104:D105)</f>
        <v>63</v>
      </c>
      <c r="E106" s="152">
        <f>SUM(E104:E105)</f>
        <v>58</v>
      </c>
      <c r="F106" s="30">
        <f t="shared" si="6"/>
        <v>0.92063492063492058</v>
      </c>
      <c r="G106" s="152">
        <f>SUM(G104:G105)</f>
        <v>189</v>
      </c>
      <c r="H106" s="152">
        <f>SUM(H104:H105)</f>
        <v>178</v>
      </c>
      <c r="I106" s="30">
        <f t="shared" si="7"/>
        <v>0.94179894179894175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54">
        <v>3</v>
      </c>
      <c r="F107" s="28">
        <f>E107/D107</f>
        <v>1.5</v>
      </c>
      <c r="G107" s="66">
        <f>D107+'2018FEB'!G107</f>
        <v>4</v>
      </c>
      <c r="H107" s="66">
        <f>E107+'2018FEB'!H107</f>
        <v>3</v>
      </c>
      <c r="I107" s="28">
        <f>H107/G107</f>
        <v>0.75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102</v>
      </c>
      <c r="E108" s="154">
        <v>98</v>
      </c>
      <c r="F108" s="28">
        <f>E108/D108</f>
        <v>0.96078431372549022</v>
      </c>
      <c r="G108" s="66">
        <f>D108+'2018FEB'!G108</f>
        <v>302</v>
      </c>
      <c r="H108" s="66">
        <f>E108+'2018FEB'!H108</f>
        <v>299</v>
      </c>
      <c r="I108" s="28">
        <f t="shared" si="7"/>
        <v>0.99006622516556286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52">
        <f>SUM(D107:D108)</f>
        <v>104</v>
      </c>
      <c r="E109" s="152">
        <f>SUM(E107:E108)</f>
        <v>101</v>
      </c>
      <c r="F109" s="30">
        <f t="shared" si="6"/>
        <v>0.97115384615384615</v>
      </c>
      <c r="G109" s="152">
        <f>SUM(G107:G108)</f>
        <v>306</v>
      </c>
      <c r="H109" s="152">
        <f>SUM(H107:H108)</f>
        <v>302</v>
      </c>
      <c r="I109" s="30">
        <f t="shared" si="7"/>
        <v>0.98692810457516345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54">
        <v>3</v>
      </c>
      <c r="F110" s="30">
        <f>E110/D110</f>
        <v>0.375</v>
      </c>
      <c r="G110" s="66">
        <f>D110+'2018FEB'!G110</f>
        <v>24</v>
      </c>
      <c r="H110" s="66">
        <f>E110+'2018FEB'!H110</f>
        <v>33</v>
      </c>
      <c r="I110" s="30">
        <f>H110/G110</f>
        <v>1.375</v>
      </c>
      <c r="J110" s="141"/>
      <c r="K110" s="142"/>
      <c r="L110" s="142"/>
      <c r="M110" s="143"/>
    </row>
    <row r="111" spans="1:13">
      <c r="A111" s="553"/>
      <c r="B111" s="803"/>
      <c r="C111" s="27" t="s">
        <v>70</v>
      </c>
      <c r="D111" s="65">
        <v>16</v>
      </c>
      <c r="E111" s="154">
        <v>34</v>
      </c>
      <c r="F111" s="30">
        <f t="shared" ref="F111:F112" si="8">E111/D111</f>
        <v>2.125</v>
      </c>
      <c r="G111" s="66">
        <f>D111+'2018FEB'!G111</f>
        <v>24</v>
      </c>
      <c r="H111" s="66">
        <f>E111+'2018FEB'!H111</f>
        <v>56</v>
      </c>
      <c r="I111" s="30">
        <f t="shared" ref="I111:I112" si="9">H111/G111</f>
        <v>2.3333333333333335</v>
      </c>
      <c r="J111" s="141"/>
      <c r="K111" s="142"/>
      <c r="L111" s="142"/>
      <c r="M111" s="143"/>
    </row>
    <row r="112" spans="1:13">
      <c r="A112" s="553"/>
      <c r="B112" s="804"/>
      <c r="C112" s="38" t="s">
        <v>166</v>
      </c>
      <c r="D112" s="152">
        <f>SUM(D110:D111)</f>
        <v>24</v>
      </c>
      <c r="E112" s="152">
        <f>SUM(E110:E111)</f>
        <v>37</v>
      </c>
      <c r="F112" s="30">
        <f t="shared" si="8"/>
        <v>1.5416666666666667</v>
      </c>
      <c r="G112" s="152">
        <f>SUM(G110:G111)</f>
        <v>48</v>
      </c>
      <c r="H112" s="152">
        <f>SUM(H110:H111)</f>
        <v>89</v>
      </c>
      <c r="I112" s="30">
        <f t="shared" si="9"/>
        <v>1.8541666666666667</v>
      </c>
      <c r="J112" s="141"/>
      <c r="K112" s="142"/>
      <c r="L112" s="142"/>
      <c r="M112" s="143"/>
    </row>
    <row r="113" spans="1:13">
      <c r="A113" s="553"/>
      <c r="B113" s="611" t="s">
        <v>46</v>
      </c>
      <c r="C113" s="39" t="s">
        <v>69</v>
      </c>
      <c r="D113" s="144">
        <f>SUM(D98,D101,D104,D107,D110)</f>
        <v>10</v>
      </c>
      <c r="E113" s="144">
        <f>SUM(E98,E101,E104,E107,E110)</f>
        <v>6</v>
      </c>
      <c r="F113" s="31">
        <f t="shared" si="6"/>
        <v>0.6</v>
      </c>
      <c r="G113" s="144">
        <f>SUM(G98,G101,G104,G107,G110)</f>
        <v>28</v>
      </c>
      <c r="H113" s="144">
        <f>SUM(H98,H101,H104,H107,H110)</f>
        <v>37</v>
      </c>
      <c r="I113" s="31">
        <f t="shared" si="7"/>
        <v>1.3214285714285714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44">
        <f>SUM(D99,D102,D105,D108,D111)</f>
        <v>233</v>
      </c>
      <c r="E114" s="144">
        <f>SUM(E99,E102,E105,E108,E111)</f>
        <v>242</v>
      </c>
      <c r="F114" s="31">
        <f t="shared" si="6"/>
        <v>1.03862660944206</v>
      </c>
      <c r="G114" s="144">
        <f>SUM(G99,G102,G105,G108,G111)</f>
        <v>671</v>
      </c>
      <c r="H114" s="144">
        <f>SUM(H99,H102,H105,H108,H111)</f>
        <v>689</v>
      </c>
      <c r="I114" s="31">
        <f t="shared" si="7"/>
        <v>1.0268256333830104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45">
        <f>SUM(D113:D114)</f>
        <v>243</v>
      </c>
      <c r="E115" s="145">
        <f>SUM(E113:E114)</f>
        <v>248</v>
      </c>
      <c r="F115" s="41">
        <f t="shared" si="6"/>
        <v>1.0205761316872428</v>
      </c>
      <c r="G115" s="145">
        <f>SUM(G113:G114)</f>
        <v>699</v>
      </c>
      <c r="H115" s="145">
        <f>SUM(H113:H114)</f>
        <v>726</v>
      </c>
      <c r="I115" s="41">
        <f t="shared" si="7"/>
        <v>1.03862660944206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D116+'2018FEB'!G116</f>
        <v>4</v>
      </c>
      <c r="H116" s="70">
        <f>E116+'2018FEB'!H116</f>
        <v>10</v>
      </c>
      <c r="I116" s="43">
        <f>H116/G116</f>
        <v>2.5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50</v>
      </c>
      <c r="E117" s="154">
        <v>58</v>
      </c>
      <c r="F117" s="28">
        <f t="shared" ref="F117:F126" si="10">E117/D117</f>
        <v>1.1599999999999999</v>
      </c>
      <c r="G117" s="70">
        <f>D117+'2018FEB'!G117</f>
        <v>146</v>
      </c>
      <c r="H117" s="71">
        <f>E117+'2018FEB'!H117</f>
        <v>165</v>
      </c>
      <c r="I117" s="28">
        <f t="shared" ref="I117:I126" si="11">H117/G117</f>
        <v>1.1301369863013699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52">
        <f>SUM(D116:D117)</f>
        <v>52</v>
      </c>
      <c r="E118" s="152">
        <f>SUM(E116:E117)</f>
        <v>58</v>
      </c>
      <c r="F118" s="30">
        <f t="shared" si="10"/>
        <v>1.1153846153846154</v>
      </c>
      <c r="G118" s="152">
        <f>SUM(G116:G117)</f>
        <v>150</v>
      </c>
      <c r="H118" s="152">
        <f>SUM(H116:H117)</f>
        <v>175</v>
      </c>
      <c r="I118" s="30">
        <f t="shared" si="11"/>
        <v>1.1666666666666667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54">
        <v>1</v>
      </c>
      <c r="F119" s="28" t="e">
        <f t="shared" si="10"/>
        <v>#DIV/0!</v>
      </c>
      <c r="G119" s="66">
        <f>D119+'2018FEB'!G119</f>
        <v>0</v>
      </c>
      <c r="H119" s="66">
        <f>E119+'2018FEB'!H119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54">
        <v>47</v>
      </c>
      <c r="F120" s="28">
        <f t="shared" si="10"/>
        <v>1.2702702702702702</v>
      </c>
      <c r="G120" s="66">
        <f>D120+'2018FEB'!G120</f>
        <v>111</v>
      </c>
      <c r="H120" s="66">
        <f>E120+'2018FEB'!H120</f>
        <v>134</v>
      </c>
      <c r="I120" s="28">
        <f t="shared" si="11"/>
        <v>1.2072072072072073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52">
        <f>SUM(D119:D120)</f>
        <v>37</v>
      </c>
      <c r="E121" s="152">
        <f>SUM(E119:E120)</f>
        <v>48</v>
      </c>
      <c r="F121" s="30">
        <f t="shared" si="10"/>
        <v>1.2972972972972974</v>
      </c>
      <c r="G121" s="152">
        <f>SUM(G119:G120)</f>
        <v>111</v>
      </c>
      <c r="H121" s="152">
        <f>SUM(H119:H120)</f>
        <v>139</v>
      </c>
      <c r="I121" s="30">
        <f t="shared" si="11"/>
        <v>1.2522522522522523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44">
        <f>SUM(D116,D119)</f>
        <v>2</v>
      </c>
      <c r="E122" s="144">
        <f>SUM(E116,E119)</f>
        <v>1</v>
      </c>
      <c r="F122" s="30">
        <f t="shared" si="10"/>
        <v>0.5</v>
      </c>
      <c r="G122" s="144">
        <f>SUM(G116,G119)</f>
        <v>4</v>
      </c>
      <c r="H122" s="144">
        <f>SUM(H116,H119)</f>
        <v>15</v>
      </c>
      <c r="I122" s="30">
        <f t="shared" si="11"/>
        <v>3.75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44">
        <f>SUM(D117,D120)</f>
        <v>87</v>
      </c>
      <c r="E123" s="144">
        <f>SUM(E117,E120)</f>
        <v>105</v>
      </c>
      <c r="F123" s="30">
        <f t="shared" si="10"/>
        <v>1.2068965517241379</v>
      </c>
      <c r="G123" s="144">
        <f>SUM(G117,G120)</f>
        <v>257</v>
      </c>
      <c r="H123" s="144">
        <f>SUM(H117,H120)</f>
        <v>299</v>
      </c>
      <c r="I123" s="30">
        <f t="shared" si="11"/>
        <v>1.1634241245136188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45">
        <f>SUM(D122:D123)</f>
        <v>89</v>
      </c>
      <c r="E124" s="145">
        <f>SUM(E122:E123)</f>
        <v>106</v>
      </c>
      <c r="F124" s="41">
        <f t="shared" si="10"/>
        <v>1.1910112359550562</v>
      </c>
      <c r="G124" s="145">
        <f>SUM(G122:G123)</f>
        <v>261</v>
      </c>
      <c r="H124" s="145">
        <f>SUM(H122:H123)</f>
        <v>314</v>
      </c>
      <c r="I124" s="41">
        <f t="shared" si="11"/>
        <v>1.2030651340996168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39">
        <f>SUM(D113,D122)</f>
        <v>12</v>
      </c>
      <c r="E125" s="139">
        <f>SUM(E113,E122)</f>
        <v>7</v>
      </c>
      <c r="F125" s="45">
        <f t="shared" si="10"/>
        <v>0.58333333333333337</v>
      </c>
      <c r="G125" s="46">
        <f>SUM(G113,G122)</f>
        <v>32</v>
      </c>
      <c r="H125" s="46">
        <f>SUM(H113,H122)</f>
        <v>52</v>
      </c>
      <c r="I125" s="45">
        <f t="shared" si="11"/>
        <v>1.625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40">
        <f>SUM(D114,D123)</f>
        <v>320</v>
      </c>
      <c r="E126" s="140">
        <f>SUM(E114,E123)</f>
        <v>347</v>
      </c>
      <c r="F126" s="32">
        <f t="shared" si="10"/>
        <v>1.0843750000000001</v>
      </c>
      <c r="G126" s="140">
        <f>SUM(G114,G123)</f>
        <v>928</v>
      </c>
      <c r="H126" s="140">
        <f>SUM(H114,H123)</f>
        <v>988</v>
      </c>
      <c r="I126" s="32">
        <f t="shared" si="11"/>
        <v>1.0646551724137931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40">
        <f>SUM(D125:D126)</f>
        <v>332</v>
      </c>
      <c r="E127" s="140">
        <f>SUM(E125:E126)</f>
        <v>354</v>
      </c>
      <c r="F127" s="49">
        <f>E127/D127</f>
        <v>1.0662650602409638</v>
      </c>
      <c r="G127" s="139">
        <f>SUM(G125:G126)</f>
        <v>960</v>
      </c>
      <c r="H127" s="139">
        <f>SUM(H125:H126)</f>
        <v>1040</v>
      </c>
      <c r="I127" s="49">
        <f>H127/G127</f>
        <v>1.0833333333333333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23</v>
      </c>
      <c r="F135" s="592"/>
      <c r="G135" s="591">
        <v>6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38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38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38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38" t="s">
        <v>99</v>
      </c>
      <c r="C140" s="590">
        <v>0</v>
      </c>
      <c r="D140" s="590"/>
      <c r="E140" s="590">
        <v>352</v>
      </c>
      <c r="F140" s="590"/>
      <c r="G140" s="590">
        <v>564</v>
      </c>
      <c r="H140" s="590"/>
      <c r="I140" s="772">
        <v>29828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36" t="s">
        <v>109</v>
      </c>
      <c r="C154" s="136" t="s">
        <v>110</v>
      </c>
      <c r="D154" s="136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'2018FEB'!H155</f>
        <v>64805</v>
      </c>
      <c r="C155" s="63">
        <f>E45-E44</f>
        <v>58957</v>
      </c>
      <c r="D155" s="73">
        <v>73423</v>
      </c>
      <c r="E155" s="531" t="s">
        <v>114</v>
      </c>
      <c r="F155" s="531"/>
      <c r="G155" s="531"/>
      <c r="H155" s="72">
        <f>C155+A155+B155-D155</f>
        <v>50339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13540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55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18261</v>
      </c>
      <c r="H165" s="778"/>
      <c r="I165" s="779"/>
      <c r="J165" s="779"/>
      <c r="K165" s="780"/>
    </row>
    <row r="166" spans="1:11" ht="14">
      <c r="A166" s="135" t="s">
        <v>126</v>
      </c>
      <c r="B166" s="777" t="s">
        <v>127</v>
      </c>
      <c r="C166" s="777"/>
      <c r="D166" s="777"/>
      <c r="E166" s="777"/>
      <c r="F166" s="777"/>
      <c r="G166" s="154">
        <v>1899</v>
      </c>
      <c r="H166" s="778"/>
      <c r="I166" s="779"/>
      <c r="J166" s="779"/>
      <c r="K166" s="780"/>
    </row>
    <row r="167" spans="1:11" ht="14">
      <c r="A167" s="135" t="s">
        <v>128</v>
      </c>
      <c r="B167" s="777" t="s">
        <v>129</v>
      </c>
      <c r="C167" s="777"/>
      <c r="D167" s="777"/>
      <c r="E167" s="777"/>
      <c r="F167" s="777"/>
      <c r="G167" s="155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00000000-0002-0000-0F00-000000000000}">
      <formula1>"USA, JAPAN"</formula1>
    </dataValidation>
    <dataValidation type="list" allowBlank="1" showInputMessage="1" showErrorMessage="1" sqref="G1" xr:uid="{00000000-0002-0000-0F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N167"/>
  <sheetViews>
    <sheetView topLeftCell="A146" zoomScale="89" zoomScaleNormal="89" zoomScaleSheetLayoutView="85" workbookViewId="0">
      <selection activeCell="M165" sqref="M16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43231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5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56" t="s">
        <v>176</v>
      </c>
      <c r="C10" s="61">
        <v>2</v>
      </c>
      <c r="D10" s="159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56" t="s">
        <v>177</v>
      </c>
      <c r="C11" s="61">
        <v>2</v>
      </c>
      <c r="D11" s="159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56" t="s">
        <v>179</v>
      </c>
      <c r="C12" s="61">
        <v>2</v>
      </c>
      <c r="D12" s="159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56" t="s">
        <v>180</v>
      </c>
      <c r="C13" s="61">
        <v>3</v>
      </c>
      <c r="D13" s="159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56" t="s">
        <v>12</v>
      </c>
      <c r="C14" s="61">
        <v>0</v>
      </c>
      <c r="D14" s="159">
        <v>0</v>
      </c>
      <c r="E14" s="693"/>
      <c r="F14" s="694"/>
      <c r="G14" s="694"/>
      <c r="H14" s="694"/>
      <c r="I14" s="695"/>
    </row>
    <row r="15" spans="1:13">
      <c r="A15" s="690"/>
      <c r="B15" s="156" t="s">
        <v>13</v>
      </c>
      <c r="C15" s="61">
        <v>2</v>
      </c>
      <c r="D15" s="159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58" t="s">
        <v>23</v>
      </c>
      <c r="E21" s="158" t="s">
        <v>24</v>
      </c>
      <c r="F21" s="158" t="s">
        <v>25</v>
      </c>
      <c r="G21" s="158" t="s">
        <v>23</v>
      </c>
      <c r="H21" s="158" t="s">
        <v>24</v>
      </c>
      <c r="I21" s="158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11971</v>
      </c>
      <c r="E23" s="159">
        <v>12452</v>
      </c>
      <c r="F23" s="14">
        <f t="shared" ref="F23:F28" si="0">E23/D23</f>
        <v>1.0401804360537967</v>
      </c>
      <c r="G23" s="179">
        <f>D23+'2018MAR'!G23</f>
        <v>45379</v>
      </c>
      <c r="H23" s="66">
        <f>E23+'2018MAR'!H23</f>
        <v>48626</v>
      </c>
      <c r="I23" s="14">
        <f t="shared" ref="I23:I28" si="1">H23/G23</f>
        <v>1.0715529209546266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60">
        <f>SUM(D23:D23)</f>
        <v>11971</v>
      </c>
      <c r="E24" s="160">
        <f>SUM(E23:E23)</f>
        <v>12452</v>
      </c>
      <c r="F24" s="16">
        <f t="shared" si="0"/>
        <v>1.0401804360537967</v>
      </c>
      <c r="G24" s="160">
        <f>SUM(G23:G23)</f>
        <v>45379</v>
      </c>
      <c r="H24" s="160">
        <f>SUM(H23:H23)</f>
        <v>48626</v>
      </c>
      <c r="I24" s="16">
        <f t="shared" si="1"/>
        <v>1.0715529209546266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12160</v>
      </c>
      <c r="E25" s="159">
        <v>12857</v>
      </c>
      <c r="F25" s="14">
        <f t="shared" si="0"/>
        <v>1.0573190789473683</v>
      </c>
      <c r="G25" s="179">
        <f>D25+'2018MAR'!G25</f>
        <v>44800</v>
      </c>
      <c r="H25" s="66">
        <f>E25+'2018MAR'!H25</f>
        <v>48834</v>
      </c>
      <c r="I25" s="14">
        <f t="shared" si="1"/>
        <v>1.0900446428571429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159">
        <v>0</v>
      </c>
      <c r="F26" s="14" t="e">
        <f t="shared" si="0"/>
        <v>#DIV/0!</v>
      </c>
      <c r="G26" s="156">
        <f>D26</f>
        <v>0</v>
      </c>
      <c r="H26" s="156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60">
        <f>SUM(D25:D26)</f>
        <v>12160</v>
      </c>
      <c r="E27" s="160">
        <f>SUM(E25:E26)</f>
        <v>12857</v>
      </c>
      <c r="F27" s="16">
        <f t="shared" si="0"/>
        <v>1.0573190789473683</v>
      </c>
      <c r="G27" s="160">
        <f>SUM(G25:G26)</f>
        <v>44800</v>
      </c>
      <c r="H27" s="160">
        <f>SUM(H25:H26)</f>
        <v>48834</v>
      </c>
      <c r="I27" s="16">
        <f t="shared" si="1"/>
        <v>1.0900446428571429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61">
        <f>SUM(D24,D27)</f>
        <v>24131</v>
      </c>
      <c r="E28" s="161">
        <f>SUM(E24,E27)</f>
        <v>25309</v>
      </c>
      <c r="F28" s="17">
        <f t="shared" si="0"/>
        <v>1.0488168745596951</v>
      </c>
      <c r="G28" s="161">
        <f>SUM(G24,G27)</f>
        <v>90179</v>
      </c>
      <c r="H28" s="161">
        <f>SUM(H24,H27)</f>
        <v>97460</v>
      </c>
      <c r="I28" s="17">
        <f t="shared" si="1"/>
        <v>1.0807394182681112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28" t="s">
        <v>29</v>
      </c>
      <c r="D30" s="65">
        <v>1000</v>
      </c>
      <c r="E30" s="159">
        <v>3969</v>
      </c>
      <c r="F30" s="14">
        <f>E30/D30</f>
        <v>3.9689999999999999</v>
      </c>
      <c r="G30" s="66">
        <f>D30+'2018MAR'!G30</f>
        <v>4000</v>
      </c>
      <c r="H30" s="66">
        <f>E30+'2018MAR'!H30</f>
        <v>9208</v>
      </c>
      <c r="I30" s="14">
        <f>H30/G30</f>
        <v>2.302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159">
        <v>364</v>
      </c>
      <c r="F31" s="14" t="e">
        <f t="shared" ref="F31:F47" si="2">E31/D31</f>
        <v>#DIV/0!</v>
      </c>
      <c r="G31" s="66">
        <f>D31+'2018MAR'!G31</f>
        <v>0</v>
      </c>
      <c r="H31" s="66">
        <f>E31+'2018MAR'!H31</f>
        <v>12472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60">
        <f>SUM(D30:D31)</f>
        <v>1000</v>
      </c>
      <c r="E32" s="160">
        <f>SUM(E30:E31)</f>
        <v>4333</v>
      </c>
      <c r="F32" s="14">
        <f t="shared" si="2"/>
        <v>4.3330000000000002</v>
      </c>
      <c r="G32" s="160">
        <f>SUM(G30:G31)</f>
        <v>4000</v>
      </c>
      <c r="H32" s="160">
        <f>SUM(H30:H31)</f>
        <v>21680</v>
      </c>
      <c r="I32" s="14">
        <f t="shared" si="3"/>
        <v>5.42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59">
        <v>1724</v>
      </c>
      <c r="F33" s="14">
        <f t="shared" si="2"/>
        <v>2.6523076923076925</v>
      </c>
      <c r="G33" s="66">
        <f>D33+'2018MAR'!G33</f>
        <v>2600</v>
      </c>
      <c r="H33" s="66">
        <f>E33+'2018MAR'!H33</f>
        <v>4173</v>
      </c>
      <c r="I33" s="14">
        <f t="shared" si="3"/>
        <v>1.605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58">
        <f>SUM(D32,D33)</f>
        <v>1650</v>
      </c>
      <c r="E34" s="158">
        <f>SUM(E32,E33)</f>
        <v>6057</v>
      </c>
      <c r="F34" s="14">
        <f t="shared" si="2"/>
        <v>3.6709090909090909</v>
      </c>
      <c r="G34" s="158">
        <f>SUM(G32,G33)</f>
        <v>6600</v>
      </c>
      <c r="H34" s="158">
        <f>SUM(H32,H33)</f>
        <v>25853</v>
      </c>
      <c r="I34" s="14">
        <f t="shared" si="3"/>
        <v>3.917121212121212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56">
        <v>0</v>
      </c>
      <c r="F35" s="14">
        <f t="shared" si="2"/>
        <v>0</v>
      </c>
      <c r="G35" s="66">
        <f>D35+'2018MAR'!G35</f>
        <v>144928</v>
      </c>
      <c r="H35" s="66">
        <f>E35+'2018MAR'!H35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56"/>
      <c r="E36" s="156"/>
      <c r="F36" s="14" t="e">
        <f t="shared" si="2"/>
        <v>#DIV/0!</v>
      </c>
      <c r="G36" s="156"/>
      <c r="H36" s="156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60">
        <f>SUM(D35:D36)</f>
        <v>36232</v>
      </c>
      <c r="E37" s="160">
        <f>SUM(E35:E36)</f>
        <v>0</v>
      </c>
      <c r="F37" s="16">
        <f t="shared" si="2"/>
        <v>0</v>
      </c>
      <c r="G37" s="176">
        <f>SUM(G35:G36)</f>
        <v>144928</v>
      </c>
      <c r="H37" s="176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159">
        <v>0</v>
      </c>
      <c r="F38" s="14">
        <f t="shared" si="2"/>
        <v>0</v>
      </c>
      <c r="G38" s="66">
        <f>D38+'2018MAR'!G38</f>
        <v>4400</v>
      </c>
      <c r="H38" s="66">
        <f>E38+'2018MAR'!H38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56"/>
      <c r="E39" s="156"/>
      <c r="F39" s="14" t="e">
        <f t="shared" si="2"/>
        <v>#DIV/0!</v>
      </c>
      <c r="G39" s="156"/>
      <c r="H39" s="156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60">
        <f>SUM(D38:D39)</f>
        <v>1100</v>
      </c>
      <c r="E40" s="160">
        <f>SUM(E38:E39)</f>
        <v>0</v>
      </c>
      <c r="F40" s="16">
        <f t="shared" si="2"/>
        <v>0</v>
      </c>
      <c r="G40" s="160">
        <f>SUM(G38:G39)</f>
        <v>4400</v>
      </c>
      <c r="H40" s="16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58">
        <f>SUM(D37,D40)</f>
        <v>37332</v>
      </c>
      <c r="E41" s="158">
        <f>SUM(E37,E40)</f>
        <v>0</v>
      </c>
      <c r="F41" s="19">
        <f t="shared" si="2"/>
        <v>0</v>
      </c>
      <c r="G41" s="158">
        <f>SUM(G37,G40)</f>
        <v>149328</v>
      </c>
      <c r="H41" s="158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5047</v>
      </c>
      <c r="F42" s="21">
        <f t="shared" si="2"/>
        <v>0.43886956521739129</v>
      </c>
      <c r="G42" s="180">
        <f>D42+'2018MAR'!G42</f>
        <v>44500</v>
      </c>
      <c r="H42" s="77">
        <f>E42+'2018MAR'!H42</f>
        <v>75710</v>
      </c>
      <c r="I42" s="21">
        <f t="shared" si="3"/>
        <v>1.7013483146067416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4000</v>
      </c>
      <c r="E43" s="20">
        <v>0</v>
      </c>
      <c r="F43" s="21">
        <f t="shared" si="2"/>
        <v>0</v>
      </c>
      <c r="G43" s="68">
        <f>D43+'2018MAR'!G43</f>
        <v>4000</v>
      </c>
      <c r="H43" s="68">
        <f>E43+'2018MAR'!H43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>D44+'2018MAR'!G44</f>
        <v>134000</v>
      </c>
      <c r="H44" s="68">
        <f>E44+'2018MAR'!H44</f>
        <v>99970</v>
      </c>
      <c r="I44" s="21">
        <f t="shared" si="3"/>
        <v>0.74604477611940301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64">
        <f>SUM(D28,D34,D41,D42:D44)</f>
        <v>112113</v>
      </c>
      <c r="E45" s="78">
        <f>SUM(E28,E34,E41,E42:E44)</f>
        <v>36413</v>
      </c>
      <c r="F45" s="22">
        <f t="shared" si="2"/>
        <v>0.32478838314914416</v>
      </c>
      <c r="G45" s="164">
        <f>SUM(G28,G34,G41,G42:G44)</f>
        <v>428607</v>
      </c>
      <c r="H45" s="164">
        <f>SUM(H28,H34,H41,H42:H44)</f>
        <v>298993</v>
      </c>
      <c r="I45" s="22">
        <f t="shared" si="3"/>
        <v>0.69759243316138098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64">
        <f>D45-D42</f>
        <v>100613</v>
      </c>
      <c r="E46" s="164">
        <f>E45-E42</f>
        <v>31366</v>
      </c>
      <c r="F46" s="22">
        <f t="shared" si="2"/>
        <v>0.31174897876019997</v>
      </c>
      <c r="G46" s="164">
        <f>G45-G42</f>
        <v>384107</v>
      </c>
      <c r="H46" s="164">
        <f>H45-H42</f>
        <v>223283</v>
      </c>
      <c r="I46" s="22">
        <f t="shared" si="3"/>
        <v>0.58130416784906291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62">
        <f>D46-D44</f>
        <v>67113</v>
      </c>
      <c r="E47" s="162">
        <f>E46-E44</f>
        <v>31366</v>
      </c>
      <c r="F47" s="23">
        <f t="shared" si="2"/>
        <v>0.46736101798459317</v>
      </c>
      <c r="G47" s="162">
        <f>G46-G44</f>
        <v>250107</v>
      </c>
      <c r="H47" s="162">
        <f>H46-H44</f>
        <v>123313</v>
      </c>
      <c r="I47" s="23">
        <f t="shared" si="3"/>
        <v>0.49304097846121858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63" t="s">
        <v>23</v>
      </c>
      <c r="E52" s="163" t="s">
        <v>24</v>
      </c>
      <c r="F52" s="163" t="s">
        <v>25</v>
      </c>
      <c r="G52" s="163" t="s">
        <v>23</v>
      </c>
      <c r="H52" s="163" t="s">
        <v>24</v>
      </c>
      <c r="I52" s="163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59">
        <v>12</v>
      </c>
      <c r="F53" s="28">
        <f t="shared" ref="F53:F79" si="4">E53/D53</f>
        <v>1</v>
      </c>
      <c r="G53" s="66">
        <f>D53+'2018MAR'!G53</f>
        <v>44</v>
      </c>
      <c r="H53" s="66">
        <f>E53+'2018MAR'!H53</f>
        <v>64</v>
      </c>
      <c r="I53" s="28">
        <f t="shared" ref="I53:I79" si="5">H53/G53</f>
        <v>1.4545454545454546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59">
        <v>346</v>
      </c>
      <c r="F54" s="28">
        <f t="shared" si="4"/>
        <v>1.1533333333333333</v>
      </c>
      <c r="G54" s="66">
        <f>D54+'2018MAR'!G54</f>
        <v>1200</v>
      </c>
      <c r="H54" s="66">
        <f>E54+'2018MAR'!H54</f>
        <v>1334</v>
      </c>
      <c r="I54" s="28">
        <f t="shared" si="5"/>
        <v>1.1116666666666666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60">
        <f>SUM(D53:D54)</f>
        <v>312</v>
      </c>
      <c r="E55" s="160">
        <f>SUM(E53:E54)</f>
        <v>358</v>
      </c>
      <c r="F55" s="30">
        <f t="shared" si="4"/>
        <v>1.1474358974358974</v>
      </c>
      <c r="G55" s="160">
        <f>SUM(G53:G54)</f>
        <v>1244</v>
      </c>
      <c r="H55" s="160">
        <f>SUM(H53:H54)</f>
        <v>1398</v>
      </c>
      <c r="I55" s="30">
        <f t="shared" si="5"/>
        <v>1.1237942122186495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59">
        <v>37</v>
      </c>
      <c r="F56" s="28">
        <f t="shared" si="4"/>
        <v>0.92500000000000004</v>
      </c>
      <c r="G56" s="66">
        <f>D56+'2018MAR'!G56</f>
        <v>160</v>
      </c>
      <c r="H56" s="66">
        <f>E56+'2018MAR'!H56</f>
        <v>205</v>
      </c>
      <c r="I56" s="28">
        <f t="shared" si="5"/>
        <v>1.28125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59">
        <v>803</v>
      </c>
      <c r="F57" s="28">
        <f t="shared" si="4"/>
        <v>1.3383333333333334</v>
      </c>
      <c r="G57" s="66">
        <f>D57+'2018MAR'!G57</f>
        <v>2400</v>
      </c>
      <c r="H57" s="66">
        <f>E57+'2018MAR'!H57</f>
        <v>2925</v>
      </c>
      <c r="I57" s="28">
        <f t="shared" si="5"/>
        <v>1.21875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68">
        <f>SUM(D56:D57)</f>
        <v>640</v>
      </c>
      <c r="E58" s="168">
        <f>SUM(E56:E57)</f>
        <v>840</v>
      </c>
      <c r="F58" s="28">
        <f t="shared" si="4"/>
        <v>1.3125</v>
      </c>
      <c r="G58" s="168">
        <f>SUM(G56:G57)</f>
        <v>2560</v>
      </c>
      <c r="H58" s="168">
        <f>SUM(H56:H57)</f>
        <v>3130</v>
      </c>
      <c r="I58" s="31">
        <f t="shared" si="5"/>
        <v>1.22265625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69">
        <f>SUM(D53,D56)</f>
        <v>52</v>
      </c>
      <c r="E59" s="169">
        <f>SUM(E53,E56)</f>
        <v>49</v>
      </c>
      <c r="F59" s="32">
        <f t="shared" si="4"/>
        <v>0.94230769230769229</v>
      </c>
      <c r="G59" s="169">
        <f>SUM(G53,G56)</f>
        <v>204</v>
      </c>
      <c r="H59" s="169">
        <f>SUM(H53,H56)</f>
        <v>269</v>
      </c>
      <c r="I59" s="32">
        <f t="shared" si="5"/>
        <v>1.3186274509803921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69">
        <f>SUM(D54,D57)</f>
        <v>900</v>
      </c>
      <c r="E60" s="169">
        <f>SUM(E54,E57)</f>
        <v>1149</v>
      </c>
      <c r="F60" s="32">
        <f t="shared" si="4"/>
        <v>1.2766666666666666</v>
      </c>
      <c r="G60" s="169">
        <f>SUM(G54,G57)</f>
        <v>3600</v>
      </c>
      <c r="H60" s="169">
        <f>SUM(H54,H57)</f>
        <v>4259</v>
      </c>
      <c r="I60" s="32">
        <f t="shared" si="5"/>
        <v>1.1830555555555555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70">
        <f>SUM(D59:D60)</f>
        <v>952</v>
      </c>
      <c r="E61" s="170">
        <f>SUM(E59:E60)</f>
        <v>1198</v>
      </c>
      <c r="F61" s="33">
        <f t="shared" si="4"/>
        <v>1.2584033613445378</v>
      </c>
      <c r="G61" s="170">
        <f>SUM(G59:G60)</f>
        <v>3804</v>
      </c>
      <c r="H61" s="170">
        <f>SUM(H59:H60)</f>
        <v>4528</v>
      </c>
      <c r="I61" s="33">
        <f t="shared" si="5"/>
        <v>1.1903259726603574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56">
        <f>E71/10</f>
        <v>41.7</v>
      </c>
      <c r="F62" s="28">
        <f t="shared" si="4"/>
        <v>0.99285714285714288</v>
      </c>
      <c r="G62" s="66">
        <f>D62+'2018MAR'!G62</f>
        <v>154</v>
      </c>
      <c r="H62" s="66">
        <f>E62+'2018MAR'!H62</f>
        <v>222.5</v>
      </c>
      <c r="I62" s="28">
        <f t="shared" si="5"/>
        <v>1.4448051948051948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56">
        <f>E72/10</f>
        <v>1203.5</v>
      </c>
      <c r="F63" s="28">
        <f t="shared" si="4"/>
        <v>1.1527777777777777</v>
      </c>
      <c r="G63" s="66">
        <f>D63+'2018MAR'!G63</f>
        <v>4176</v>
      </c>
      <c r="H63" s="66">
        <f>E63+'2018MAR'!H63</f>
        <v>4640.1000000000004</v>
      </c>
      <c r="I63" s="28">
        <f t="shared" si="5"/>
        <v>1.1111350574712644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60">
        <f>SUM(E62:E63)</f>
        <v>1245.2</v>
      </c>
      <c r="F64" s="30">
        <f t="shared" si="4"/>
        <v>1.1465930018416206</v>
      </c>
      <c r="G64" s="160">
        <f>SUM(G62:G63)</f>
        <v>4330</v>
      </c>
      <c r="H64" s="160">
        <f>SUM(H62:H63)</f>
        <v>4862.6000000000004</v>
      </c>
      <c r="I64" s="30">
        <f t="shared" si="5"/>
        <v>1.1230023094688222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56">
        <f>E74/10</f>
        <v>49.1</v>
      </c>
      <c r="F65" s="28">
        <f t="shared" si="4"/>
        <v>0.76718750000000002</v>
      </c>
      <c r="G65" s="66">
        <f>D65+'2018MAR'!G65</f>
        <v>256</v>
      </c>
      <c r="H65" s="66">
        <f>E65+'2018MAR'!H65</f>
        <v>256.90000000000003</v>
      </c>
      <c r="I65" s="28">
        <f t="shared" si="5"/>
        <v>1.0035156250000001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56">
        <f>E75/10</f>
        <v>1236.5999999999999</v>
      </c>
      <c r="F66" s="28">
        <f t="shared" si="4"/>
        <v>1.288125</v>
      </c>
      <c r="G66" s="66">
        <f>D66+'2018MAR'!G66</f>
        <v>3840</v>
      </c>
      <c r="H66" s="66">
        <f>E66+'2018MAR'!H66</f>
        <v>4626.5</v>
      </c>
      <c r="I66" s="28">
        <f t="shared" si="5"/>
        <v>1.2048177083333333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68">
        <f>SUM(D65:D66)</f>
        <v>1024</v>
      </c>
      <c r="E67" s="168">
        <f>SUM(E65:E66)</f>
        <v>1285.6999999999998</v>
      </c>
      <c r="F67" s="31">
        <f t="shared" si="4"/>
        <v>1.2555664062499998</v>
      </c>
      <c r="G67" s="168">
        <f>SUM(G65:G66)</f>
        <v>4096</v>
      </c>
      <c r="H67" s="168">
        <f>SUM(H65:H66)</f>
        <v>4883.3999999999996</v>
      </c>
      <c r="I67" s="31">
        <f t="shared" si="5"/>
        <v>1.1922363281249999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69">
        <f>SUM(D62,D65)</f>
        <v>106</v>
      </c>
      <c r="E68" s="169">
        <f>SUM(E62,E65)</f>
        <v>90.800000000000011</v>
      </c>
      <c r="F68" s="32">
        <f t="shared" si="4"/>
        <v>0.8566037735849058</v>
      </c>
      <c r="G68" s="169">
        <f>SUM(G62,G65)</f>
        <v>410</v>
      </c>
      <c r="H68" s="169">
        <f>SUM(H62,H65)</f>
        <v>479.40000000000003</v>
      </c>
      <c r="I68" s="32">
        <f t="shared" si="5"/>
        <v>1.169268292682927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69">
        <f>SUM(D63,D66)</f>
        <v>2004</v>
      </c>
      <c r="E69" s="169">
        <f>SUM(E63,E66)</f>
        <v>2440.1</v>
      </c>
      <c r="F69" s="32">
        <f t="shared" si="4"/>
        <v>1.2176147704590818</v>
      </c>
      <c r="G69" s="169">
        <f>SUM(G63,G66)</f>
        <v>8016</v>
      </c>
      <c r="H69" s="169">
        <f>SUM(H63,H66)</f>
        <v>9266.6</v>
      </c>
      <c r="I69" s="32">
        <f t="shared" si="5"/>
        <v>1.1560129740518963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70">
        <f>SUM(D68:D69)</f>
        <v>2110</v>
      </c>
      <c r="E70" s="170">
        <f>SUM(E68:E69)</f>
        <v>2530.9</v>
      </c>
      <c r="F70" s="34">
        <f t="shared" si="4"/>
        <v>1.199478672985782</v>
      </c>
      <c r="G70" s="170">
        <f>SUM(G68:G69)</f>
        <v>8426</v>
      </c>
      <c r="H70" s="170">
        <f>SUM(H68:H69)</f>
        <v>9746</v>
      </c>
      <c r="I70" s="34">
        <f t="shared" si="5"/>
        <v>1.1566579634464751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1531</v>
      </c>
      <c r="E71" s="159">
        <v>417</v>
      </c>
      <c r="F71" s="28">
        <f t="shared" si="4"/>
        <v>0.27237099934683212</v>
      </c>
      <c r="G71" s="179">
        <f>D71+'2018MAR'!G71</f>
        <v>3619</v>
      </c>
      <c r="H71" s="66">
        <f>E71+'2018MAR'!H71</f>
        <v>2225</v>
      </c>
      <c r="I71" s="28">
        <f t="shared" si="5"/>
        <v>0.61481072119369995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76">
        <f>E23-E71</f>
        <v>12035</v>
      </c>
      <c r="F72" s="28">
        <f t="shared" si="4"/>
        <v>1.1527777777777777</v>
      </c>
      <c r="G72" s="66">
        <f>D72+'2018MAR'!G72</f>
        <v>41760</v>
      </c>
      <c r="H72" s="66">
        <f>E72+'2018MAR'!H72</f>
        <v>46401</v>
      </c>
      <c r="I72" s="28">
        <f t="shared" si="5"/>
        <v>1.1111350574712644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60">
        <f>SUM(D71:D72)</f>
        <v>11971</v>
      </c>
      <c r="E73" s="160">
        <f>SUM(E71:E72)</f>
        <v>12452</v>
      </c>
      <c r="F73" s="30">
        <f t="shared" si="4"/>
        <v>1.0401804360537967</v>
      </c>
      <c r="G73" s="160">
        <f>SUM(G71:G72)</f>
        <v>45379</v>
      </c>
      <c r="H73" s="160">
        <f>SUM(H71:H72)</f>
        <v>48626</v>
      </c>
      <c r="I73" s="30">
        <f t="shared" si="5"/>
        <v>1.0715529209546266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2560</v>
      </c>
      <c r="E74" s="159">
        <v>491</v>
      </c>
      <c r="F74" s="28">
        <f t="shared" si="4"/>
        <v>0.19179687500000001</v>
      </c>
      <c r="G74" s="179">
        <f>D74+'2018MAR'!G74</f>
        <v>6400</v>
      </c>
      <c r="H74" s="66">
        <f>E74+'2018MAR'!H74</f>
        <v>2569</v>
      </c>
      <c r="I74" s="28">
        <f t="shared" si="5"/>
        <v>0.40140625000000002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76">
        <f>E25-E74</f>
        <v>12366</v>
      </c>
      <c r="F75" s="28">
        <f t="shared" si="4"/>
        <v>1.288125</v>
      </c>
      <c r="G75" s="66">
        <f>D75+'2018MAR'!G75</f>
        <v>38400</v>
      </c>
      <c r="H75" s="66">
        <f>E75+'2018MAR'!H75</f>
        <v>46265</v>
      </c>
      <c r="I75" s="28">
        <f t="shared" si="5"/>
        <v>1.2048177083333333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68">
        <f>SUM(D74:D75)</f>
        <v>12160</v>
      </c>
      <c r="E76" s="168">
        <f>SUM(E74:E75)</f>
        <v>12857</v>
      </c>
      <c r="F76" s="31">
        <f t="shared" si="4"/>
        <v>1.0573190789473683</v>
      </c>
      <c r="G76" s="168">
        <f>SUM(G74:G75)</f>
        <v>44800</v>
      </c>
      <c r="H76" s="168">
        <f>SUM(H74:H75)</f>
        <v>48834</v>
      </c>
      <c r="I76" s="31">
        <f t="shared" si="5"/>
        <v>1.0900446428571429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69">
        <f>SUM(D71,D74)</f>
        <v>4091</v>
      </c>
      <c r="E77" s="169">
        <f>SUM(E71,E74)</f>
        <v>908</v>
      </c>
      <c r="F77" s="32">
        <f t="shared" si="4"/>
        <v>0.22195062331948179</v>
      </c>
      <c r="G77" s="169">
        <f>SUM(G71,G74)</f>
        <v>10019</v>
      </c>
      <c r="H77" s="169">
        <f>SUM(H71,H74)</f>
        <v>4794</v>
      </c>
      <c r="I77" s="32">
        <f t="shared" si="5"/>
        <v>0.47849086735203117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69">
        <f>SUM(D72,D75)</f>
        <v>20040</v>
      </c>
      <c r="E78" s="169">
        <f>SUM(E72,E75)</f>
        <v>24401</v>
      </c>
      <c r="F78" s="32">
        <f t="shared" si="4"/>
        <v>1.2176147704590818</v>
      </c>
      <c r="G78" s="169">
        <f>SUM(G72,G75)</f>
        <v>80160</v>
      </c>
      <c r="H78" s="169">
        <f>SUM(H72,H75)</f>
        <v>92666</v>
      </c>
      <c r="I78" s="32">
        <f t="shared" si="5"/>
        <v>1.1560129740518963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70">
        <f>SUM(D77:D78)</f>
        <v>24131</v>
      </c>
      <c r="E79" s="170">
        <f>SUM(E77:E78)</f>
        <v>25309</v>
      </c>
      <c r="F79" s="34">
        <f t="shared" si="4"/>
        <v>1.0488168745596951</v>
      </c>
      <c r="G79" s="170">
        <f>SUM(G77:G78)</f>
        <v>90179</v>
      </c>
      <c r="H79" s="170">
        <f>SUM(H77:H78)</f>
        <v>97460</v>
      </c>
      <c r="I79" s="34">
        <f t="shared" si="5"/>
        <v>1.0807394182681112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358</v>
      </c>
      <c r="E87" s="130"/>
      <c r="F87" s="134">
        <f>D87+'2018MAR'!F87</f>
        <v>1398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12</v>
      </c>
      <c r="E88" s="128"/>
      <c r="F88" s="134">
        <f>D88+'2018MAR'!F88</f>
        <v>64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D89+'2018MAR'!F89</f>
        <v>3</v>
      </c>
      <c r="G89" s="128">
        <f>F89/F87</f>
        <v>2.1459227467811159E-3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8</v>
      </c>
      <c r="E90" s="128">
        <f>D90/D92</f>
        <v>3.5242290748898682E-2</v>
      </c>
      <c r="F90" s="134">
        <f>D90+'2018MAR'!F90</f>
        <v>112</v>
      </c>
      <c r="G90" s="128">
        <f>F90/F92</f>
        <v>0.14659685863874344</v>
      </c>
      <c r="H90" s="128"/>
    </row>
    <row r="91" spans="1:13" ht="15" customHeight="1">
      <c r="A91" s="775"/>
      <c r="B91" s="776" t="s">
        <v>202</v>
      </c>
      <c r="C91" s="776"/>
      <c r="D91" s="131">
        <v>231</v>
      </c>
      <c r="E91" s="128">
        <f>D91/D92</f>
        <v>1.0176211453744493</v>
      </c>
      <c r="F91" s="134">
        <f>D91+'2018MAR'!F91</f>
        <v>720</v>
      </c>
      <c r="G91" s="128">
        <f>F91/F92</f>
        <v>0.94240837696335078</v>
      </c>
      <c r="H91" s="128"/>
    </row>
    <row r="92" spans="1:13" ht="15" customHeight="1">
      <c r="A92" s="775"/>
      <c r="B92" s="776" t="s">
        <v>203</v>
      </c>
      <c r="C92" s="776"/>
      <c r="D92" s="131">
        <v>227</v>
      </c>
      <c r="E92" s="130"/>
      <c r="F92" s="134">
        <f>D92+'2018MAR'!F92</f>
        <v>764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63" t="s">
        <v>23</v>
      </c>
      <c r="E97" s="163" t="s">
        <v>24</v>
      </c>
      <c r="F97" s="163" t="s">
        <v>25</v>
      </c>
      <c r="G97" s="163" t="s">
        <v>23</v>
      </c>
      <c r="H97" s="163" t="s">
        <v>24</v>
      </c>
      <c r="I97" s="163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59">
        <v>0</v>
      </c>
      <c r="F98" s="37" t="e">
        <f>E98/D98</f>
        <v>#DIV/0!</v>
      </c>
      <c r="G98" s="66">
        <f>D98+'2018MAR'!G98</f>
        <v>0</v>
      </c>
      <c r="H98" s="66">
        <f>E98+'2018MAR'!H98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59">
        <v>41</v>
      </c>
      <c r="F99" s="28">
        <f t="shared" ref="F99:F115" si="6">E99/D99</f>
        <v>1</v>
      </c>
      <c r="G99" s="66">
        <f>D99+'2018MAR'!G99</f>
        <v>164</v>
      </c>
      <c r="H99" s="66">
        <f>E99+'2018MAR'!H99</f>
        <v>166</v>
      </c>
      <c r="I99" s="28">
        <f t="shared" ref="I99:I115" si="7">H99/G99</f>
        <v>1.0121951219512195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60">
        <f>SUM(D98:D99)</f>
        <v>41</v>
      </c>
      <c r="E100" s="160">
        <f>SUM(E98:E99)</f>
        <v>41</v>
      </c>
      <c r="F100" s="30">
        <f t="shared" si="6"/>
        <v>1</v>
      </c>
      <c r="G100" s="160">
        <f>SUM(G98:G99)</f>
        <v>164</v>
      </c>
      <c r="H100" s="160">
        <f>SUM(H98:H99)</f>
        <v>167</v>
      </c>
      <c r="I100" s="30">
        <f t="shared" si="7"/>
        <v>1.0182926829268293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59">
        <v>0</v>
      </c>
      <c r="F101" s="28" t="e">
        <f t="shared" si="6"/>
        <v>#DIV/0!</v>
      </c>
      <c r="G101" s="66">
        <f>D101+'2018MAR'!G101</f>
        <v>0</v>
      </c>
      <c r="H101" s="66">
        <f>E101+'2018MAR'!H101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59">
        <v>10</v>
      </c>
      <c r="F102" s="28">
        <f t="shared" si="6"/>
        <v>0.90909090909090906</v>
      </c>
      <c r="G102" s="66">
        <f>D102+'2018MAR'!G102</f>
        <v>44</v>
      </c>
      <c r="H102" s="66">
        <f>E102+'2018MAR'!H102</f>
        <v>41</v>
      </c>
      <c r="I102" s="28">
        <f t="shared" si="7"/>
        <v>0.93181818181818177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60">
        <f>SUM(D101:D102)</f>
        <v>11</v>
      </c>
      <c r="E103" s="160">
        <f>SUM(E101:E102)</f>
        <v>10</v>
      </c>
      <c r="F103" s="30">
        <f t="shared" si="6"/>
        <v>0.90909090909090906</v>
      </c>
      <c r="G103" s="160">
        <f>SUM(G101:G102)</f>
        <v>44</v>
      </c>
      <c r="H103" s="160">
        <f>SUM(H101:H102)</f>
        <v>41</v>
      </c>
      <c r="I103" s="30">
        <f t="shared" si="7"/>
        <v>0.93181818181818177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59">
        <v>0</v>
      </c>
      <c r="F104" s="28" t="e">
        <f t="shared" si="6"/>
        <v>#DIV/0!</v>
      </c>
      <c r="G104" s="66">
        <f>D104+'2018MAR'!G104</f>
        <v>0</v>
      </c>
      <c r="H104" s="66">
        <f>E104+'2018MAR'!H104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59">
        <v>56</v>
      </c>
      <c r="F105" s="28">
        <f t="shared" si="6"/>
        <v>0.88888888888888884</v>
      </c>
      <c r="G105" s="66">
        <f>D105+'2018MAR'!G105</f>
        <v>252</v>
      </c>
      <c r="H105" s="66">
        <f>E105+'2018MAR'!H105</f>
        <v>234</v>
      </c>
      <c r="I105" s="28">
        <f t="shared" si="7"/>
        <v>0.9285714285714286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60">
        <f>SUM(D104:D105)</f>
        <v>63</v>
      </c>
      <c r="E106" s="160">
        <f>SUM(E104:E105)</f>
        <v>56</v>
      </c>
      <c r="F106" s="30">
        <f t="shared" si="6"/>
        <v>0.88888888888888884</v>
      </c>
      <c r="G106" s="160">
        <f>SUM(G104:G105)</f>
        <v>252</v>
      </c>
      <c r="H106" s="160">
        <f>SUM(H104:H105)</f>
        <v>234</v>
      </c>
      <c r="I106" s="30">
        <f t="shared" si="7"/>
        <v>0.9285714285714286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59">
        <v>12</v>
      </c>
      <c r="F107" s="28">
        <f>E107/D107</f>
        <v>6</v>
      </c>
      <c r="G107" s="66">
        <f>D107+'2018MAR'!G107</f>
        <v>6</v>
      </c>
      <c r="H107" s="66">
        <f>E107+'2018MAR'!H107</f>
        <v>15</v>
      </c>
      <c r="I107" s="28">
        <f>H107/G107</f>
        <v>2.5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104</v>
      </c>
      <c r="E108" s="159">
        <v>98</v>
      </c>
      <c r="F108" s="28">
        <f>E108/D108</f>
        <v>0.94230769230769229</v>
      </c>
      <c r="G108" s="66">
        <f>D108+'2018MAR'!G108</f>
        <v>406</v>
      </c>
      <c r="H108" s="66">
        <f>E108+'2018MAR'!H108</f>
        <v>397</v>
      </c>
      <c r="I108" s="28">
        <f t="shared" si="7"/>
        <v>0.97783251231527091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60">
        <f>SUM(D107:D108)</f>
        <v>106</v>
      </c>
      <c r="E109" s="160">
        <f>SUM(E107:E108)</f>
        <v>110</v>
      </c>
      <c r="F109" s="30">
        <f t="shared" si="6"/>
        <v>1.0377358490566038</v>
      </c>
      <c r="G109" s="160">
        <f>SUM(G107:G108)</f>
        <v>412</v>
      </c>
      <c r="H109" s="160">
        <f>SUM(H107:H108)</f>
        <v>412</v>
      </c>
      <c r="I109" s="30">
        <f t="shared" si="7"/>
        <v>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59">
        <v>0</v>
      </c>
      <c r="F110" s="30">
        <f>E110/D110</f>
        <v>0</v>
      </c>
      <c r="G110" s="66">
        <f>D110+'2018MAR'!G110</f>
        <v>32</v>
      </c>
      <c r="H110" s="66">
        <f>E110+'2018MAR'!H110</f>
        <v>33</v>
      </c>
      <c r="I110" s="30">
        <f>H110/G110</f>
        <v>1.03125</v>
      </c>
      <c r="J110" s="165"/>
      <c r="K110" s="166"/>
      <c r="L110" s="166"/>
      <c r="M110" s="167"/>
    </row>
    <row r="111" spans="1:13">
      <c r="A111" s="553"/>
      <c r="B111" s="803"/>
      <c r="C111" s="27" t="s">
        <v>70</v>
      </c>
      <c r="D111" s="65">
        <v>24</v>
      </c>
      <c r="E111" s="159">
        <v>36</v>
      </c>
      <c r="F111" s="30">
        <f t="shared" ref="F111:F112" si="8">E111/D111</f>
        <v>1.5</v>
      </c>
      <c r="G111" s="66">
        <f>D111+'2018MAR'!G111</f>
        <v>48</v>
      </c>
      <c r="H111" s="66">
        <f>E111+'2018MAR'!H111</f>
        <v>92</v>
      </c>
      <c r="I111" s="30">
        <f t="shared" ref="I111:I112" si="9">H111/G111</f>
        <v>1.9166666666666667</v>
      </c>
      <c r="J111" s="165"/>
      <c r="K111" s="166"/>
      <c r="L111" s="166"/>
      <c r="M111" s="167"/>
    </row>
    <row r="112" spans="1:13">
      <c r="A112" s="553"/>
      <c r="B112" s="804"/>
      <c r="C112" s="38" t="s">
        <v>166</v>
      </c>
      <c r="D112" s="160">
        <f>SUM(D110:D111)</f>
        <v>32</v>
      </c>
      <c r="E112" s="160">
        <f>SUM(E110:E111)</f>
        <v>36</v>
      </c>
      <c r="F112" s="30">
        <f t="shared" si="8"/>
        <v>1.125</v>
      </c>
      <c r="G112" s="160">
        <f>SUM(G110:G111)</f>
        <v>80</v>
      </c>
      <c r="H112" s="160">
        <f>SUM(H110:H111)</f>
        <v>125</v>
      </c>
      <c r="I112" s="30">
        <f t="shared" si="9"/>
        <v>1.5625</v>
      </c>
      <c r="J112" s="165"/>
      <c r="K112" s="166"/>
      <c r="L112" s="166"/>
      <c r="M112" s="167"/>
    </row>
    <row r="113" spans="1:13">
      <c r="A113" s="553"/>
      <c r="B113" s="611" t="s">
        <v>46</v>
      </c>
      <c r="C113" s="39" t="s">
        <v>69</v>
      </c>
      <c r="D113" s="168">
        <f>SUM(D98,D101,D104,D107,D110)</f>
        <v>10</v>
      </c>
      <c r="E113" s="168">
        <f>SUM(E98,E101,E104,E107,E110)</f>
        <v>12</v>
      </c>
      <c r="F113" s="31">
        <f t="shared" si="6"/>
        <v>1.2</v>
      </c>
      <c r="G113" s="168">
        <f>SUM(G98,G101,G104,G107,G110)</f>
        <v>38</v>
      </c>
      <c r="H113" s="168">
        <f>SUM(H98,H101,H104,H107,H110)</f>
        <v>49</v>
      </c>
      <c r="I113" s="31">
        <f t="shared" si="7"/>
        <v>1.2894736842105263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68">
        <f>SUM(D99,D102,D105,D108,D111)</f>
        <v>243</v>
      </c>
      <c r="E114" s="168">
        <f>SUM(E99,E102,E105,E108,E111)</f>
        <v>241</v>
      </c>
      <c r="F114" s="31">
        <f t="shared" si="6"/>
        <v>0.99176954732510292</v>
      </c>
      <c r="G114" s="168">
        <f>SUM(G99,G102,G105,G108,G111)</f>
        <v>914</v>
      </c>
      <c r="H114" s="168">
        <f>SUM(H99,H102,H105,H108,H111)</f>
        <v>930</v>
      </c>
      <c r="I114" s="31">
        <f t="shared" si="7"/>
        <v>1.0175054704595186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71">
        <f>SUM(D113:D114)</f>
        <v>253</v>
      </c>
      <c r="E115" s="171">
        <f>SUM(E113:E114)</f>
        <v>253</v>
      </c>
      <c r="F115" s="41">
        <f t="shared" si="6"/>
        <v>1</v>
      </c>
      <c r="G115" s="171">
        <f>SUM(G113:G114)</f>
        <v>952</v>
      </c>
      <c r="H115" s="171">
        <f>SUM(H113:H114)</f>
        <v>979</v>
      </c>
      <c r="I115" s="41">
        <f t="shared" si="7"/>
        <v>1.028361344537815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D116+'2018MAR'!G116</f>
        <v>6</v>
      </c>
      <c r="H116" s="70">
        <f>E116+'2018MAR'!H116</f>
        <v>10</v>
      </c>
      <c r="I116" s="43">
        <f>H116/G116</f>
        <v>1.6666666666666667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52</v>
      </c>
      <c r="E117" s="159">
        <v>57</v>
      </c>
      <c r="F117" s="28">
        <f t="shared" ref="F117:F126" si="10">E117/D117</f>
        <v>1.0961538461538463</v>
      </c>
      <c r="G117" s="71">
        <f>D117+'2018MAR'!G117</f>
        <v>198</v>
      </c>
      <c r="H117" s="71">
        <f>E117+'2018MAR'!H117</f>
        <v>222</v>
      </c>
      <c r="I117" s="28">
        <f t="shared" ref="I117:I126" si="11">H117/G117</f>
        <v>1.1212121212121211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60">
        <f>SUM(D116:D117)</f>
        <v>54</v>
      </c>
      <c r="E118" s="160">
        <f>SUM(E116:E117)</f>
        <v>57</v>
      </c>
      <c r="F118" s="30">
        <f t="shared" si="10"/>
        <v>1.0555555555555556</v>
      </c>
      <c r="G118" s="160">
        <f>SUM(G116:G117)</f>
        <v>204</v>
      </c>
      <c r="H118" s="160">
        <f>SUM(H116:H117)</f>
        <v>232</v>
      </c>
      <c r="I118" s="30">
        <f t="shared" si="11"/>
        <v>1.1372549019607843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59">
        <v>0</v>
      </c>
      <c r="F119" s="28" t="e">
        <f t="shared" si="10"/>
        <v>#DIV/0!</v>
      </c>
      <c r="G119" s="66">
        <f>D119+'2018MAR'!G119</f>
        <v>0</v>
      </c>
      <c r="H119" s="66">
        <f>E119+'2018MAR'!H119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59">
        <v>48</v>
      </c>
      <c r="F120" s="28">
        <f t="shared" si="10"/>
        <v>1.2972972972972974</v>
      </c>
      <c r="G120" s="66">
        <f>D120+'2018MAR'!G120</f>
        <v>148</v>
      </c>
      <c r="H120" s="66">
        <f>E120+'2018MAR'!H120</f>
        <v>182</v>
      </c>
      <c r="I120" s="28">
        <f t="shared" si="11"/>
        <v>1.2297297297297298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60">
        <f>SUM(D119:D120)</f>
        <v>37</v>
      </c>
      <c r="E121" s="160">
        <f>SUM(E119:E120)</f>
        <v>48</v>
      </c>
      <c r="F121" s="30">
        <f t="shared" si="10"/>
        <v>1.2972972972972974</v>
      </c>
      <c r="G121" s="160">
        <f>SUM(G119:G120)</f>
        <v>148</v>
      </c>
      <c r="H121" s="160">
        <f>SUM(H119:H120)</f>
        <v>187</v>
      </c>
      <c r="I121" s="30">
        <f t="shared" si="11"/>
        <v>1.2635135135135136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68">
        <f>SUM(D116,D119)</f>
        <v>2</v>
      </c>
      <c r="E122" s="168">
        <f>SUM(E116,E119)</f>
        <v>0</v>
      </c>
      <c r="F122" s="30">
        <f t="shared" si="10"/>
        <v>0</v>
      </c>
      <c r="G122" s="168">
        <f>SUM(G116,G119)</f>
        <v>6</v>
      </c>
      <c r="H122" s="168">
        <f>SUM(H116,H119)</f>
        <v>15</v>
      </c>
      <c r="I122" s="30">
        <f t="shared" si="11"/>
        <v>2.5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68">
        <f>SUM(D117,D120)</f>
        <v>89</v>
      </c>
      <c r="E123" s="168">
        <f>SUM(E117,E120)</f>
        <v>105</v>
      </c>
      <c r="F123" s="30">
        <f t="shared" si="10"/>
        <v>1.1797752808988764</v>
      </c>
      <c r="G123" s="168">
        <f>SUM(G117,G120)</f>
        <v>346</v>
      </c>
      <c r="H123" s="168">
        <f>SUM(H117,H120)</f>
        <v>404</v>
      </c>
      <c r="I123" s="30">
        <f t="shared" si="11"/>
        <v>1.1676300578034682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71">
        <f>SUM(D122:D123)</f>
        <v>91</v>
      </c>
      <c r="E124" s="171">
        <f>SUM(E122:E123)</f>
        <v>105</v>
      </c>
      <c r="F124" s="41">
        <f t="shared" si="10"/>
        <v>1.1538461538461537</v>
      </c>
      <c r="G124" s="171">
        <f>SUM(G122:G123)</f>
        <v>352</v>
      </c>
      <c r="H124" s="171">
        <f>SUM(H122:H123)</f>
        <v>419</v>
      </c>
      <c r="I124" s="41">
        <f t="shared" si="11"/>
        <v>1.1903409090909092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73">
        <f>SUM(D113,D122)</f>
        <v>12</v>
      </c>
      <c r="E125" s="173">
        <f>SUM(E113,E122)</f>
        <v>12</v>
      </c>
      <c r="F125" s="45">
        <f t="shared" si="10"/>
        <v>1</v>
      </c>
      <c r="G125" s="46">
        <f>SUM(G113,G122)</f>
        <v>44</v>
      </c>
      <c r="H125" s="46">
        <f>SUM(H113,H122)</f>
        <v>64</v>
      </c>
      <c r="I125" s="45">
        <f t="shared" si="11"/>
        <v>1.4545454545454546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69">
        <f>SUM(D114,D123)</f>
        <v>332</v>
      </c>
      <c r="E126" s="169">
        <f>SUM(E114,E123)</f>
        <v>346</v>
      </c>
      <c r="F126" s="32">
        <f t="shared" si="10"/>
        <v>1.0421686746987953</v>
      </c>
      <c r="G126" s="169">
        <f>SUM(G114,G123)</f>
        <v>1260</v>
      </c>
      <c r="H126" s="169">
        <f>SUM(H114,H123)</f>
        <v>1334</v>
      </c>
      <c r="I126" s="32">
        <f t="shared" si="11"/>
        <v>1.0587301587301587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69">
        <f>SUM(D125:D126)</f>
        <v>344</v>
      </c>
      <c r="E127" s="169">
        <f>SUM(E125:E126)</f>
        <v>358</v>
      </c>
      <c r="F127" s="49">
        <f>E127/D127</f>
        <v>1.0406976744186047</v>
      </c>
      <c r="G127" s="173">
        <f>SUM(G125:G126)</f>
        <v>1304</v>
      </c>
      <c r="H127" s="173">
        <f>SUM(H125:H126)</f>
        <v>1398</v>
      </c>
      <c r="I127" s="49">
        <f>H127/G127</f>
        <v>1.0720858895705521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7</v>
      </c>
      <c r="D135" s="592"/>
      <c r="E135" s="591">
        <v>7</v>
      </c>
      <c r="F135" s="592"/>
      <c r="G135" s="591">
        <v>2</v>
      </c>
      <c r="H135" s="592"/>
      <c r="I135" s="591">
        <v>5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72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72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72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72" t="s">
        <v>99</v>
      </c>
      <c r="C140" s="590">
        <v>216</v>
      </c>
      <c r="D140" s="590"/>
      <c r="E140" s="590">
        <v>140</v>
      </c>
      <c r="F140" s="590"/>
      <c r="G140" s="590">
        <v>3044</v>
      </c>
      <c r="H140" s="590"/>
      <c r="I140" s="772">
        <v>1647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75" t="s">
        <v>109</v>
      </c>
      <c r="C154" s="175" t="s">
        <v>110</v>
      </c>
      <c r="D154" s="175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'2018MAR'!H155</f>
        <v>50339</v>
      </c>
      <c r="C155" s="63">
        <f>E45-E44</f>
        <v>36413</v>
      </c>
      <c r="D155" s="73">
        <v>76039</v>
      </c>
      <c r="E155" s="531" t="s">
        <v>114</v>
      </c>
      <c r="F155" s="531"/>
      <c r="G155" s="531"/>
      <c r="H155" s="72">
        <f>C155+A155+B155-D155</f>
        <v>10713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20825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76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18273</v>
      </c>
      <c r="H165" s="778"/>
      <c r="I165" s="779"/>
      <c r="J165" s="779"/>
      <c r="K165" s="780"/>
    </row>
    <row r="166" spans="1:11" ht="14">
      <c r="A166" s="174" t="s">
        <v>126</v>
      </c>
      <c r="B166" s="777" t="s">
        <v>127</v>
      </c>
      <c r="C166" s="777"/>
      <c r="D166" s="777"/>
      <c r="E166" s="777"/>
      <c r="F166" s="777"/>
      <c r="G166" s="159">
        <v>1904</v>
      </c>
      <c r="H166" s="778"/>
      <c r="I166" s="779"/>
      <c r="J166" s="779"/>
      <c r="K166" s="780"/>
    </row>
    <row r="167" spans="1:11" ht="14">
      <c r="A167" s="174" t="s">
        <v>128</v>
      </c>
      <c r="B167" s="777" t="s">
        <v>129</v>
      </c>
      <c r="C167" s="777"/>
      <c r="D167" s="777"/>
      <c r="E167" s="777"/>
      <c r="F167" s="777"/>
      <c r="G167" s="176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0000000-0002-0000-1000-000000000000}">
      <formula1>"Jan, Feb, March, April, May, June, July, Aug, Sep, Oct, Nov, Dec"</formula1>
    </dataValidation>
    <dataValidation type="list" allowBlank="1" showInputMessage="1" showErrorMessage="1" sqref="L3" xr:uid="{00000000-0002-0000-10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pageSetUpPr fitToPage="1"/>
  </sheetPr>
  <dimension ref="A1:N167"/>
  <sheetViews>
    <sheetView topLeftCell="A19" zoomScale="70" zoomScaleNormal="7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43263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83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92" t="s">
        <v>176</v>
      </c>
      <c r="C10" s="61">
        <v>2</v>
      </c>
      <c r="D10" s="200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92" t="s">
        <v>177</v>
      </c>
      <c r="C11" s="61">
        <v>2</v>
      </c>
      <c r="D11" s="200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92" t="s">
        <v>179</v>
      </c>
      <c r="C12" s="61">
        <v>2</v>
      </c>
      <c r="D12" s="200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92" t="s">
        <v>180</v>
      </c>
      <c r="C13" s="61">
        <v>3</v>
      </c>
      <c r="D13" s="200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92" t="s">
        <v>12</v>
      </c>
      <c r="C14" s="61">
        <v>0</v>
      </c>
      <c r="D14" s="200">
        <v>0</v>
      </c>
      <c r="E14" s="693"/>
      <c r="F14" s="694"/>
      <c r="G14" s="694"/>
      <c r="H14" s="694"/>
      <c r="I14" s="695"/>
    </row>
    <row r="15" spans="1:13">
      <c r="A15" s="690"/>
      <c r="B15" s="192" t="s">
        <v>13</v>
      </c>
      <c r="C15" s="61">
        <v>2</v>
      </c>
      <c r="D15" s="200">
        <v>1</v>
      </c>
      <c r="E15" s="770" t="s">
        <v>214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7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97" t="s">
        <v>23</v>
      </c>
      <c r="E21" s="197" t="s">
        <v>24</v>
      </c>
      <c r="F21" s="197" t="s">
        <v>25</v>
      </c>
      <c r="G21" s="197" t="s">
        <v>23</v>
      </c>
      <c r="H21" s="197" t="s">
        <v>24</v>
      </c>
      <c r="I21" s="197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12388.8</v>
      </c>
      <c r="E23" s="200">
        <v>12557</v>
      </c>
      <c r="F23" s="14">
        <f t="shared" ref="F23:F28" si="0">E23/D23</f>
        <v>1.0135767790262173</v>
      </c>
      <c r="G23" s="179">
        <f>D23+'2018APR'!G23</f>
        <v>57767.8</v>
      </c>
      <c r="H23" s="66">
        <f>E23+'2018APR'!H23</f>
        <v>61183</v>
      </c>
      <c r="I23" s="14">
        <f t="shared" ref="I23:I28" si="1">H23/G23</f>
        <v>1.0591194402417956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98">
        <f>SUM(D23:D23)</f>
        <v>12388.8</v>
      </c>
      <c r="E24" s="198">
        <f>SUM(E23:E23)</f>
        <v>12557</v>
      </c>
      <c r="F24" s="16">
        <f t="shared" si="0"/>
        <v>1.0135767790262173</v>
      </c>
      <c r="G24" s="198">
        <f>SUM(G23:G23)</f>
        <v>57767.8</v>
      </c>
      <c r="H24" s="198">
        <f>SUM(H23:H23)</f>
        <v>61183</v>
      </c>
      <c r="I24" s="16">
        <f t="shared" si="1"/>
        <v>1.0591194402417956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12800</v>
      </c>
      <c r="E25" s="200">
        <v>12983</v>
      </c>
      <c r="F25" s="14">
        <f t="shared" si="0"/>
        <v>1.0142968750000001</v>
      </c>
      <c r="G25" s="179">
        <f>D25+'2018APR'!G25</f>
        <v>57600</v>
      </c>
      <c r="H25" s="66">
        <f>E25+'2018APR'!H25</f>
        <v>61817</v>
      </c>
      <c r="I25" s="14">
        <f t="shared" si="1"/>
        <v>1.0732118055555555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00">
        <v>0</v>
      </c>
      <c r="F26" s="14" t="e">
        <f t="shared" si="0"/>
        <v>#DIV/0!</v>
      </c>
      <c r="G26" s="192">
        <f>D26</f>
        <v>0</v>
      </c>
      <c r="H26" s="192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98">
        <f>SUM(D25:D26)</f>
        <v>12800</v>
      </c>
      <c r="E27" s="198">
        <f>SUM(E25:E26)</f>
        <v>12983</v>
      </c>
      <c r="F27" s="16">
        <f t="shared" si="0"/>
        <v>1.0142968750000001</v>
      </c>
      <c r="G27" s="198">
        <f>SUM(G25:G26)</f>
        <v>57600</v>
      </c>
      <c r="H27" s="198">
        <f>SUM(H25:H26)</f>
        <v>61817</v>
      </c>
      <c r="I27" s="16">
        <f t="shared" si="1"/>
        <v>1.0732118055555555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99">
        <f>SUM(D24,D27)</f>
        <v>25188.799999999999</v>
      </c>
      <c r="E28" s="199">
        <f>SUM(E24,E27)</f>
        <v>25540</v>
      </c>
      <c r="F28" s="17">
        <f t="shared" si="0"/>
        <v>1.0139427046941498</v>
      </c>
      <c r="G28" s="199">
        <f>SUM(G24,G27)</f>
        <v>115367.8</v>
      </c>
      <c r="H28" s="199">
        <f>SUM(H24,H27)</f>
        <v>123000</v>
      </c>
      <c r="I28" s="17">
        <f t="shared" si="1"/>
        <v>1.0661553743765591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00">
        <v>5458</v>
      </c>
      <c r="F30" s="14">
        <f>E30/D30</f>
        <v>5.4580000000000002</v>
      </c>
      <c r="G30" s="66">
        <f>D30+'2018APR'!G30</f>
        <v>5000</v>
      </c>
      <c r="H30" s="66">
        <f>E30+'2018APR'!H30</f>
        <v>14666</v>
      </c>
      <c r="I30" s="14">
        <f>H30/G30</f>
        <v>2.9331999999999998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00">
        <v>331</v>
      </c>
      <c r="F31" s="14" t="e">
        <f t="shared" ref="F31:F47" si="2">E31/D31</f>
        <v>#DIV/0!</v>
      </c>
      <c r="G31" s="66">
        <f>D31+'2018APR'!G31</f>
        <v>0</v>
      </c>
      <c r="H31" s="66">
        <f>E31+'2018APR'!H31</f>
        <v>12803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98">
        <f>SUM(D30:D31)</f>
        <v>1000</v>
      </c>
      <c r="E32" s="198">
        <f>SUM(E30:E31)</f>
        <v>5789</v>
      </c>
      <c r="F32" s="14">
        <f t="shared" si="2"/>
        <v>5.7889999999999997</v>
      </c>
      <c r="G32" s="198">
        <f>SUM(G30:G31)</f>
        <v>5000</v>
      </c>
      <c r="H32" s="198">
        <f>SUM(H30:H31)</f>
        <v>27469</v>
      </c>
      <c r="I32" s="14">
        <f t="shared" si="3"/>
        <v>5.4938000000000002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00">
        <v>524</v>
      </c>
      <c r="F33" s="14">
        <f t="shared" si="2"/>
        <v>0.80615384615384611</v>
      </c>
      <c r="G33" s="66">
        <f>D33+'2018APR'!G33</f>
        <v>3250</v>
      </c>
      <c r="H33" s="66">
        <f>E33+'2018APR'!H33</f>
        <v>4697</v>
      </c>
      <c r="I33" s="14">
        <f t="shared" si="3"/>
        <v>1.4452307692307693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97">
        <f>SUM(D32,D33)</f>
        <v>1650</v>
      </c>
      <c r="E34" s="197">
        <f>SUM(E32,E33)</f>
        <v>6313</v>
      </c>
      <c r="F34" s="14">
        <f t="shared" si="2"/>
        <v>3.8260606060606062</v>
      </c>
      <c r="G34" s="197">
        <f>SUM(G32,G33)</f>
        <v>8250</v>
      </c>
      <c r="H34" s="197">
        <f>SUM(H32,H33)</f>
        <v>32166</v>
      </c>
      <c r="I34" s="14">
        <f t="shared" si="3"/>
        <v>3.8989090909090911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92">
        <v>0</v>
      </c>
      <c r="F35" s="14">
        <f t="shared" si="2"/>
        <v>0</v>
      </c>
      <c r="G35" s="66">
        <f>D35+'2018APR'!G35</f>
        <v>181160</v>
      </c>
      <c r="H35" s="66">
        <f>E35+'2018APR'!H35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92"/>
      <c r="E36" s="192"/>
      <c r="F36" s="14" t="e">
        <f t="shared" si="2"/>
        <v>#DIV/0!</v>
      </c>
      <c r="G36" s="192"/>
      <c r="H36" s="192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98">
        <f>SUM(D35:D36)</f>
        <v>36232</v>
      </c>
      <c r="E37" s="198">
        <f>SUM(E35:E36)</f>
        <v>0</v>
      </c>
      <c r="F37" s="16">
        <f t="shared" si="2"/>
        <v>0</v>
      </c>
      <c r="G37" s="201">
        <f>SUM(G35:G36)</f>
        <v>181160</v>
      </c>
      <c r="H37" s="20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00">
        <v>0</v>
      </c>
      <c r="F38" s="14">
        <f t="shared" si="2"/>
        <v>0</v>
      </c>
      <c r="G38" s="66">
        <f>D38+'2018APR'!G38</f>
        <v>5500</v>
      </c>
      <c r="H38" s="66">
        <f>E38+'2018APR'!H38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92"/>
      <c r="E39" s="192"/>
      <c r="F39" s="14" t="e">
        <f t="shared" si="2"/>
        <v>#DIV/0!</v>
      </c>
      <c r="G39" s="192"/>
      <c r="H39" s="192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98">
        <f>SUM(D38:D39)</f>
        <v>1100</v>
      </c>
      <c r="E40" s="198">
        <f>SUM(E38:E39)</f>
        <v>0</v>
      </c>
      <c r="F40" s="16">
        <f t="shared" si="2"/>
        <v>0</v>
      </c>
      <c r="G40" s="198">
        <f>SUM(G38:G39)</f>
        <v>5500</v>
      </c>
      <c r="H40" s="198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97">
        <f>SUM(D37,D40)</f>
        <v>37332</v>
      </c>
      <c r="E41" s="197">
        <f>SUM(E37,E40)</f>
        <v>0</v>
      </c>
      <c r="F41" s="19">
        <f t="shared" si="2"/>
        <v>0</v>
      </c>
      <c r="G41" s="197">
        <f>SUM(G37,G40)</f>
        <v>186660</v>
      </c>
      <c r="H41" s="197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17146</v>
      </c>
      <c r="F42" s="21">
        <f t="shared" si="2"/>
        <v>1.4909565217391305</v>
      </c>
      <c r="G42" s="180">
        <f>D42+'2018APR'!G42</f>
        <v>56000</v>
      </c>
      <c r="H42" s="77">
        <f>E42+'2018APR'!H42</f>
        <v>92856</v>
      </c>
      <c r="I42" s="21">
        <f t="shared" si="3"/>
        <v>1.6581428571428571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8000</v>
      </c>
      <c r="E43" s="20">
        <v>0</v>
      </c>
      <c r="F43" s="21">
        <f t="shared" si="2"/>
        <v>0</v>
      </c>
      <c r="G43" s="68">
        <f>D43+'2018APR'!G43</f>
        <v>12000</v>
      </c>
      <c r="H43" s="68">
        <f>E43+'2018APR'!H43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2">
        <v>100000</v>
      </c>
      <c r="F44" s="21">
        <f t="shared" si="2"/>
        <v>2.9850746268656718</v>
      </c>
      <c r="G44" s="68">
        <f>D44+'2018APR'!G44</f>
        <v>167500</v>
      </c>
      <c r="H44" s="68">
        <f>E44+'2018APR'!H44</f>
        <v>199970</v>
      </c>
      <c r="I44" s="21">
        <f t="shared" si="3"/>
        <v>1.1938507462686567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96">
        <f>SUM(D28,D34,D41,D42:D44)</f>
        <v>117170.8</v>
      </c>
      <c r="E45" s="78">
        <f>SUM(E28,E34,E41,E42:E44)</f>
        <v>148999</v>
      </c>
      <c r="F45" s="22">
        <f t="shared" si="2"/>
        <v>1.2716393504183636</v>
      </c>
      <c r="G45" s="196">
        <f>SUM(G28,G34,G41,G42:G44)</f>
        <v>545777.80000000005</v>
      </c>
      <c r="H45" s="196">
        <f>SUM(H28,H34,H41,H42:H44)</f>
        <v>447992</v>
      </c>
      <c r="I45" s="22">
        <f t="shared" si="3"/>
        <v>0.82083221413549612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96">
        <f>D45-D42</f>
        <v>105670.8</v>
      </c>
      <c r="E46" s="196">
        <f>E45-E42</f>
        <v>131853</v>
      </c>
      <c r="F46" s="22">
        <f t="shared" si="2"/>
        <v>1.2477713805516755</v>
      </c>
      <c r="G46" s="196">
        <f>G45-G42</f>
        <v>489777.80000000005</v>
      </c>
      <c r="H46" s="196">
        <f>H45-H42</f>
        <v>355136</v>
      </c>
      <c r="I46" s="22">
        <f t="shared" si="3"/>
        <v>0.72509615584863174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95">
        <f>D46-D44</f>
        <v>72170.8</v>
      </c>
      <c r="E47" s="195">
        <f>E46-E44</f>
        <v>31853</v>
      </c>
      <c r="F47" s="23">
        <f t="shared" si="2"/>
        <v>0.44135578377958951</v>
      </c>
      <c r="G47" s="195">
        <f>G46-G44</f>
        <v>322277.80000000005</v>
      </c>
      <c r="H47" s="195">
        <f>H46-H44</f>
        <v>155166</v>
      </c>
      <c r="I47" s="23">
        <f t="shared" si="3"/>
        <v>0.48146661048325384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93" t="s">
        <v>23</v>
      </c>
      <c r="E52" s="193" t="s">
        <v>24</v>
      </c>
      <c r="F52" s="193" t="s">
        <v>25</v>
      </c>
      <c r="G52" s="193" t="s">
        <v>23</v>
      </c>
      <c r="H52" s="193" t="s">
        <v>24</v>
      </c>
      <c r="I52" s="193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00">
        <v>7</v>
      </c>
      <c r="F53" s="28">
        <f t="shared" ref="F53:F79" si="4">E53/D53</f>
        <v>0.58333333333333337</v>
      </c>
      <c r="G53" s="66">
        <f>D53+'2018APR'!G53</f>
        <v>56</v>
      </c>
      <c r="H53" s="66">
        <f>E53+'2018APR'!H53</f>
        <v>71</v>
      </c>
      <c r="I53" s="28">
        <f t="shared" ref="I53:I79" si="5">H53/G53</f>
        <v>1.2678571428571428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00">
        <v>354</v>
      </c>
      <c r="F54" s="28">
        <f t="shared" si="4"/>
        <v>1.18</v>
      </c>
      <c r="G54" s="66">
        <f>D54+'2018APR'!G54</f>
        <v>1500</v>
      </c>
      <c r="H54" s="66">
        <f>E54+'2018APR'!H54</f>
        <v>1688</v>
      </c>
      <c r="I54" s="28">
        <f t="shared" si="5"/>
        <v>1.1253333333333333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98">
        <f>SUM(D53:D54)</f>
        <v>312</v>
      </c>
      <c r="E55" s="198">
        <f>SUM(E53:E54)</f>
        <v>361</v>
      </c>
      <c r="F55" s="30">
        <f t="shared" si="4"/>
        <v>1.1570512820512822</v>
      </c>
      <c r="G55" s="198">
        <f>SUM(G53:G54)</f>
        <v>1556</v>
      </c>
      <c r="H55" s="198">
        <f>SUM(H53:H54)</f>
        <v>1759</v>
      </c>
      <c r="I55" s="30">
        <f t="shared" si="5"/>
        <v>1.1304627249357326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00">
        <v>22</v>
      </c>
      <c r="F56" s="28">
        <f t="shared" si="4"/>
        <v>0.55000000000000004</v>
      </c>
      <c r="G56" s="66">
        <f>D56+'2018APR'!G56</f>
        <v>200</v>
      </c>
      <c r="H56" s="66">
        <f>E56+'2018APR'!H56</f>
        <v>227</v>
      </c>
      <c r="I56" s="28">
        <f t="shared" si="5"/>
        <v>1.135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00">
        <v>826</v>
      </c>
      <c r="F57" s="28">
        <f t="shared" si="4"/>
        <v>1.3766666666666667</v>
      </c>
      <c r="G57" s="66">
        <f>D57+'2018APR'!G57</f>
        <v>3000</v>
      </c>
      <c r="H57" s="66">
        <f>E57+'2018APR'!H57</f>
        <v>3751</v>
      </c>
      <c r="I57" s="28">
        <f t="shared" si="5"/>
        <v>1.2503333333333333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90">
        <f>SUM(D56:D57)</f>
        <v>640</v>
      </c>
      <c r="E58" s="190">
        <f>SUM(E56:E57)</f>
        <v>848</v>
      </c>
      <c r="F58" s="28">
        <f t="shared" si="4"/>
        <v>1.325</v>
      </c>
      <c r="G58" s="190">
        <f>SUM(G56:G57)</f>
        <v>3200</v>
      </c>
      <c r="H58" s="190">
        <f>SUM(H56:H57)</f>
        <v>3978</v>
      </c>
      <c r="I58" s="31">
        <f t="shared" si="5"/>
        <v>1.243125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86">
        <f>SUM(D53,D56)</f>
        <v>52</v>
      </c>
      <c r="E59" s="186">
        <f>SUM(E53,E56)</f>
        <v>29</v>
      </c>
      <c r="F59" s="32">
        <f t="shared" si="4"/>
        <v>0.55769230769230771</v>
      </c>
      <c r="G59" s="186">
        <f>SUM(G53,G56)</f>
        <v>256</v>
      </c>
      <c r="H59" s="186">
        <f>SUM(H53,H56)</f>
        <v>298</v>
      </c>
      <c r="I59" s="32">
        <f t="shared" si="5"/>
        <v>1.1640625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86">
        <f>SUM(D54,D57)</f>
        <v>900</v>
      </c>
      <c r="E60" s="186">
        <f>SUM(E54,E57)</f>
        <v>1180</v>
      </c>
      <c r="F60" s="32">
        <f t="shared" si="4"/>
        <v>1.3111111111111111</v>
      </c>
      <c r="G60" s="186">
        <f>SUM(G54,G57)</f>
        <v>4500</v>
      </c>
      <c r="H60" s="186">
        <f>SUM(H54,H57)</f>
        <v>5439</v>
      </c>
      <c r="I60" s="32">
        <f t="shared" si="5"/>
        <v>1.2086666666666666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94">
        <f>SUM(D59:D60)</f>
        <v>952</v>
      </c>
      <c r="E61" s="194">
        <f>SUM(E59:E60)</f>
        <v>1209</v>
      </c>
      <c r="F61" s="33">
        <f t="shared" si="4"/>
        <v>1.2699579831932772</v>
      </c>
      <c r="G61" s="194">
        <f>SUM(G59:G60)</f>
        <v>4756</v>
      </c>
      <c r="H61" s="194">
        <f>SUM(H59:H60)</f>
        <v>5737</v>
      </c>
      <c r="I61" s="33">
        <f t="shared" si="5"/>
        <v>1.2062657695542474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92">
        <f>E71/10</f>
        <v>24.3</v>
      </c>
      <c r="F62" s="28">
        <f t="shared" si="4"/>
        <v>0.57857142857142863</v>
      </c>
      <c r="G62" s="66">
        <f>D62+'2018APR'!G62</f>
        <v>196</v>
      </c>
      <c r="H62" s="66">
        <f>E62+'2018APR'!H62</f>
        <v>246.8</v>
      </c>
      <c r="I62" s="28">
        <f t="shared" si="5"/>
        <v>1.2591836734693878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92">
        <f>E72/10</f>
        <v>1231.4000000000001</v>
      </c>
      <c r="F63" s="28">
        <f t="shared" si="4"/>
        <v>1.1795019157088122</v>
      </c>
      <c r="G63" s="66">
        <f>D63+'2018APR'!G63</f>
        <v>5220</v>
      </c>
      <c r="H63" s="66">
        <f>E63+'2018APR'!H63</f>
        <v>5871.5</v>
      </c>
      <c r="I63" s="28">
        <f t="shared" si="5"/>
        <v>1.1248084291187739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98">
        <f>SUM(E62:E63)</f>
        <v>1255.7</v>
      </c>
      <c r="F64" s="30">
        <f t="shared" si="4"/>
        <v>1.1562615101289135</v>
      </c>
      <c r="G64" s="198">
        <f>SUM(G62:G63)</f>
        <v>5416</v>
      </c>
      <c r="H64" s="198">
        <f>SUM(H62:H63)</f>
        <v>6118.3</v>
      </c>
      <c r="I64" s="30">
        <f t="shared" si="5"/>
        <v>1.1296713441654358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92">
        <f>E74/10</f>
        <v>33</v>
      </c>
      <c r="F65" s="28">
        <f t="shared" si="4"/>
        <v>0.515625</v>
      </c>
      <c r="G65" s="66">
        <f>D65+'2018APR'!G65</f>
        <v>320</v>
      </c>
      <c r="H65" s="66">
        <f>E65+'2018APR'!H65</f>
        <v>289.90000000000003</v>
      </c>
      <c r="I65" s="28">
        <f t="shared" si="5"/>
        <v>0.90593750000000006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92">
        <f>E75/10</f>
        <v>1265.3</v>
      </c>
      <c r="F66" s="28">
        <f t="shared" si="4"/>
        <v>1.3180208333333332</v>
      </c>
      <c r="G66" s="66">
        <f>D66+'2018APR'!G66</f>
        <v>4800</v>
      </c>
      <c r="H66" s="66">
        <f>E66+'2018APR'!H66</f>
        <v>5891.8</v>
      </c>
      <c r="I66" s="28">
        <f t="shared" si="5"/>
        <v>1.2274583333333333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90">
        <f>SUM(D65:D66)</f>
        <v>1024</v>
      </c>
      <c r="E67" s="190">
        <f>SUM(E65:E66)</f>
        <v>1298.3</v>
      </c>
      <c r="F67" s="31">
        <f t="shared" si="4"/>
        <v>1.26787109375</v>
      </c>
      <c r="G67" s="190">
        <f>SUM(G65:G66)</f>
        <v>5120</v>
      </c>
      <c r="H67" s="190">
        <f>SUM(H65:H66)</f>
        <v>6181.7</v>
      </c>
      <c r="I67" s="31">
        <f t="shared" si="5"/>
        <v>1.2073632812499999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86">
        <f>SUM(D62,D65)</f>
        <v>106</v>
      </c>
      <c r="E68" s="186">
        <f>SUM(E62,E65)</f>
        <v>57.3</v>
      </c>
      <c r="F68" s="32">
        <f t="shared" si="4"/>
        <v>0.54056603773584899</v>
      </c>
      <c r="G68" s="186">
        <f>SUM(G62,G65)</f>
        <v>516</v>
      </c>
      <c r="H68" s="186">
        <f>SUM(H62,H65)</f>
        <v>536.70000000000005</v>
      </c>
      <c r="I68" s="32">
        <f t="shared" si="5"/>
        <v>1.0401162790697676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86">
        <f>SUM(D63,D66)</f>
        <v>2004</v>
      </c>
      <c r="E69" s="186">
        <f>SUM(E63,E66)</f>
        <v>2496.6999999999998</v>
      </c>
      <c r="F69" s="32">
        <f t="shared" si="4"/>
        <v>1.2458582834331335</v>
      </c>
      <c r="G69" s="186">
        <f>SUM(G63,G66)</f>
        <v>10020</v>
      </c>
      <c r="H69" s="186">
        <f>SUM(H63,H66)</f>
        <v>11763.3</v>
      </c>
      <c r="I69" s="32">
        <f t="shared" si="5"/>
        <v>1.1739820359281437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94">
        <f>SUM(D68:D69)</f>
        <v>2110</v>
      </c>
      <c r="E70" s="194">
        <f>SUM(E68:E69)</f>
        <v>2554</v>
      </c>
      <c r="F70" s="34">
        <f t="shared" si="4"/>
        <v>1.2104265402843601</v>
      </c>
      <c r="G70" s="194">
        <f>SUM(G68:G69)</f>
        <v>10536</v>
      </c>
      <c r="H70" s="194">
        <f>SUM(H68:H69)</f>
        <v>12300</v>
      </c>
      <c r="I70" s="34">
        <f t="shared" si="5"/>
        <v>1.1674259681093395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1948.7999999999997</v>
      </c>
      <c r="E71" s="200">
        <v>243</v>
      </c>
      <c r="F71" s="28">
        <f t="shared" si="4"/>
        <v>0.12469211822660101</v>
      </c>
      <c r="G71" s="179">
        <f>D71+'2018APR'!G71</f>
        <v>5567.7999999999993</v>
      </c>
      <c r="H71" s="66">
        <f>E71+'2018APR'!H71</f>
        <v>2468</v>
      </c>
      <c r="I71" s="28">
        <f t="shared" si="5"/>
        <v>0.44326304824167539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201">
        <f>E23-E71</f>
        <v>12314</v>
      </c>
      <c r="F72" s="28">
        <f t="shared" si="4"/>
        <v>1.1795019157088122</v>
      </c>
      <c r="G72" s="66">
        <f>D72+'2018APR'!G72</f>
        <v>52200</v>
      </c>
      <c r="H72" s="66">
        <f>E72+'2018APR'!H72</f>
        <v>58715</v>
      </c>
      <c r="I72" s="28">
        <f t="shared" si="5"/>
        <v>1.1248084291187739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98">
        <f>SUM(D71:D72)</f>
        <v>12388.8</v>
      </c>
      <c r="E73" s="198">
        <f>SUM(E71:E72)</f>
        <v>12557</v>
      </c>
      <c r="F73" s="30">
        <f t="shared" si="4"/>
        <v>1.0135767790262173</v>
      </c>
      <c r="G73" s="198">
        <f>SUM(G71:G72)</f>
        <v>57767.8</v>
      </c>
      <c r="H73" s="198">
        <f>SUM(H71:H72)</f>
        <v>61183</v>
      </c>
      <c r="I73" s="30">
        <f t="shared" si="5"/>
        <v>1.0591194402417956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3200</v>
      </c>
      <c r="E74" s="200">
        <v>330</v>
      </c>
      <c r="F74" s="28">
        <f t="shared" si="4"/>
        <v>0.10312499999999999</v>
      </c>
      <c r="G74" s="179">
        <f>D74+'2018APR'!G74</f>
        <v>9600</v>
      </c>
      <c r="H74" s="66">
        <f>E74+'2018APR'!H74</f>
        <v>2899</v>
      </c>
      <c r="I74" s="28">
        <f t="shared" si="5"/>
        <v>0.30197916666666669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201">
        <f>E25-E74</f>
        <v>12653</v>
      </c>
      <c r="F75" s="28">
        <f t="shared" si="4"/>
        <v>1.3180208333333334</v>
      </c>
      <c r="G75" s="66">
        <f>D75+'2018APR'!G75</f>
        <v>48000</v>
      </c>
      <c r="H75" s="66">
        <f>E75+'2018APR'!H75</f>
        <v>58918</v>
      </c>
      <c r="I75" s="28">
        <f t="shared" si="5"/>
        <v>1.2274583333333333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90">
        <f>SUM(D74:D75)</f>
        <v>12800</v>
      </c>
      <c r="E76" s="190">
        <f>SUM(E74:E75)</f>
        <v>12983</v>
      </c>
      <c r="F76" s="31">
        <f t="shared" si="4"/>
        <v>1.0142968750000001</v>
      </c>
      <c r="G76" s="190">
        <f>SUM(G74:G75)</f>
        <v>57600</v>
      </c>
      <c r="H76" s="190">
        <f>SUM(H74:H75)</f>
        <v>61817</v>
      </c>
      <c r="I76" s="31">
        <f t="shared" si="5"/>
        <v>1.0732118055555555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86">
        <f>SUM(D71,D74)</f>
        <v>5148.7999999999993</v>
      </c>
      <c r="E77" s="186">
        <f>SUM(E71,E74)</f>
        <v>573</v>
      </c>
      <c r="F77" s="32">
        <f t="shared" si="4"/>
        <v>0.11128806712243632</v>
      </c>
      <c r="G77" s="186">
        <f>SUM(G71,G74)</f>
        <v>15167.8</v>
      </c>
      <c r="H77" s="186">
        <f>SUM(H71,H74)</f>
        <v>5367</v>
      </c>
      <c r="I77" s="32">
        <f t="shared" si="5"/>
        <v>0.35384169095056633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86">
        <f>SUM(D72,D75)</f>
        <v>20040</v>
      </c>
      <c r="E78" s="186">
        <f>SUM(E72,E75)</f>
        <v>24967</v>
      </c>
      <c r="F78" s="32">
        <f t="shared" si="4"/>
        <v>1.2458582834331338</v>
      </c>
      <c r="G78" s="186">
        <f>SUM(G72,G75)</f>
        <v>100200</v>
      </c>
      <c r="H78" s="186">
        <f>SUM(H72,H75)</f>
        <v>117633</v>
      </c>
      <c r="I78" s="32">
        <f t="shared" si="5"/>
        <v>1.1739820359281437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94">
        <f>SUM(D77:D78)</f>
        <v>25188.799999999999</v>
      </c>
      <c r="E79" s="194">
        <f>SUM(E77:E78)</f>
        <v>25540</v>
      </c>
      <c r="F79" s="34">
        <f t="shared" si="4"/>
        <v>1.0139427046941498</v>
      </c>
      <c r="G79" s="194">
        <f>SUM(G77:G78)</f>
        <v>115367.8</v>
      </c>
      <c r="H79" s="194">
        <f>SUM(H77:H78)</f>
        <v>123000</v>
      </c>
      <c r="I79" s="34">
        <f t="shared" si="5"/>
        <v>1.0661553743765591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361</v>
      </c>
      <c r="E87" s="130"/>
      <c r="F87" s="134">
        <f>D87+'2018APR'!F87</f>
        <v>1759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7</v>
      </c>
      <c r="E88" s="128"/>
      <c r="F88" s="134">
        <f>D88+'2018APR'!F88</f>
        <v>71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5.5401662049861496E-3</v>
      </c>
      <c r="F89" s="134">
        <f>D89+'2018APR'!F89</f>
        <v>5</v>
      </c>
      <c r="G89" s="128">
        <f>F89/F87</f>
        <v>2.8425241614553724E-3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1.8018018018018018E-2</v>
      </c>
      <c r="F90" s="134">
        <f>D90+'2018APR'!F90</f>
        <v>116</v>
      </c>
      <c r="G90" s="128">
        <f>F90/F92</f>
        <v>0.11764705882352941</v>
      </c>
      <c r="H90" s="128"/>
    </row>
    <row r="91" spans="1:13" ht="15" customHeight="1">
      <c r="A91" s="775"/>
      <c r="B91" s="776" t="s">
        <v>202</v>
      </c>
      <c r="C91" s="776"/>
      <c r="D91" s="131">
        <v>227</v>
      </c>
      <c r="E91" s="128">
        <f>D91/D92</f>
        <v>1.0225225225225225</v>
      </c>
      <c r="F91" s="134">
        <f>D91+'2018APR'!F91</f>
        <v>947</v>
      </c>
      <c r="G91" s="128">
        <f>F91/F92</f>
        <v>0.96044624746450302</v>
      </c>
      <c r="H91" s="128"/>
    </row>
    <row r="92" spans="1:13" ht="15" customHeight="1">
      <c r="A92" s="775"/>
      <c r="B92" s="776" t="s">
        <v>203</v>
      </c>
      <c r="C92" s="776"/>
      <c r="D92" s="131">
        <v>222</v>
      </c>
      <c r="E92" s="130"/>
      <c r="F92" s="134">
        <f>D92+'2018APR'!F92</f>
        <v>986</v>
      </c>
      <c r="G92" s="130"/>
      <c r="H92" s="128"/>
    </row>
    <row r="93" spans="1:13">
      <c r="C93" s="126" t="s">
        <v>210</v>
      </c>
      <c r="D93" s="132">
        <v>582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93" t="s">
        <v>23</v>
      </c>
      <c r="E97" s="193" t="s">
        <v>24</v>
      </c>
      <c r="F97" s="193" t="s">
        <v>25</v>
      </c>
      <c r="G97" s="193" t="s">
        <v>23</v>
      </c>
      <c r="H97" s="193" t="s">
        <v>24</v>
      </c>
      <c r="I97" s="193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00">
        <v>0</v>
      </c>
      <c r="F98" s="37" t="e">
        <f>E98/D98</f>
        <v>#DIV/0!</v>
      </c>
      <c r="G98" s="66">
        <f>D98+'2018APR'!G98</f>
        <v>0</v>
      </c>
      <c r="H98" s="66">
        <f>E98+'2018APR'!H98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00">
        <v>40</v>
      </c>
      <c r="F99" s="28">
        <f t="shared" ref="F99:F115" si="6">E99/D99</f>
        <v>0.97560975609756095</v>
      </c>
      <c r="G99" s="66">
        <f>D99+'2018APR'!G99</f>
        <v>205</v>
      </c>
      <c r="H99" s="66">
        <f>E99+'2018APR'!H99</f>
        <v>206</v>
      </c>
      <c r="I99" s="28">
        <f t="shared" ref="I99:I115" si="7">H99/G99</f>
        <v>1.0048780487804878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98">
        <f>SUM(D98:D99)</f>
        <v>41</v>
      </c>
      <c r="E100" s="198">
        <f>SUM(E98:E99)</f>
        <v>40</v>
      </c>
      <c r="F100" s="30">
        <f t="shared" si="6"/>
        <v>0.97560975609756095</v>
      </c>
      <c r="G100" s="198">
        <f>SUM(G98:G99)</f>
        <v>205</v>
      </c>
      <c r="H100" s="198">
        <f>SUM(H98:H99)</f>
        <v>207</v>
      </c>
      <c r="I100" s="30">
        <f t="shared" si="7"/>
        <v>1.0097560975609756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00">
        <v>0</v>
      </c>
      <c r="F101" s="28" t="e">
        <f t="shared" si="6"/>
        <v>#DIV/0!</v>
      </c>
      <c r="G101" s="66">
        <f>D101+'2018APR'!G101</f>
        <v>0</v>
      </c>
      <c r="H101" s="66">
        <f>E101+'2018APR'!H101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00">
        <v>10</v>
      </c>
      <c r="F102" s="28">
        <f t="shared" si="6"/>
        <v>0.90909090909090906</v>
      </c>
      <c r="G102" s="66">
        <f>D102+'2018APR'!G102</f>
        <v>55</v>
      </c>
      <c r="H102" s="66">
        <f>E102+'2018APR'!H102</f>
        <v>51</v>
      </c>
      <c r="I102" s="28">
        <f t="shared" si="7"/>
        <v>0.92727272727272725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98">
        <f>SUM(D101:D102)</f>
        <v>11</v>
      </c>
      <c r="E103" s="198">
        <f>SUM(E101:E102)</f>
        <v>10</v>
      </c>
      <c r="F103" s="30">
        <f t="shared" si="6"/>
        <v>0.90909090909090906</v>
      </c>
      <c r="G103" s="198">
        <f>SUM(G101:G102)</f>
        <v>55</v>
      </c>
      <c r="H103" s="198">
        <f>SUM(H101:H102)</f>
        <v>51</v>
      </c>
      <c r="I103" s="30">
        <f t="shared" si="7"/>
        <v>0.92727272727272725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00">
        <v>5</v>
      </c>
      <c r="F104" s="28" t="e">
        <f t="shared" si="6"/>
        <v>#DIV/0!</v>
      </c>
      <c r="G104" s="66">
        <f>D104+'2018APR'!G104</f>
        <v>0</v>
      </c>
      <c r="H104" s="66">
        <f>E104+'2018APR'!H104</f>
        <v>5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00">
        <v>56</v>
      </c>
      <c r="F105" s="28">
        <f t="shared" si="6"/>
        <v>0.88888888888888884</v>
      </c>
      <c r="G105" s="66">
        <f>D105+'2018APR'!G105</f>
        <v>315</v>
      </c>
      <c r="H105" s="66">
        <f>E105+'2018APR'!H105</f>
        <v>290</v>
      </c>
      <c r="I105" s="28">
        <f t="shared" si="7"/>
        <v>0.92063492063492058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98">
        <f>SUM(D104:D105)</f>
        <v>63</v>
      </c>
      <c r="E106" s="198">
        <f>SUM(E104:E105)</f>
        <v>61</v>
      </c>
      <c r="F106" s="30">
        <f t="shared" si="6"/>
        <v>0.96825396825396826</v>
      </c>
      <c r="G106" s="198">
        <f>SUM(G104:G105)</f>
        <v>315</v>
      </c>
      <c r="H106" s="198">
        <f>SUM(H104:H105)</f>
        <v>295</v>
      </c>
      <c r="I106" s="30">
        <f t="shared" si="7"/>
        <v>0.93650793650793651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00">
        <v>1</v>
      </c>
      <c r="F107" s="28">
        <f>E107/D107</f>
        <v>0.5</v>
      </c>
      <c r="G107" s="66">
        <f>D107+'2018APR'!G107</f>
        <v>8</v>
      </c>
      <c r="H107" s="66">
        <f>E107+'2018APR'!H107</f>
        <v>16</v>
      </c>
      <c r="I107" s="28">
        <f>H107/G107</f>
        <v>2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106</v>
      </c>
      <c r="E108" s="200">
        <v>108</v>
      </c>
      <c r="F108" s="28">
        <f>E108/D108</f>
        <v>1.0188679245283019</v>
      </c>
      <c r="G108" s="66">
        <f>D108+'2018APR'!G108</f>
        <v>512</v>
      </c>
      <c r="H108" s="66">
        <f>E108+'2018APR'!H108</f>
        <v>505</v>
      </c>
      <c r="I108" s="28">
        <f t="shared" si="7"/>
        <v>0.986328125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98">
        <f>SUM(D107:D108)</f>
        <v>108</v>
      </c>
      <c r="E109" s="198">
        <f>SUM(E107:E108)</f>
        <v>109</v>
      </c>
      <c r="F109" s="30">
        <f t="shared" si="6"/>
        <v>1.0092592592592593</v>
      </c>
      <c r="G109" s="198">
        <f>SUM(G107:G108)</f>
        <v>520</v>
      </c>
      <c r="H109" s="198">
        <f>SUM(H107:H108)</f>
        <v>521</v>
      </c>
      <c r="I109" s="30">
        <f t="shared" si="7"/>
        <v>1.0019230769230769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00">
        <v>1</v>
      </c>
      <c r="F110" s="30">
        <f>E110/D110</f>
        <v>0.125</v>
      </c>
      <c r="G110" s="66">
        <f>D110+'2018APR'!G110</f>
        <v>40</v>
      </c>
      <c r="H110" s="66">
        <f>E110+'2018APR'!H110</f>
        <v>34</v>
      </c>
      <c r="I110" s="30">
        <f>H110/G110</f>
        <v>0.85</v>
      </c>
      <c r="J110" s="187"/>
      <c r="K110" s="188"/>
      <c r="L110" s="188"/>
      <c r="M110" s="189"/>
    </row>
    <row r="111" spans="1:13">
      <c r="A111" s="553"/>
      <c r="B111" s="803"/>
      <c r="C111" s="27" t="s">
        <v>70</v>
      </c>
      <c r="D111" s="65">
        <v>32</v>
      </c>
      <c r="E111" s="200">
        <v>36</v>
      </c>
      <c r="F111" s="30">
        <f t="shared" ref="F111:F112" si="8">E111/D111</f>
        <v>1.125</v>
      </c>
      <c r="G111" s="66">
        <f>D111+'2018APR'!G111</f>
        <v>80</v>
      </c>
      <c r="H111" s="66">
        <f>E111+'2018APR'!H111</f>
        <v>128</v>
      </c>
      <c r="I111" s="30">
        <f t="shared" ref="I111:I112" si="9">H111/G111</f>
        <v>1.6</v>
      </c>
      <c r="J111" s="187"/>
      <c r="K111" s="188"/>
      <c r="L111" s="188"/>
      <c r="M111" s="189"/>
    </row>
    <row r="112" spans="1:13">
      <c r="A112" s="553"/>
      <c r="B112" s="804"/>
      <c r="C112" s="38" t="s">
        <v>166</v>
      </c>
      <c r="D112" s="198">
        <f>SUM(D110:D111)</f>
        <v>40</v>
      </c>
      <c r="E112" s="198">
        <f>SUM(E110:E111)</f>
        <v>37</v>
      </c>
      <c r="F112" s="30">
        <f t="shared" si="8"/>
        <v>0.92500000000000004</v>
      </c>
      <c r="G112" s="198">
        <f>SUM(G110:G111)</f>
        <v>120</v>
      </c>
      <c r="H112" s="198">
        <f>SUM(H110:H111)</f>
        <v>162</v>
      </c>
      <c r="I112" s="30">
        <f t="shared" si="9"/>
        <v>1.35</v>
      </c>
      <c r="J112" s="187"/>
      <c r="K112" s="188"/>
      <c r="L112" s="188"/>
      <c r="M112" s="189"/>
    </row>
    <row r="113" spans="1:13">
      <c r="A113" s="553"/>
      <c r="B113" s="611" t="s">
        <v>46</v>
      </c>
      <c r="C113" s="39" t="s">
        <v>69</v>
      </c>
      <c r="D113" s="190">
        <f>SUM(D98,D101,D104,D107,D110)</f>
        <v>10</v>
      </c>
      <c r="E113" s="190">
        <f>SUM(E98,E101,E104,E107,E110)</f>
        <v>7</v>
      </c>
      <c r="F113" s="31">
        <f t="shared" si="6"/>
        <v>0.7</v>
      </c>
      <c r="G113" s="190">
        <f>SUM(G98,G101,G104,G107,G110)</f>
        <v>48</v>
      </c>
      <c r="H113" s="190">
        <f>SUM(H98,H101,H104,H107,H110)</f>
        <v>56</v>
      </c>
      <c r="I113" s="31">
        <f t="shared" si="7"/>
        <v>1.1666666666666667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90">
        <f>SUM(D99,D102,D105,D108,D111)</f>
        <v>253</v>
      </c>
      <c r="E114" s="190">
        <f>SUM(E99,E102,E105,E108,E111)</f>
        <v>250</v>
      </c>
      <c r="F114" s="31">
        <f t="shared" si="6"/>
        <v>0.98814229249011853</v>
      </c>
      <c r="G114" s="190">
        <f>SUM(G99,G102,G105,G108,G111)</f>
        <v>1167</v>
      </c>
      <c r="H114" s="190">
        <f>SUM(H99,H102,H105,H108,H111)</f>
        <v>1180</v>
      </c>
      <c r="I114" s="31">
        <f t="shared" si="7"/>
        <v>1.0111396743787489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91">
        <f>SUM(D113:D114)</f>
        <v>263</v>
      </c>
      <c r="E115" s="191">
        <f>SUM(E113:E114)</f>
        <v>257</v>
      </c>
      <c r="F115" s="41">
        <f t="shared" si="6"/>
        <v>0.97718631178707227</v>
      </c>
      <c r="G115" s="191">
        <f>SUM(G113:G114)</f>
        <v>1215</v>
      </c>
      <c r="H115" s="191">
        <f>SUM(H113:H114)</f>
        <v>1236</v>
      </c>
      <c r="I115" s="41">
        <f t="shared" si="7"/>
        <v>1.0172839506172839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D116+'2018APR'!G116</f>
        <v>8</v>
      </c>
      <c r="H116" s="70">
        <f>E116+'2018APR'!H116</f>
        <v>10</v>
      </c>
      <c r="I116" s="43">
        <f>H116/G116</f>
        <v>1.25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54</v>
      </c>
      <c r="E117" s="200">
        <v>57</v>
      </c>
      <c r="F117" s="28">
        <f t="shared" ref="F117:F126" si="10">E117/D117</f>
        <v>1.0555555555555556</v>
      </c>
      <c r="G117" s="71">
        <f>D117+'2018APR'!G117</f>
        <v>252</v>
      </c>
      <c r="H117" s="71">
        <f>E117+'2018APR'!H117</f>
        <v>279</v>
      </c>
      <c r="I117" s="28">
        <f t="shared" ref="I117:I126" si="11">H117/G117</f>
        <v>1.1071428571428572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98">
        <f>SUM(D116:D117)</f>
        <v>56</v>
      </c>
      <c r="E118" s="198">
        <f>SUM(E116:E117)</f>
        <v>57</v>
      </c>
      <c r="F118" s="30">
        <f t="shared" si="10"/>
        <v>1.0178571428571428</v>
      </c>
      <c r="G118" s="198">
        <f>SUM(G116:G117)</f>
        <v>260</v>
      </c>
      <c r="H118" s="198">
        <f>SUM(H116:H117)</f>
        <v>289</v>
      </c>
      <c r="I118" s="30">
        <f t="shared" si="11"/>
        <v>1.1115384615384616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00">
        <v>0</v>
      </c>
      <c r="F119" s="28" t="e">
        <f t="shared" si="10"/>
        <v>#DIV/0!</v>
      </c>
      <c r="G119" s="66">
        <f>D119+'2018APR'!G119</f>
        <v>0</v>
      </c>
      <c r="H119" s="66">
        <f>E119+'2018APR'!H119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00">
        <v>47</v>
      </c>
      <c r="F120" s="28">
        <f t="shared" si="10"/>
        <v>1.2702702702702702</v>
      </c>
      <c r="G120" s="66">
        <f>D120+'2018APR'!G120</f>
        <v>185</v>
      </c>
      <c r="H120" s="66">
        <f>E120+'2018APR'!H120</f>
        <v>229</v>
      </c>
      <c r="I120" s="28">
        <f t="shared" si="11"/>
        <v>1.2378378378378379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98">
        <f>SUM(D119:D120)</f>
        <v>37</v>
      </c>
      <c r="E121" s="198">
        <f>SUM(E119:E120)</f>
        <v>47</v>
      </c>
      <c r="F121" s="30">
        <f t="shared" si="10"/>
        <v>1.2702702702702702</v>
      </c>
      <c r="G121" s="198">
        <f>SUM(G119:G120)</f>
        <v>185</v>
      </c>
      <c r="H121" s="198">
        <f>SUM(H119:H120)</f>
        <v>234</v>
      </c>
      <c r="I121" s="30">
        <f t="shared" si="11"/>
        <v>1.2648648648648648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90">
        <f>SUM(D116,D119)</f>
        <v>2</v>
      </c>
      <c r="E122" s="190">
        <f>SUM(E116,E119)</f>
        <v>0</v>
      </c>
      <c r="F122" s="30">
        <f t="shared" si="10"/>
        <v>0</v>
      </c>
      <c r="G122" s="190">
        <f>SUM(G116,G119)</f>
        <v>8</v>
      </c>
      <c r="H122" s="190">
        <f>SUM(H116,H119)</f>
        <v>15</v>
      </c>
      <c r="I122" s="30">
        <f t="shared" si="11"/>
        <v>1.875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90">
        <f>SUM(D117,D120)</f>
        <v>91</v>
      </c>
      <c r="E123" s="190">
        <f>SUM(E117,E120)</f>
        <v>104</v>
      </c>
      <c r="F123" s="30">
        <f t="shared" si="10"/>
        <v>1.1428571428571428</v>
      </c>
      <c r="G123" s="190">
        <f>SUM(G117,G120)</f>
        <v>437</v>
      </c>
      <c r="H123" s="190">
        <f>SUM(H117,H120)</f>
        <v>508</v>
      </c>
      <c r="I123" s="30">
        <f t="shared" si="11"/>
        <v>1.1624713958810069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91">
        <f>SUM(D122:D123)</f>
        <v>93</v>
      </c>
      <c r="E124" s="191">
        <f>SUM(E122:E123)</f>
        <v>104</v>
      </c>
      <c r="F124" s="41">
        <f t="shared" si="10"/>
        <v>1.118279569892473</v>
      </c>
      <c r="G124" s="191">
        <f>SUM(G122:G123)</f>
        <v>445</v>
      </c>
      <c r="H124" s="191">
        <f>SUM(H122:H123)</f>
        <v>523</v>
      </c>
      <c r="I124" s="41">
        <f t="shared" si="11"/>
        <v>1.1752808988764045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85">
        <f>SUM(D113,D122)</f>
        <v>12</v>
      </c>
      <c r="E125" s="185">
        <f>SUM(E113,E122)</f>
        <v>7</v>
      </c>
      <c r="F125" s="45">
        <f t="shared" si="10"/>
        <v>0.58333333333333337</v>
      </c>
      <c r="G125" s="46">
        <f>SUM(G113,G122)</f>
        <v>56</v>
      </c>
      <c r="H125" s="46">
        <f>SUM(H113,H122)</f>
        <v>71</v>
      </c>
      <c r="I125" s="45">
        <f t="shared" si="11"/>
        <v>1.2678571428571428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86">
        <f>SUM(D114,D123)</f>
        <v>344</v>
      </c>
      <c r="E126" s="186">
        <f>SUM(E114,E123)</f>
        <v>354</v>
      </c>
      <c r="F126" s="32">
        <f t="shared" si="10"/>
        <v>1.0290697674418605</v>
      </c>
      <c r="G126" s="186">
        <f>SUM(G114,G123)</f>
        <v>1604</v>
      </c>
      <c r="H126" s="186">
        <f>SUM(H114,H123)</f>
        <v>1688</v>
      </c>
      <c r="I126" s="32">
        <f t="shared" si="11"/>
        <v>1.0523690773067331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86">
        <f>SUM(D125:D126)</f>
        <v>356</v>
      </c>
      <c r="E127" s="186">
        <f>SUM(E125:E126)</f>
        <v>361</v>
      </c>
      <c r="F127" s="49">
        <f>E127/D127</f>
        <v>1.0140449438202248</v>
      </c>
      <c r="G127" s="185">
        <f>SUM(G125:G126)</f>
        <v>1660</v>
      </c>
      <c r="H127" s="185">
        <f>SUM(H125:H126)</f>
        <v>1759</v>
      </c>
      <c r="I127" s="49">
        <f>H127/G127</f>
        <v>1.0596385542168674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1</v>
      </c>
      <c r="D135" s="592"/>
      <c r="E135" s="591">
        <v>6</v>
      </c>
      <c r="F135" s="592"/>
      <c r="G135" s="591">
        <v>2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84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84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84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84" t="s">
        <v>99</v>
      </c>
      <c r="C140" s="590">
        <v>0</v>
      </c>
      <c r="D140" s="590"/>
      <c r="E140" s="590">
        <v>41</v>
      </c>
      <c r="F140" s="590"/>
      <c r="G140" s="590">
        <v>72</v>
      </c>
      <c r="H140" s="590"/>
      <c r="I140" s="772">
        <v>17033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216</v>
      </c>
      <c r="D145" s="563"/>
      <c r="E145" s="564"/>
      <c r="F145" s="562" t="s">
        <v>215</v>
      </c>
      <c r="G145" s="563"/>
      <c r="H145" s="563"/>
      <c r="I145" s="564"/>
      <c r="J145" s="563" t="s">
        <v>217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218</v>
      </c>
      <c r="D146" s="736"/>
      <c r="E146" s="737"/>
      <c r="F146" s="750" t="s">
        <v>219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82" t="s">
        <v>109</v>
      </c>
      <c r="C154" s="182" t="s">
        <v>110</v>
      </c>
      <c r="D154" s="182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124">
        <f>'2018APR'!H155</f>
        <v>10713</v>
      </c>
      <c r="C155" s="63">
        <f>E45-E44</f>
        <v>48999</v>
      </c>
      <c r="D155" s="73">
        <v>78719</v>
      </c>
      <c r="E155" s="531" t="s">
        <v>114</v>
      </c>
      <c r="F155" s="531"/>
      <c r="G155" s="531"/>
      <c r="H155" s="72">
        <f>C155+A155+B155-D155</f>
        <v>80993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14620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01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18280</v>
      </c>
      <c r="H165" s="778"/>
      <c r="I165" s="779"/>
      <c r="J165" s="779"/>
      <c r="K165" s="780"/>
    </row>
    <row r="166" spans="1:11" ht="14">
      <c r="A166" s="181" t="s">
        <v>126</v>
      </c>
      <c r="B166" s="777" t="s">
        <v>127</v>
      </c>
      <c r="C166" s="777"/>
      <c r="D166" s="777"/>
      <c r="E166" s="777"/>
      <c r="F166" s="777"/>
      <c r="G166" s="200">
        <v>1914</v>
      </c>
      <c r="H166" s="778"/>
      <c r="I166" s="779"/>
      <c r="J166" s="779"/>
      <c r="K166" s="780"/>
    </row>
    <row r="167" spans="1:11" ht="14">
      <c r="A167" s="181" t="s">
        <v>128</v>
      </c>
      <c r="B167" s="777" t="s">
        <v>129</v>
      </c>
      <c r="C167" s="777"/>
      <c r="D167" s="777"/>
      <c r="E167" s="777"/>
      <c r="F167" s="777"/>
      <c r="G167" s="201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00000000-0002-0000-1100-000000000000}">
      <formula1>"USA, JAPAN"</formula1>
    </dataValidation>
    <dataValidation type="list" allowBlank="1" showInputMessage="1" showErrorMessage="1" sqref="G1" xr:uid="{00000000-0002-0000-11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pageSetUpPr fitToPage="1"/>
  </sheetPr>
  <dimension ref="A1:N167"/>
  <sheetViews>
    <sheetView topLeftCell="A28" zoomScale="98" zoomScaleNormal="98" zoomScaleSheetLayoutView="85" workbookViewId="0">
      <selection activeCell="E15" sqref="E15:I1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43308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0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14" t="s">
        <v>176</v>
      </c>
      <c r="C10" s="61">
        <v>2</v>
      </c>
      <c r="D10" s="22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14" t="s">
        <v>177</v>
      </c>
      <c r="C11" s="61">
        <v>2</v>
      </c>
      <c r="D11" s="222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14" t="s">
        <v>179</v>
      </c>
      <c r="C12" s="61">
        <v>2</v>
      </c>
      <c r="D12" s="222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214" t="s">
        <v>180</v>
      </c>
      <c r="C13" s="61">
        <v>3</v>
      </c>
      <c r="D13" s="222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14" t="s">
        <v>12</v>
      </c>
      <c r="C14" s="61">
        <v>0</v>
      </c>
      <c r="D14" s="222">
        <v>0</v>
      </c>
      <c r="E14" s="693"/>
      <c r="F14" s="694"/>
      <c r="G14" s="694"/>
      <c r="H14" s="694"/>
      <c r="I14" s="695"/>
    </row>
    <row r="15" spans="1:13">
      <c r="A15" s="690"/>
      <c r="B15" s="214" t="s">
        <v>13</v>
      </c>
      <c r="C15" s="61">
        <v>2</v>
      </c>
      <c r="D15" s="222">
        <v>2</v>
      </c>
      <c r="E15" s="770" t="s">
        <v>220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8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19" t="s">
        <v>23</v>
      </c>
      <c r="E21" s="219" t="s">
        <v>24</v>
      </c>
      <c r="F21" s="219" t="s">
        <v>25</v>
      </c>
      <c r="G21" s="219" t="s">
        <v>23</v>
      </c>
      <c r="H21" s="219" t="s">
        <v>24</v>
      </c>
      <c r="I21" s="219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12806.4</v>
      </c>
      <c r="E23" s="222">
        <v>12487</v>
      </c>
      <c r="F23" s="14">
        <f t="shared" ref="F23:F28" si="0">E23/D23</f>
        <v>0.9750593453273364</v>
      </c>
      <c r="G23" s="179">
        <f>D23+'2018MAY'!G23</f>
        <v>70574.2</v>
      </c>
      <c r="H23" s="66">
        <f>E23+'2018MAY'!H23</f>
        <v>73670</v>
      </c>
      <c r="I23" s="14">
        <f t="shared" ref="I23:I28" si="1">H23/G23</f>
        <v>1.0438658886675301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20">
        <f>SUM(D23:D23)</f>
        <v>12806.4</v>
      </c>
      <c r="E24" s="220">
        <f>SUM(E23:E23)</f>
        <v>12487</v>
      </c>
      <c r="F24" s="16">
        <f t="shared" si="0"/>
        <v>0.9750593453273364</v>
      </c>
      <c r="G24" s="220">
        <f>SUM(G23:G23)</f>
        <v>70574.2</v>
      </c>
      <c r="H24" s="220">
        <f>SUM(H23:H23)</f>
        <v>73670</v>
      </c>
      <c r="I24" s="16">
        <f t="shared" si="1"/>
        <v>1.0438658886675301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13440</v>
      </c>
      <c r="E25" s="222">
        <v>13083</v>
      </c>
      <c r="F25" s="14">
        <f t="shared" si="0"/>
        <v>0.97343749999999996</v>
      </c>
      <c r="G25" s="179">
        <f>D25+'2018MAY'!G25</f>
        <v>71040</v>
      </c>
      <c r="H25" s="66">
        <f>E25+'2018MAY'!H25</f>
        <v>74900</v>
      </c>
      <c r="I25" s="14">
        <f t="shared" si="1"/>
        <v>1.0543355855855856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22">
        <v>0</v>
      </c>
      <c r="F26" s="14" t="e">
        <f t="shared" si="0"/>
        <v>#DIV/0!</v>
      </c>
      <c r="G26" s="214">
        <f>D26</f>
        <v>0</v>
      </c>
      <c r="H26" s="214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20">
        <f>SUM(D25:D26)</f>
        <v>13440</v>
      </c>
      <c r="E27" s="220">
        <f>SUM(E25:E26)</f>
        <v>13083</v>
      </c>
      <c r="F27" s="16">
        <f t="shared" si="0"/>
        <v>0.97343749999999996</v>
      </c>
      <c r="G27" s="220">
        <f>SUM(G25:G26)</f>
        <v>71040</v>
      </c>
      <c r="H27" s="220">
        <f>SUM(H25:H26)</f>
        <v>74900</v>
      </c>
      <c r="I27" s="16">
        <f t="shared" si="1"/>
        <v>1.0543355855855856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21">
        <f>SUM(D24,D27)</f>
        <v>26246.400000000001</v>
      </c>
      <c r="E28" s="221">
        <f>SUM(E24,E27)</f>
        <v>25570</v>
      </c>
      <c r="F28" s="17">
        <f t="shared" si="0"/>
        <v>0.97422884662277487</v>
      </c>
      <c r="G28" s="221">
        <f>SUM(G24,G27)</f>
        <v>141614.20000000001</v>
      </c>
      <c r="H28" s="221">
        <f>SUM(H24,H27)</f>
        <v>148570</v>
      </c>
      <c r="I28" s="17">
        <f t="shared" si="1"/>
        <v>1.0491179556852348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22">
        <v>3813</v>
      </c>
      <c r="F30" s="14">
        <f>E30/D30</f>
        <v>3.8130000000000002</v>
      </c>
      <c r="G30" s="66">
        <f>D30+'2018MAY'!G30</f>
        <v>6000</v>
      </c>
      <c r="H30" s="66">
        <f>E30+'2018MAY'!H30</f>
        <v>18479</v>
      </c>
      <c r="I30" s="14">
        <f>H30/G30</f>
        <v>3.0798333333333332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22">
        <v>231</v>
      </c>
      <c r="F31" s="14" t="e">
        <f t="shared" ref="F31:F47" si="2">E31/D31</f>
        <v>#DIV/0!</v>
      </c>
      <c r="G31" s="66">
        <f>D31+'2018MAY'!G31</f>
        <v>0</v>
      </c>
      <c r="H31" s="66">
        <f>E31+'2018MAY'!H31</f>
        <v>13034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20">
        <f>SUM(D30:D31)</f>
        <v>1000</v>
      </c>
      <c r="E32" s="220">
        <f>SUM(E30:E31)</f>
        <v>4044</v>
      </c>
      <c r="F32" s="14">
        <f t="shared" si="2"/>
        <v>4.0439999999999996</v>
      </c>
      <c r="G32" s="220">
        <f>SUM(G30:G31)</f>
        <v>6000</v>
      </c>
      <c r="H32" s="220">
        <f>SUM(H30:H31)</f>
        <v>31513</v>
      </c>
      <c r="I32" s="14">
        <f t="shared" si="3"/>
        <v>5.2521666666666667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22">
        <v>35</v>
      </c>
      <c r="F33" s="14">
        <f t="shared" si="2"/>
        <v>5.3846153846153849E-2</v>
      </c>
      <c r="G33" s="66">
        <f>D33+'2018MAY'!G33</f>
        <v>3900</v>
      </c>
      <c r="H33" s="66">
        <f>E33+'2018MAY'!H33</f>
        <v>4732</v>
      </c>
      <c r="I33" s="14">
        <f t="shared" si="3"/>
        <v>1.2133333333333334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19">
        <f>SUM(D32,D33)</f>
        <v>1650</v>
      </c>
      <c r="E34" s="219">
        <f>SUM(E32,E33)</f>
        <v>4079</v>
      </c>
      <c r="F34" s="14">
        <f t="shared" si="2"/>
        <v>2.4721212121212122</v>
      </c>
      <c r="G34" s="219">
        <f>SUM(G32,G33)</f>
        <v>9900</v>
      </c>
      <c r="H34" s="219">
        <f>SUM(H32,H33)</f>
        <v>36245</v>
      </c>
      <c r="I34" s="14">
        <f t="shared" si="3"/>
        <v>3.661111111111111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14">
        <v>0</v>
      </c>
      <c r="F35" s="14">
        <f t="shared" si="2"/>
        <v>0</v>
      </c>
      <c r="G35" s="66">
        <f>D35+'2018MAY'!G35</f>
        <v>217392</v>
      </c>
      <c r="H35" s="66">
        <f>E35+'2018MAY'!H35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214"/>
      <c r="E36" s="214"/>
      <c r="F36" s="14" t="e">
        <f t="shared" si="2"/>
        <v>#DIV/0!</v>
      </c>
      <c r="G36" s="214"/>
      <c r="H36" s="214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20">
        <f>SUM(D35:D36)</f>
        <v>36232</v>
      </c>
      <c r="E37" s="220">
        <f>SUM(E35:E36)</f>
        <v>0</v>
      </c>
      <c r="F37" s="16">
        <f t="shared" si="2"/>
        <v>0</v>
      </c>
      <c r="G37" s="223">
        <f>SUM(G35:G36)</f>
        <v>217392</v>
      </c>
      <c r="H37" s="223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22">
        <v>0</v>
      </c>
      <c r="F38" s="14">
        <f t="shared" si="2"/>
        <v>0</v>
      </c>
      <c r="G38" s="66">
        <f>D38+'2018MAY'!G38</f>
        <v>6600</v>
      </c>
      <c r="H38" s="66">
        <f>E38+'2018MAY'!H38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14"/>
      <c r="E39" s="214"/>
      <c r="F39" s="14" t="e">
        <f t="shared" si="2"/>
        <v>#DIV/0!</v>
      </c>
      <c r="G39" s="214"/>
      <c r="H39" s="214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20">
        <f>SUM(D38:D39)</f>
        <v>1100</v>
      </c>
      <c r="E40" s="220">
        <f>SUM(E38:E39)</f>
        <v>0</v>
      </c>
      <c r="F40" s="16">
        <f t="shared" si="2"/>
        <v>0</v>
      </c>
      <c r="G40" s="220">
        <f>SUM(G38:G39)</f>
        <v>6600</v>
      </c>
      <c r="H40" s="22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19">
        <f>SUM(D37,D40)</f>
        <v>37332</v>
      </c>
      <c r="E41" s="219">
        <f>SUM(E37,E40)</f>
        <v>0</v>
      </c>
      <c r="F41" s="19">
        <f t="shared" si="2"/>
        <v>0</v>
      </c>
      <c r="G41" s="219">
        <f>SUM(G37,G40)</f>
        <v>223992</v>
      </c>
      <c r="H41" s="219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5850</v>
      </c>
      <c r="F42" s="21">
        <f t="shared" si="2"/>
        <v>0.50869565217391299</v>
      </c>
      <c r="G42" s="180">
        <f>D42+'2018MAY'!G42</f>
        <v>67500</v>
      </c>
      <c r="H42" s="77">
        <f>E42+'2018MAY'!H42</f>
        <v>98706</v>
      </c>
      <c r="I42" s="21">
        <f t="shared" si="3"/>
        <v>1.4623111111111111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12000</v>
      </c>
      <c r="E43" s="20">
        <v>0</v>
      </c>
      <c r="F43" s="21">
        <f t="shared" si="2"/>
        <v>0</v>
      </c>
      <c r="G43" s="68">
        <f>D43+'2018MAY'!G43</f>
        <v>24000</v>
      </c>
      <c r="H43" s="68">
        <f>E43+'2018MAY'!H43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2">
        <v>0</v>
      </c>
      <c r="F44" s="21">
        <f t="shared" si="2"/>
        <v>0</v>
      </c>
      <c r="G44" s="68">
        <f>D44+'2018MAY'!G44</f>
        <v>201000</v>
      </c>
      <c r="H44" s="180">
        <f>E44+'2018MAY'!H44</f>
        <v>199970</v>
      </c>
      <c r="I44" s="21">
        <f t="shared" si="3"/>
        <v>0.99487562189054723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18">
        <f>SUM(D28,D34,D41,D42:D44)</f>
        <v>122228.4</v>
      </c>
      <c r="E45" s="78">
        <f>SUM(E28,E34,E41,E42:E44)</f>
        <v>35499</v>
      </c>
      <c r="F45" s="22">
        <f t="shared" si="2"/>
        <v>0.29043168363489991</v>
      </c>
      <c r="G45" s="218">
        <f>SUM(G28,G34,G41,G42:G44)</f>
        <v>668006.19999999995</v>
      </c>
      <c r="H45" s="218">
        <f>SUM(H28,H34,H41,H42:H44)</f>
        <v>483491</v>
      </c>
      <c r="I45" s="22">
        <f t="shared" si="3"/>
        <v>0.72378220441666563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18">
        <f>D45-D42</f>
        <v>110728.4</v>
      </c>
      <c r="E46" s="218">
        <f>E45-E42</f>
        <v>29649</v>
      </c>
      <c r="F46" s="22">
        <f t="shared" si="2"/>
        <v>0.26776328385490988</v>
      </c>
      <c r="G46" s="218">
        <f>G45-G42</f>
        <v>600506.19999999995</v>
      </c>
      <c r="H46" s="218">
        <f>H45-H42</f>
        <v>384785</v>
      </c>
      <c r="I46" s="22">
        <f t="shared" si="3"/>
        <v>0.64076773895090511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17">
        <f>D46-D44</f>
        <v>77228.399999999994</v>
      </c>
      <c r="E47" s="217">
        <f>E46-E44</f>
        <v>29649</v>
      </c>
      <c r="F47" s="23">
        <f t="shared" si="2"/>
        <v>0.38391317183833928</v>
      </c>
      <c r="G47" s="217">
        <f>G46-G44</f>
        <v>399506.19999999995</v>
      </c>
      <c r="H47" s="217">
        <f>H46-H44</f>
        <v>184815</v>
      </c>
      <c r="I47" s="23">
        <f t="shared" si="3"/>
        <v>0.46260859030473123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15" t="s">
        <v>23</v>
      </c>
      <c r="E52" s="215" t="s">
        <v>24</v>
      </c>
      <c r="F52" s="215" t="s">
        <v>25</v>
      </c>
      <c r="G52" s="215" t="s">
        <v>23</v>
      </c>
      <c r="H52" s="215" t="s">
        <v>24</v>
      </c>
      <c r="I52" s="215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22">
        <v>3</v>
      </c>
      <c r="F53" s="28">
        <f t="shared" ref="F53:F79" si="4">E53/D53</f>
        <v>0.25</v>
      </c>
      <c r="G53" s="66">
        <f>D53+'2018MAY'!G53</f>
        <v>68</v>
      </c>
      <c r="H53" s="66">
        <f>E53+'2018MAY'!H53</f>
        <v>74</v>
      </c>
      <c r="I53" s="28">
        <f t="shared" ref="I53:I79" si="5">H53/G53</f>
        <v>1.088235294117647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22">
        <v>356</v>
      </c>
      <c r="F54" s="28">
        <f t="shared" si="4"/>
        <v>1.1866666666666668</v>
      </c>
      <c r="G54" s="66">
        <f>D54+'2018MAY'!G54</f>
        <v>1800</v>
      </c>
      <c r="H54" s="66">
        <f>E54+'2018MAY'!H54</f>
        <v>2044</v>
      </c>
      <c r="I54" s="28">
        <f t="shared" si="5"/>
        <v>1.1355555555555557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20">
        <f>SUM(D53:D54)</f>
        <v>312</v>
      </c>
      <c r="E55" s="220">
        <f>SUM(E53:E54)</f>
        <v>359</v>
      </c>
      <c r="F55" s="30">
        <f t="shared" si="4"/>
        <v>1.1506410256410255</v>
      </c>
      <c r="G55" s="220">
        <f>SUM(G53:G54)</f>
        <v>1868</v>
      </c>
      <c r="H55" s="220">
        <f>SUM(H53:H54)</f>
        <v>2118</v>
      </c>
      <c r="I55" s="30">
        <f t="shared" si="5"/>
        <v>1.133832976445396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22">
        <v>18</v>
      </c>
      <c r="F56" s="28">
        <f t="shared" si="4"/>
        <v>0.45</v>
      </c>
      <c r="G56" s="66">
        <f>D56+'2018MAY'!G56</f>
        <v>240</v>
      </c>
      <c r="H56" s="66">
        <f>E56+'2018MAY'!H56</f>
        <v>245</v>
      </c>
      <c r="I56" s="28">
        <f t="shared" si="5"/>
        <v>1.0208333333333333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22">
        <v>837</v>
      </c>
      <c r="F57" s="28">
        <f t="shared" si="4"/>
        <v>1.395</v>
      </c>
      <c r="G57" s="66">
        <f>D57+'2018MAY'!G57</f>
        <v>3600</v>
      </c>
      <c r="H57" s="66">
        <f>E57+'2018MAY'!H57</f>
        <v>4588</v>
      </c>
      <c r="I57" s="28">
        <f t="shared" si="5"/>
        <v>1.2744444444444445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12">
        <f>SUM(D56:D57)</f>
        <v>640</v>
      </c>
      <c r="E58" s="212">
        <f>SUM(E56:E57)</f>
        <v>855</v>
      </c>
      <c r="F58" s="28">
        <f t="shared" si="4"/>
        <v>1.3359375</v>
      </c>
      <c r="G58" s="212">
        <f>SUM(G56:G57)</f>
        <v>3840</v>
      </c>
      <c r="H58" s="212">
        <f>SUM(H56:H57)</f>
        <v>4833</v>
      </c>
      <c r="I58" s="31">
        <f t="shared" si="5"/>
        <v>1.25859375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08">
        <f>SUM(D53,D56)</f>
        <v>52</v>
      </c>
      <c r="E59" s="208">
        <f>SUM(E53,E56)</f>
        <v>21</v>
      </c>
      <c r="F59" s="32">
        <f t="shared" si="4"/>
        <v>0.40384615384615385</v>
      </c>
      <c r="G59" s="208">
        <f>SUM(G53,G56)</f>
        <v>308</v>
      </c>
      <c r="H59" s="208">
        <f>SUM(H53,H56)</f>
        <v>319</v>
      </c>
      <c r="I59" s="32">
        <f t="shared" si="5"/>
        <v>1.0357142857142858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08">
        <f>SUM(D54,D57)</f>
        <v>900</v>
      </c>
      <c r="E60" s="208">
        <f>SUM(E54,E57)</f>
        <v>1193</v>
      </c>
      <c r="F60" s="32">
        <f t="shared" si="4"/>
        <v>1.3255555555555556</v>
      </c>
      <c r="G60" s="208">
        <f>SUM(G54,G57)</f>
        <v>5400</v>
      </c>
      <c r="H60" s="208">
        <f>SUM(H54,H57)</f>
        <v>6632</v>
      </c>
      <c r="I60" s="32">
        <f t="shared" si="5"/>
        <v>1.2281481481481482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16">
        <f>SUM(D59:D60)</f>
        <v>952</v>
      </c>
      <c r="E61" s="216">
        <f>SUM(E59:E60)</f>
        <v>1214</v>
      </c>
      <c r="F61" s="33">
        <f t="shared" si="4"/>
        <v>1.2752100840336134</v>
      </c>
      <c r="G61" s="216">
        <f>SUM(G59:G60)</f>
        <v>5708</v>
      </c>
      <c r="H61" s="216">
        <f>SUM(H59:H60)</f>
        <v>6951</v>
      </c>
      <c r="I61" s="33">
        <f t="shared" si="5"/>
        <v>1.2177645409950946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14">
        <f>E71/10</f>
        <v>10.4</v>
      </c>
      <c r="F62" s="28">
        <f t="shared" si="4"/>
        <v>0.24761904761904763</v>
      </c>
      <c r="G62" s="66">
        <f>D62+'2018MAY'!G62</f>
        <v>238</v>
      </c>
      <c r="H62" s="66">
        <f>E62+'2018MAY'!H62</f>
        <v>257.2</v>
      </c>
      <c r="I62" s="28">
        <f t="shared" si="5"/>
        <v>1.080672268907563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214">
        <f>E72/10</f>
        <v>1238.3</v>
      </c>
      <c r="F63" s="28">
        <f t="shared" si="4"/>
        <v>1.1861111111111111</v>
      </c>
      <c r="G63" s="66">
        <f>D63+'2018MAY'!G63</f>
        <v>6264</v>
      </c>
      <c r="H63" s="66">
        <f>E63+'2018MAY'!H63</f>
        <v>7109.8</v>
      </c>
      <c r="I63" s="28">
        <f t="shared" si="5"/>
        <v>1.1350255427841636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20">
        <f>SUM(E62:E63)</f>
        <v>1248.7</v>
      </c>
      <c r="F64" s="30">
        <f t="shared" si="4"/>
        <v>1.1498158379373848</v>
      </c>
      <c r="G64" s="220">
        <f>SUM(G62:G63)</f>
        <v>6502</v>
      </c>
      <c r="H64" s="220">
        <f>SUM(H62:H63)</f>
        <v>7367</v>
      </c>
      <c r="I64" s="30">
        <f t="shared" si="5"/>
        <v>1.1330359889264841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14">
        <f>E74/10</f>
        <v>24.3</v>
      </c>
      <c r="F65" s="28">
        <f t="shared" si="4"/>
        <v>0.37968750000000001</v>
      </c>
      <c r="G65" s="66">
        <f>D65+'2018MAY'!G65</f>
        <v>384</v>
      </c>
      <c r="H65" s="66">
        <f>E65+'2018MAY'!H65</f>
        <v>314.20000000000005</v>
      </c>
      <c r="I65" s="28">
        <f t="shared" si="5"/>
        <v>0.81822916666666679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14">
        <f>E75/10</f>
        <v>1284</v>
      </c>
      <c r="F66" s="28">
        <f t="shared" si="4"/>
        <v>1.3374999999999999</v>
      </c>
      <c r="G66" s="66">
        <f>D66+'2018MAY'!G66</f>
        <v>5760</v>
      </c>
      <c r="H66" s="66">
        <f>E66+'2018MAY'!H66</f>
        <v>7175.8</v>
      </c>
      <c r="I66" s="28">
        <f t="shared" si="5"/>
        <v>1.2457986111111112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12">
        <f>SUM(D65:D66)</f>
        <v>1024</v>
      </c>
      <c r="E67" s="212">
        <f>SUM(E65:E66)</f>
        <v>1308.3</v>
      </c>
      <c r="F67" s="31">
        <f t="shared" si="4"/>
        <v>1.27763671875</v>
      </c>
      <c r="G67" s="212">
        <f>SUM(G65:G66)</f>
        <v>6144</v>
      </c>
      <c r="H67" s="212">
        <f>SUM(H65:H66)</f>
        <v>7490</v>
      </c>
      <c r="I67" s="31">
        <f t="shared" si="5"/>
        <v>1.2190755208333333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08">
        <f>SUM(D62,D65)</f>
        <v>106</v>
      </c>
      <c r="E68" s="208">
        <f>SUM(E62,E65)</f>
        <v>34.700000000000003</v>
      </c>
      <c r="F68" s="32">
        <f t="shared" si="4"/>
        <v>0.32735849056603777</v>
      </c>
      <c r="G68" s="208">
        <f>SUM(G62,G65)</f>
        <v>622</v>
      </c>
      <c r="H68" s="208">
        <f>SUM(H62,H65)</f>
        <v>571.40000000000009</v>
      </c>
      <c r="I68" s="32">
        <f t="shared" si="5"/>
        <v>0.91864951768488756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08">
        <f>SUM(D63,D66)</f>
        <v>2004</v>
      </c>
      <c r="E69" s="208">
        <f>SUM(E63,E66)</f>
        <v>2522.3000000000002</v>
      </c>
      <c r="F69" s="32">
        <f t="shared" si="4"/>
        <v>1.2586327345309383</v>
      </c>
      <c r="G69" s="208">
        <f>SUM(G63,G66)</f>
        <v>12024</v>
      </c>
      <c r="H69" s="208">
        <f>SUM(H63,H66)</f>
        <v>14285.6</v>
      </c>
      <c r="I69" s="32">
        <f t="shared" si="5"/>
        <v>1.1880904856952761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16">
        <f>SUM(D68:D69)</f>
        <v>2110</v>
      </c>
      <c r="E70" s="216">
        <f>SUM(E68:E69)</f>
        <v>2557</v>
      </c>
      <c r="F70" s="34">
        <f t="shared" si="4"/>
        <v>1.2118483412322274</v>
      </c>
      <c r="G70" s="216">
        <f>SUM(G68:G69)</f>
        <v>12646</v>
      </c>
      <c r="H70" s="216">
        <f>SUM(H68:H69)</f>
        <v>14857</v>
      </c>
      <c r="I70" s="34">
        <f t="shared" si="5"/>
        <v>1.1748378934050292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2366.3999999999996</v>
      </c>
      <c r="E71" s="222">
        <v>104</v>
      </c>
      <c r="F71" s="28">
        <f t="shared" si="4"/>
        <v>4.3948613928329959E-2</v>
      </c>
      <c r="G71" s="179">
        <f>D71+'2018MAY'!G71</f>
        <v>7934.1999999999989</v>
      </c>
      <c r="H71" s="66">
        <f>E71+'2018MAY'!H71</f>
        <v>2572</v>
      </c>
      <c r="I71" s="28">
        <f t="shared" si="5"/>
        <v>0.32416626755060374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223">
        <f>E23-E71</f>
        <v>12383</v>
      </c>
      <c r="F72" s="28">
        <f t="shared" si="4"/>
        <v>1.1861111111111111</v>
      </c>
      <c r="G72" s="66">
        <f>D72+'2018MAY'!G72</f>
        <v>62640</v>
      </c>
      <c r="H72" s="66">
        <f>E72+'2018MAY'!H72</f>
        <v>71098</v>
      </c>
      <c r="I72" s="28">
        <f t="shared" si="5"/>
        <v>1.1350255427841636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20">
        <f>SUM(D71:D72)</f>
        <v>12806.4</v>
      </c>
      <c r="E73" s="220">
        <f>SUM(E71:E72)</f>
        <v>12487</v>
      </c>
      <c r="F73" s="30">
        <f t="shared" si="4"/>
        <v>0.9750593453273364</v>
      </c>
      <c r="G73" s="220">
        <f>SUM(G71:G72)</f>
        <v>70574.2</v>
      </c>
      <c r="H73" s="220">
        <f>SUM(H71:H72)</f>
        <v>73670</v>
      </c>
      <c r="I73" s="30">
        <f t="shared" si="5"/>
        <v>1.0438658886675301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3840</v>
      </c>
      <c r="E74" s="222">
        <v>243</v>
      </c>
      <c r="F74" s="28">
        <f t="shared" si="4"/>
        <v>6.3281249999999997E-2</v>
      </c>
      <c r="G74" s="179">
        <f>D74+'2018MAY'!G74</f>
        <v>13440</v>
      </c>
      <c r="H74" s="66">
        <f>E74+'2018MAY'!H74</f>
        <v>3142</v>
      </c>
      <c r="I74" s="28">
        <f t="shared" si="5"/>
        <v>0.23377976190476191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223">
        <f>E25-E74</f>
        <v>12840</v>
      </c>
      <c r="F75" s="28">
        <f t="shared" si="4"/>
        <v>1.3374999999999999</v>
      </c>
      <c r="G75" s="66">
        <f>D75+'2018MAY'!G75</f>
        <v>57600</v>
      </c>
      <c r="H75" s="66">
        <f>E75+'2018MAY'!H75</f>
        <v>71758</v>
      </c>
      <c r="I75" s="28">
        <f t="shared" si="5"/>
        <v>1.245798611111111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12">
        <f>SUM(D74:D75)</f>
        <v>13440</v>
      </c>
      <c r="E76" s="212">
        <f>SUM(E74:E75)</f>
        <v>13083</v>
      </c>
      <c r="F76" s="31">
        <f t="shared" si="4"/>
        <v>0.97343749999999996</v>
      </c>
      <c r="G76" s="212">
        <f>SUM(G74:G75)</f>
        <v>71040</v>
      </c>
      <c r="H76" s="212">
        <f>SUM(H74:H75)</f>
        <v>74900</v>
      </c>
      <c r="I76" s="31">
        <f t="shared" si="5"/>
        <v>1.0543355855855856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08">
        <f>SUM(D71,D74)</f>
        <v>6206.4</v>
      </c>
      <c r="E77" s="208">
        <f>SUM(E71,E74)</f>
        <v>347</v>
      </c>
      <c r="F77" s="32">
        <f t="shared" si="4"/>
        <v>5.5910028357824187E-2</v>
      </c>
      <c r="G77" s="208">
        <f>SUM(G71,G74)</f>
        <v>21374.199999999997</v>
      </c>
      <c r="H77" s="208">
        <f>SUM(H71,H74)</f>
        <v>5714</v>
      </c>
      <c r="I77" s="32">
        <f t="shared" si="5"/>
        <v>0.26733164282171967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08">
        <f>SUM(D72,D75)</f>
        <v>20040</v>
      </c>
      <c r="E78" s="208">
        <f>SUM(E72,E75)</f>
        <v>25223</v>
      </c>
      <c r="F78" s="32">
        <f t="shared" si="4"/>
        <v>1.258632734530938</v>
      </c>
      <c r="G78" s="208">
        <f>SUM(G72,G75)</f>
        <v>120240</v>
      </c>
      <c r="H78" s="208">
        <f>SUM(H72,H75)</f>
        <v>142856</v>
      </c>
      <c r="I78" s="32">
        <f t="shared" si="5"/>
        <v>1.1880904856952761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16">
        <f>SUM(D77:D78)</f>
        <v>26246.400000000001</v>
      </c>
      <c r="E79" s="216">
        <f>SUM(E77:E78)</f>
        <v>25570</v>
      </c>
      <c r="F79" s="34">
        <f t="shared" si="4"/>
        <v>0.97422884662277487</v>
      </c>
      <c r="G79" s="216">
        <f>SUM(G77:G78)</f>
        <v>141614.20000000001</v>
      </c>
      <c r="H79" s="216">
        <f>SUM(H77:H78)</f>
        <v>148570</v>
      </c>
      <c r="I79" s="34">
        <f t="shared" si="5"/>
        <v>1.0491179556852348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359</v>
      </c>
      <c r="E87" s="130"/>
      <c r="F87" s="134">
        <f>D87+'2018MAY'!F87</f>
        <v>2118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</v>
      </c>
      <c r="E88" s="128"/>
      <c r="F88" s="134">
        <f>D88+'2018MAY'!F88</f>
        <v>74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</v>
      </c>
      <c r="E89" s="128">
        <f>D89/D87</f>
        <v>1.1142061281337047E-2</v>
      </c>
      <c r="F89" s="134">
        <f>D89+'2018MAY'!F89</f>
        <v>9</v>
      </c>
      <c r="G89" s="128">
        <f>F89/F87</f>
        <v>4.24929178470255E-3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</v>
      </c>
      <c r="E90" s="128">
        <f>D90/D92</f>
        <v>2.2727272727272728E-2</v>
      </c>
      <c r="F90" s="134">
        <f>D90+'2018MAY'!F90</f>
        <v>121</v>
      </c>
      <c r="G90" s="128">
        <f>F90/F92</f>
        <v>0.10033167495854063</v>
      </c>
      <c r="H90" s="128"/>
    </row>
    <row r="91" spans="1:13" ht="15" customHeight="1">
      <c r="A91" s="775"/>
      <c r="B91" s="776" t="s">
        <v>202</v>
      </c>
      <c r="C91" s="776"/>
      <c r="D91" s="131">
        <v>222</v>
      </c>
      <c r="E91" s="128">
        <f>D91/D92</f>
        <v>1.009090909090909</v>
      </c>
      <c r="F91" s="134">
        <f>D91+'2018MAY'!F91</f>
        <v>1169</v>
      </c>
      <c r="G91" s="128">
        <f>F91/F92</f>
        <v>0.96932006633499168</v>
      </c>
      <c r="H91" s="128"/>
    </row>
    <row r="92" spans="1:13" ht="15" customHeight="1">
      <c r="A92" s="775"/>
      <c r="B92" s="776" t="s">
        <v>203</v>
      </c>
      <c r="C92" s="776"/>
      <c r="D92" s="131">
        <v>220</v>
      </c>
      <c r="E92" s="130"/>
      <c r="F92" s="134">
        <f>D92+'2018MAY'!F92</f>
        <v>1206</v>
      </c>
      <c r="G92" s="130"/>
      <c r="H92" s="128"/>
    </row>
    <row r="93" spans="1:13">
      <c r="C93" s="126" t="s">
        <v>210</v>
      </c>
      <c r="D93" s="132">
        <v>579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15" t="s">
        <v>23</v>
      </c>
      <c r="E97" s="215" t="s">
        <v>24</v>
      </c>
      <c r="F97" s="215" t="s">
        <v>25</v>
      </c>
      <c r="G97" s="215" t="s">
        <v>23</v>
      </c>
      <c r="H97" s="215" t="s">
        <v>24</v>
      </c>
      <c r="I97" s="215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22">
        <v>0</v>
      </c>
      <c r="F98" s="37" t="e">
        <f>E98/D98</f>
        <v>#DIV/0!</v>
      </c>
      <c r="G98" s="66">
        <f>D98+'2018MAY'!G98</f>
        <v>0</v>
      </c>
      <c r="H98" s="66">
        <f>E98+'2018MAY'!H98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22">
        <v>40</v>
      </c>
      <c r="F99" s="28">
        <f t="shared" ref="F99:F115" si="6">E99/D99</f>
        <v>0.97560975609756095</v>
      </c>
      <c r="G99" s="66">
        <f>D99+'2018MAY'!G99</f>
        <v>246</v>
      </c>
      <c r="H99" s="66">
        <f>E99+'2018MAY'!H99</f>
        <v>246</v>
      </c>
      <c r="I99" s="28">
        <f t="shared" ref="I99:I115" si="7">H99/G99</f>
        <v>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20">
        <f>SUM(D98:D99)</f>
        <v>41</v>
      </c>
      <c r="E100" s="220">
        <f>SUM(E98:E99)</f>
        <v>40</v>
      </c>
      <c r="F100" s="30">
        <f t="shared" si="6"/>
        <v>0.97560975609756095</v>
      </c>
      <c r="G100" s="220">
        <f>SUM(G98:G99)</f>
        <v>246</v>
      </c>
      <c r="H100" s="220">
        <f>SUM(H98:H99)</f>
        <v>247</v>
      </c>
      <c r="I100" s="30">
        <f t="shared" si="7"/>
        <v>1.0040650406504066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22">
        <v>0</v>
      </c>
      <c r="F101" s="28" t="e">
        <f t="shared" si="6"/>
        <v>#DIV/0!</v>
      </c>
      <c r="G101" s="66">
        <f>D101+'2018MAY'!G101</f>
        <v>0</v>
      </c>
      <c r="H101" s="66">
        <f>E101+'2018MAY'!H101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22">
        <v>9</v>
      </c>
      <c r="F102" s="28">
        <f t="shared" si="6"/>
        <v>0.81818181818181823</v>
      </c>
      <c r="G102" s="66">
        <f>D102+'2018MAY'!G102</f>
        <v>66</v>
      </c>
      <c r="H102" s="66">
        <f>E102+'2018MAY'!H102</f>
        <v>60</v>
      </c>
      <c r="I102" s="28">
        <f t="shared" si="7"/>
        <v>0.90909090909090906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20">
        <f>SUM(D101:D102)</f>
        <v>11</v>
      </c>
      <c r="E103" s="220">
        <f>SUM(E101:E102)</f>
        <v>9</v>
      </c>
      <c r="F103" s="30">
        <f t="shared" si="6"/>
        <v>0.81818181818181823</v>
      </c>
      <c r="G103" s="220">
        <f>SUM(G101:G102)</f>
        <v>66</v>
      </c>
      <c r="H103" s="220">
        <f>SUM(H101:H102)</f>
        <v>60</v>
      </c>
      <c r="I103" s="30">
        <f t="shared" si="7"/>
        <v>0.90909090909090906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22">
        <v>1</v>
      </c>
      <c r="F104" s="28" t="e">
        <f t="shared" si="6"/>
        <v>#DIV/0!</v>
      </c>
      <c r="G104" s="66">
        <f>D104+'2018MAY'!G104</f>
        <v>0</v>
      </c>
      <c r="H104" s="66">
        <f>E104+'2018MAY'!H104</f>
        <v>6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22">
        <v>61</v>
      </c>
      <c r="F105" s="28">
        <f t="shared" si="6"/>
        <v>0.96825396825396826</v>
      </c>
      <c r="G105" s="66">
        <f>D105+'2018MAY'!G105</f>
        <v>378</v>
      </c>
      <c r="H105" s="66">
        <f>E105+'2018MAY'!H105</f>
        <v>351</v>
      </c>
      <c r="I105" s="28">
        <f t="shared" si="7"/>
        <v>0.9285714285714286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20">
        <f>SUM(D104:D105)</f>
        <v>63</v>
      </c>
      <c r="E106" s="220">
        <f>SUM(E104:E105)</f>
        <v>62</v>
      </c>
      <c r="F106" s="30">
        <f t="shared" si="6"/>
        <v>0.98412698412698407</v>
      </c>
      <c r="G106" s="220">
        <f>SUM(G104:G105)</f>
        <v>378</v>
      </c>
      <c r="H106" s="220">
        <f>SUM(H104:H105)</f>
        <v>357</v>
      </c>
      <c r="I106" s="30">
        <f t="shared" si="7"/>
        <v>0.94444444444444442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22">
        <v>0</v>
      </c>
      <c r="F107" s="28">
        <f>E107/D107</f>
        <v>0</v>
      </c>
      <c r="G107" s="66">
        <f>D107+'2018MAY'!G107</f>
        <v>10</v>
      </c>
      <c r="H107" s="66">
        <f>E107+'2018MAY'!H107</f>
        <v>16</v>
      </c>
      <c r="I107" s="28">
        <f>H107/G107</f>
        <v>1.6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108</v>
      </c>
      <c r="E108" s="222">
        <v>107</v>
      </c>
      <c r="F108" s="28">
        <f>E108/D108</f>
        <v>0.9907407407407407</v>
      </c>
      <c r="G108" s="66">
        <f>D108+'2018MAY'!G108</f>
        <v>620</v>
      </c>
      <c r="H108" s="66">
        <f>E108+'2018MAY'!H108</f>
        <v>612</v>
      </c>
      <c r="I108" s="28">
        <f t="shared" si="7"/>
        <v>0.98709677419354835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20">
        <f>SUM(D107:D108)</f>
        <v>110</v>
      </c>
      <c r="E109" s="220">
        <f>SUM(E107:E108)</f>
        <v>107</v>
      </c>
      <c r="F109" s="30">
        <f t="shared" si="6"/>
        <v>0.97272727272727277</v>
      </c>
      <c r="G109" s="220">
        <f>SUM(G107:G108)</f>
        <v>630</v>
      </c>
      <c r="H109" s="220">
        <f>SUM(H107:H108)</f>
        <v>628</v>
      </c>
      <c r="I109" s="30">
        <f t="shared" si="7"/>
        <v>0.99682539682539684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22">
        <v>1</v>
      </c>
      <c r="F110" s="30">
        <f>E110/D110</f>
        <v>0.125</v>
      </c>
      <c r="G110" s="66">
        <f>D110+'2018MAY'!G110</f>
        <v>48</v>
      </c>
      <c r="H110" s="66">
        <f>E110+'2018MAY'!H110</f>
        <v>35</v>
      </c>
      <c r="I110" s="30">
        <f>H110/G110</f>
        <v>0.72916666666666663</v>
      </c>
      <c r="J110" s="209"/>
      <c r="K110" s="210"/>
      <c r="L110" s="210"/>
      <c r="M110" s="211"/>
    </row>
    <row r="111" spans="1:13">
      <c r="A111" s="553"/>
      <c r="B111" s="803"/>
      <c r="C111" s="27" t="s">
        <v>70</v>
      </c>
      <c r="D111" s="65">
        <v>40</v>
      </c>
      <c r="E111" s="222">
        <v>36</v>
      </c>
      <c r="F111" s="30">
        <f t="shared" ref="F111:F112" si="8">E111/D111</f>
        <v>0.9</v>
      </c>
      <c r="G111" s="66">
        <f>D111+'2018MAY'!G111</f>
        <v>120</v>
      </c>
      <c r="H111" s="66">
        <f>E111+'2018MAY'!H111</f>
        <v>164</v>
      </c>
      <c r="I111" s="30">
        <f t="shared" ref="I111:I112" si="9">H111/G111</f>
        <v>1.3666666666666667</v>
      </c>
      <c r="J111" s="209"/>
      <c r="K111" s="210"/>
      <c r="L111" s="210"/>
      <c r="M111" s="211"/>
    </row>
    <row r="112" spans="1:13">
      <c r="A112" s="553"/>
      <c r="B112" s="804"/>
      <c r="C112" s="38" t="s">
        <v>166</v>
      </c>
      <c r="D112" s="220">
        <f>SUM(D110:D111)</f>
        <v>48</v>
      </c>
      <c r="E112" s="220">
        <f>SUM(E110:E111)</f>
        <v>37</v>
      </c>
      <c r="F112" s="30">
        <f t="shared" si="8"/>
        <v>0.77083333333333337</v>
      </c>
      <c r="G112" s="220">
        <f>SUM(G110:G111)</f>
        <v>168</v>
      </c>
      <c r="H112" s="220">
        <f>SUM(H110:H111)</f>
        <v>199</v>
      </c>
      <c r="I112" s="30">
        <f t="shared" si="9"/>
        <v>1.1845238095238095</v>
      </c>
      <c r="J112" s="209"/>
      <c r="K112" s="210"/>
      <c r="L112" s="210"/>
      <c r="M112" s="211"/>
    </row>
    <row r="113" spans="1:13">
      <c r="A113" s="553"/>
      <c r="B113" s="611" t="s">
        <v>46</v>
      </c>
      <c r="C113" s="39" t="s">
        <v>69</v>
      </c>
      <c r="D113" s="212">
        <f>SUM(D98,D101,D104,D107,D110)</f>
        <v>10</v>
      </c>
      <c r="E113" s="212">
        <f>SUM(E98,E101,E104,E107,E110)</f>
        <v>2</v>
      </c>
      <c r="F113" s="31">
        <f t="shared" si="6"/>
        <v>0.2</v>
      </c>
      <c r="G113" s="212">
        <f>SUM(G98,G101,G104,G107,G110)</f>
        <v>58</v>
      </c>
      <c r="H113" s="212">
        <f>SUM(H98,H101,H104,H107,H110)</f>
        <v>58</v>
      </c>
      <c r="I113" s="31">
        <f t="shared" si="7"/>
        <v>1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12">
        <f>SUM(D99,D102,D105,D108,D111)</f>
        <v>263</v>
      </c>
      <c r="E114" s="212">
        <f>SUM(E99,E102,E105,E108,E111)</f>
        <v>253</v>
      </c>
      <c r="F114" s="31">
        <f t="shared" si="6"/>
        <v>0.96197718631178708</v>
      </c>
      <c r="G114" s="212">
        <f>SUM(G99,G102,G105,G108,G111)</f>
        <v>1430</v>
      </c>
      <c r="H114" s="212">
        <f>SUM(H99,H102,H105,H108,H111)</f>
        <v>1433</v>
      </c>
      <c r="I114" s="31">
        <f t="shared" si="7"/>
        <v>1.0020979020979022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13">
        <f>SUM(D113:D114)</f>
        <v>273</v>
      </c>
      <c r="E115" s="213">
        <f>SUM(E113:E114)</f>
        <v>255</v>
      </c>
      <c r="F115" s="41">
        <f t="shared" si="6"/>
        <v>0.93406593406593408</v>
      </c>
      <c r="G115" s="213">
        <f>SUM(G113:G114)</f>
        <v>1488</v>
      </c>
      <c r="H115" s="213">
        <f>SUM(H113:H114)</f>
        <v>1491</v>
      </c>
      <c r="I115" s="41">
        <f t="shared" si="7"/>
        <v>1.002016129032258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D116+'2018MAY'!G116</f>
        <v>10</v>
      </c>
      <c r="H116" s="70">
        <f>E116+'2018MAY'!H116</f>
        <v>11</v>
      </c>
      <c r="I116" s="43">
        <f>H116/G116</f>
        <v>1.1000000000000001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56</v>
      </c>
      <c r="E117" s="222">
        <v>57</v>
      </c>
      <c r="F117" s="28">
        <f t="shared" ref="F117:F126" si="10">E117/D117</f>
        <v>1.0178571428571428</v>
      </c>
      <c r="G117" s="71">
        <f>D117+'2018MAY'!G117</f>
        <v>308</v>
      </c>
      <c r="H117" s="71">
        <f>E117+'2018MAY'!H117</f>
        <v>336</v>
      </c>
      <c r="I117" s="28">
        <f t="shared" ref="I117:I126" si="11">H117/G117</f>
        <v>1.0909090909090908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20">
        <f>SUM(D116:D117)</f>
        <v>58</v>
      </c>
      <c r="E118" s="220">
        <f>SUM(E116:E117)</f>
        <v>58</v>
      </c>
      <c r="F118" s="30">
        <f t="shared" si="10"/>
        <v>1</v>
      </c>
      <c r="G118" s="220">
        <f>SUM(G116:G117)</f>
        <v>318</v>
      </c>
      <c r="H118" s="220">
        <f>SUM(H116:H117)</f>
        <v>347</v>
      </c>
      <c r="I118" s="30">
        <f t="shared" si="11"/>
        <v>1.0911949685534592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22">
        <v>0</v>
      </c>
      <c r="F119" s="28" t="e">
        <f t="shared" si="10"/>
        <v>#DIV/0!</v>
      </c>
      <c r="G119" s="66">
        <f>D119+'2018MAY'!G119</f>
        <v>0</v>
      </c>
      <c r="H119" s="66">
        <f>E119+'2018MAY'!H119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22">
        <v>46</v>
      </c>
      <c r="F120" s="28">
        <f t="shared" si="10"/>
        <v>1.2432432432432432</v>
      </c>
      <c r="G120" s="66">
        <f>D120+'2018MAY'!G120</f>
        <v>222</v>
      </c>
      <c r="H120" s="66">
        <f>E120+'2018MAY'!H120</f>
        <v>275</v>
      </c>
      <c r="I120" s="28">
        <f t="shared" si="11"/>
        <v>1.2387387387387387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20">
        <f>SUM(D119:D120)</f>
        <v>37</v>
      </c>
      <c r="E121" s="220">
        <f>SUM(E119:E120)</f>
        <v>46</v>
      </c>
      <c r="F121" s="30">
        <f t="shared" si="10"/>
        <v>1.2432432432432432</v>
      </c>
      <c r="G121" s="220">
        <f>SUM(G119:G120)</f>
        <v>222</v>
      </c>
      <c r="H121" s="220">
        <f>SUM(H119:H120)</f>
        <v>280</v>
      </c>
      <c r="I121" s="30">
        <f t="shared" si="11"/>
        <v>1.2612612612612613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12">
        <f>SUM(D116,D119)</f>
        <v>2</v>
      </c>
      <c r="E122" s="212">
        <f>SUM(E116,E119)</f>
        <v>1</v>
      </c>
      <c r="F122" s="30">
        <f t="shared" si="10"/>
        <v>0.5</v>
      </c>
      <c r="G122" s="212">
        <f>SUM(G116,G119)</f>
        <v>10</v>
      </c>
      <c r="H122" s="212">
        <f>SUM(H116,H119)</f>
        <v>16</v>
      </c>
      <c r="I122" s="30">
        <f t="shared" si="11"/>
        <v>1.6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12">
        <f>SUM(D117,D120)</f>
        <v>93</v>
      </c>
      <c r="E123" s="212">
        <f>SUM(E117,E120)</f>
        <v>103</v>
      </c>
      <c r="F123" s="30">
        <f t="shared" si="10"/>
        <v>1.10752688172043</v>
      </c>
      <c r="G123" s="212">
        <f>SUM(G117,G120)</f>
        <v>530</v>
      </c>
      <c r="H123" s="212">
        <f>SUM(H117,H120)</f>
        <v>611</v>
      </c>
      <c r="I123" s="30">
        <f t="shared" si="11"/>
        <v>1.1528301886792454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13">
        <f>SUM(D122:D123)</f>
        <v>95</v>
      </c>
      <c r="E124" s="213">
        <f>SUM(E122:E123)</f>
        <v>104</v>
      </c>
      <c r="F124" s="41">
        <f t="shared" si="10"/>
        <v>1.0947368421052632</v>
      </c>
      <c r="G124" s="213">
        <f>SUM(G122:G123)</f>
        <v>540</v>
      </c>
      <c r="H124" s="213">
        <f>SUM(H122:H123)</f>
        <v>627</v>
      </c>
      <c r="I124" s="41">
        <f t="shared" si="11"/>
        <v>1.1611111111111112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07">
        <f>SUM(D113,D122)</f>
        <v>12</v>
      </c>
      <c r="E125" s="207">
        <f>SUM(E113,E122)</f>
        <v>3</v>
      </c>
      <c r="F125" s="45">
        <f t="shared" si="10"/>
        <v>0.25</v>
      </c>
      <c r="G125" s="46">
        <f>SUM(G113,G122)</f>
        <v>68</v>
      </c>
      <c r="H125" s="46">
        <f>SUM(H113,H122)</f>
        <v>74</v>
      </c>
      <c r="I125" s="45">
        <f t="shared" si="11"/>
        <v>1.088235294117647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08">
        <f>SUM(D114,D123)</f>
        <v>356</v>
      </c>
      <c r="E126" s="208">
        <f>SUM(E114,E123)</f>
        <v>356</v>
      </c>
      <c r="F126" s="32">
        <f t="shared" si="10"/>
        <v>1</v>
      </c>
      <c r="G126" s="208">
        <f>SUM(G114,G123)</f>
        <v>1960</v>
      </c>
      <c r="H126" s="208">
        <f>SUM(H114,H123)</f>
        <v>2044</v>
      </c>
      <c r="I126" s="32">
        <f t="shared" si="11"/>
        <v>1.0428571428571429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08">
        <f>SUM(D125:D126)</f>
        <v>368</v>
      </c>
      <c r="E127" s="208">
        <f>SUM(E125:E126)</f>
        <v>359</v>
      </c>
      <c r="F127" s="49">
        <f>E127/D127</f>
        <v>0.97554347826086951</v>
      </c>
      <c r="G127" s="207">
        <f>SUM(G125:G126)</f>
        <v>2028</v>
      </c>
      <c r="H127" s="207">
        <f>SUM(H125:H126)</f>
        <v>2118</v>
      </c>
      <c r="I127" s="49">
        <f>H127/G127</f>
        <v>1.044378698224852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81</v>
      </c>
      <c r="D135" s="592"/>
      <c r="E135" s="591">
        <v>3</v>
      </c>
      <c r="F135" s="592"/>
      <c r="G135" s="591">
        <v>1</v>
      </c>
      <c r="H135" s="592"/>
      <c r="I135" s="591">
        <v>9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0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0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0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06" t="s">
        <v>99</v>
      </c>
      <c r="C140" s="590">
        <v>779</v>
      </c>
      <c r="D140" s="590"/>
      <c r="E140" s="590">
        <v>44</v>
      </c>
      <c r="F140" s="590"/>
      <c r="G140" s="590">
        <v>3</v>
      </c>
      <c r="H140" s="590"/>
      <c r="I140" s="772">
        <v>5024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223</v>
      </c>
      <c r="D146" s="736"/>
      <c r="E146" s="737"/>
      <c r="F146" s="750" t="s">
        <v>224</v>
      </c>
      <c r="G146" s="754"/>
      <c r="H146" s="754"/>
      <c r="I146" s="755"/>
      <c r="J146" s="751" t="s">
        <v>224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04" t="s">
        <v>109</v>
      </c>
      <c r="C154" s="204" t="s">
        <v>110</v>
      </c>
      <c r="D154" s="204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'2018MAY'!H155</f>
        <v>80993</v>
      </c>
      <c r="C155" s="63">
        <f>E45-E44</f>
        <v>35499</v>
      </c>
      <c r="D155" s="73">
        <v>81072</v>
      </c>
      <c r="E155" s="531" t="s">
        <v>114</v>
      </c>
      <c r="F155" s="531"/>
      <c r="G155" s="531"/>
      <c r="H155" s="72">
        <f>C155+A155+B155-D155</f>
        <v>35420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15412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23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18293</v>
      </c>
      <c r="H165" s="778"/>
      <c r="I165" s="779"/>
      <c r="J165" s="779"/>
      <c r="K165" s="780"/>
    </row>
    <row r="166" spans="1:11" ht="14">
      <c r="A166" s="203" t="s">
        <v>126</v>
      </c>
      <c r="B166" s="777" t="s">
        <v>127</v>
      </c>
      <c r="C166" s="777"/>
      <c r="D166" s="777"/>
      <c r="E166" s="777"/>
      <c r="F166" s="777"/>
      <c r="G166" s="222">
        <v>1920</v>
      </c>
      <c r="H166" s="778"/>
      <c r="I166" s="779"/>
      <c r="J166" s="779"/>
      <c r="K166" s="780"/>
    </row>
    <row r="167" spans="1:11" ht="14">
      <c r="A167" s="203" t="s">
        <v>128</v>
      </c>
      <c r="B167" s="777" t="s">
        <v>129</v>
      </c>
      <c r="C167" s="777"/>
      <c r="D167" s="777"/>
      <c r="E167" s="777"/>
      <c r="F167" s="777"/>
      <c r="G167" s="223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0000000-0002-0000-1200-000000000000}">
      <formula1>"Jan, Feb, March, April, May, June, July, Aug, Sep, Oct, Nov, Dec"</formula1>
    </dataValidation>
    <dataValidation type="list" allowBlank="1" showInputMessage="1" showErrorMessage="1" sqref="L3" xr:uid="{00000000-0002-0000-12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pageSetUpPr fitToPage="1"/>
  </sheetPr>
  <dimension ref="A1:N167"/>
  <sheetViews>
    <sheetView topLeftCell="A22" zoomScale="98" zoomScaleNormal="98" zoomScaleSheetLayoutView="85" workbookViewId="0">
      <selection activeCell="D151" sqref="D15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144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43325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2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24" t="s">
        <v>176</v>
      </c>
      <c r="C10" s="61">
        <v>2</v>
      </c>
      <c r="D10" s="227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24" t="s">
        <v>177</v>
      </c>
      <c r="C11" s="61">
        <v>2</v>
      </c>
      <c r="D11" s="227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24" t="s">
        <v>179</v>
      </c>
      <c r="C12" s="61">
        <v>2</v>
      </c>
      <c r="D12" s="227">
        <v>4</v>
      </c>
      <c r="E12" s="770" t="s">
        <v>238</v>
      </c>
      <c r="F12" s="691"/>
      <c r="G12" s="691"/>
      <c r="H12" s="691"/>
      <c r="I12" s="692"/>
    </row>
    <row r="13" spans="1:13">
      <c r="A13" s="690"/>
      <c r="B13" s="224" t="s">
        <v>180</v>
      </c>
      <c r="C13" s="61">
        <v>3</v>
      </c>
      <c r="D13" s="227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24" t="s">
        <v>12</v>
      </c>
      <c r="C14" s="61">
        <v>0</v>
      </c>
      <c r="D14" s="227">
        <v>0</v>
      </c>
      <c r="E14" s="693"/>
      <c r="F14" s="694"/>
      <c r="G14" s="694"/>
      <c r="H14" s="694"/>
      <c r="I14" s="695"/>
    </row>
    <row r="15" spans="1:13">
      <c r="A15" s="690"/>
      <c r="B15" s="224" t="s">
        <v>13</v>
      </c>
      <c r="C15" s="61">
        <v>2</v>
      </c>
      <c r="D15" s="227">
        <v>2</v>
      </c>
      <c r="E15" s="770" t="s">
        <v>232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26" t="s">
        <v>23</v>
      </c>
      <c r="E21" s="226" t="s">
        <v>24</v>
      </c>
      <c r="F21" s="226" t="s">
        <v>25</v>
      </c>
      <c r="G21" s="226" t="s">
        <v>23</v>
      </c>
      <c r="H21" s="226" t="s">
        <v>24</v>
      </c>
      <c r="I21" s="226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13224</v>
      </c>
      <c r="E23" s="227">
        <v>12417</v>
      </c>
      <c r="F23" s="14">
        <f t="shared" ref="F23:F28" si="0">E23/D23</f>
        <v>0.93897459165154262</v>
      </c>
      <c r="G23" s="179">
        <f>D23+'2018JUN'!G23</f>
        <v>83798.2</v>
      </c>
      <c r="H23" s="66">
        <f>E23+'2018JUN'!H23</f>
        <v>86087</v>
      </c>
      <c r="I23" s="14">
        <f t="shared" ref="I23:I28" si="1">H23/G23</f>
        <v>1.0273132358451613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28">
        <f>SUM(D23:D23)</f>
        <v>13224</v>
      </c>
      <c r="E24" s="228">
        <f>SUM(E23:E23)</f>
        <v>12417</v>
      </c>
      <c r="F24" s="16">
        <f t="shared" si="0"/>
        <v>0.93897459165154262</v>
      </c>
      <c r="G24" s="228">
        <f>SUM(G23:G23)</f>
        <v>83798.2</v>
      </c>
      <c r="H24" s="228">
        <f>SUM(H23:H23)</f>
        <v>86087</v>
      </c>
      <c r="I24" s="16">
        <f t="shared" si="1"/>
        <v>1.0273132358451613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14080</v>
      </c>
      <c r="E25" s="227">
        <v>13114</v>
      </c>
      <c r="F25" s="14">
        <f t="shared" si="0"/>
        <v>0.93139204545454546</v>
      </c>
      <c r="G25" s="179">
        <f>D25+'2018JUN'!G25</f>
        <v>85120</v>
      </c>
      <c r="H25" s="66">
        <f>E25+'2018JUN'!H25</f>
        <v>88014</v>
      </c>
      <c r="I25" s="14">
        <f t="shared" si="1"/>
        <v>1.0339990601503759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27">
        <v>0</v>
      </c>
      <c r="F26" s="14" t="e">
        <f t="shared" si="0"/>
        <v>#DIV/0!</v>
      </c>
      <c r="G26" s="224">
        <f>D26</f>
        <v>0</v>
      </c>
      <c r="H26" s="224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28">
        <f>SUM(D25:D26)</f>
        <v>14080</v>
      </c>
      <c r="E27" s="228">
        <f>SUM(E25:E26)</f>
        <v>13114</v>
      </c>
      <c r="F27" s="16">
        <f t="shared" si="0"/>
        <v>0.93139204545454546</v>
      </c>
      <c r="G27" s="228">
        <f>SUM(G25:G26)</f>
        <v>85120</v>
      </c>
      <c r="H27" s="228">
        <f>SUM(H25:H26)</f>
        <v>88014</v>
      </c>
      <c r="I27" s="16">
        <f t="shared" si="1"/>
        <v>1.0339990601503759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29">
        <f>SUM(D24,D27)</f>
        <v>27304</v>
      </c>
      <c r="E28" s="229">
        <f>SUM(E24,E27)</f>
        <v>25531</v>
      </c>
      <c r="F28" s="17">
        <f t="shared" si="0"/>
        <v>0.93506445941986527</v>
      </c>
      <c r="G28" s="229">
        <f>SUM(G24,G27)</f>
        <v>168918.2</v>
      </c>
      <c r="H28" s="229">
        <f>SUM(H24,H27)</f>
        <v>174101</v>
      </c>
      <c r="I28" s="17">
        <f t="shared" si="1"/>
        <v>1.0306823065838968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27">
        <f>6759-3070</f>
        <v>3689</v>
      </c>
      <c r="F30" s="14">
        <f>E30/D30</f>
        <v>3.6890000000000001</v>
      </c>
      <c r="G30" s="66">
        <f>D30+'2018JUN'!G30</f>
        <v>7000</v>
      </c>
      <c r="H30" s="66">
        <f>E30+'2018JUN'!H30</f>
        <v>22168</v>
      </c>
      <c r="I30" s="14">
        <f>H30/G30</f>
        <v>3.1668571428571428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27">
        <f>235+3070</f>
        <v>3305</v>
      </c>
      <c r="F31" s="14" t="e">
        <f t="shared" ref="F31:F47" si="2">E31/D31</f>
        <v>#DIV/0!</v>
      </c>
      <c r="G31" s="66">
        <f>D31+'2018JUN'!G31</f>
        <v>0</v>
      </c>
      <c r="H31" s="66">
        <f>E31+'2018JUN'!H31</f>
        <v>16339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28">
        <f>SUM(D30:D31)</f>
        <v>1000</v>
      </c>
      <c r="E32" s="228">
        <f>SUM(E30:E31)</f>
        <v>6994</v>
      </c>
      <c r="F32" s="14">
        <f t="shared" si="2"/>
        <v>6.9939999999999998</v>
      </c>
      <c r="G32" s="228">
        <f>SUM(G30:G31)</f>
        <v>7000</v>
      </c>
      <c r="H32" s="228">
        <f>SUM(H30:H31)</f>
        <v>38507</v>
      </c>
      <c r="I32" s="14">
        <f t="shared" si="3"/>
        <v>5.5010000000000003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27">
        <v>244</v>
      </c>
      <c r="F33" s="14">
        <f t="shared" si="2"/>
        <v>0.37538461538461537</v>
      </c>
      <c r="G33" s="66">
        <f>D33+'2018JUN'!G33</f>
        <v>4550</v>
      </c>
      <c r="H33" s="66">
        <f>E33+'2018JUN'!H33</f>
        <v>4976</v>
      </c>
      <c r="I33" s="14">
        <f t="shared" si="3"/>
        <v>1.0936263736263736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26">
        <f>SUM(D32,D33)</f>
        <v>1650</v>
      </c>
      <c r="E34" s="226">
        <f>SUM(E32,E33)</f>
        <v>7238</v>
      </c>
      <c r="F34" s="14">
        <f t="shared" si="2"/>
        <v>4.3866666666666667</v>
      </c>
      <c r="G34" s="226">
        <f>SUM(G32,G33)</f>
        <v>11550</v>
      </c>
      <c r="H34" s="226">
        <f>SUM(H32,H33)</f>
        <v>43483</v>
      </c>
      <c r="I34" s="14">
        <f t="shared" si="3"/>
        <v>3.764761904761905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24">
        <v>40435</v>
      </c>
      <c r="F35" s="14">
        <f t="shared" si="2"/>
        <v>1.1160024287922279</v>
      </c>
      <c r="G35" s="66">
        <f>D35+'2018JUN'!G35</f>
        <v>253624</v>
      </c>
      <c r="H35" s="66">
        <f>E35+'2018JUN'!H35</f>
        <v>40435</v>
      </c>
      <c r="I35" s="14">
        <f t="shared" si="3"/>
        <v>0.1594289183988897</v>
      </c>
      <c r="J35" s="623" t="s">
        <v>225</v>
      </c>
      <c r="K35" s="623"/>
      <c r="L35" s="623"/>
      <c r="M35" s="664"/>
    </row>
    <row r="36" spans="1:13">
      <c r="A36" s="553"/>
      <c r="B36" s="554"/>
      <c r="C36" s="128" t="s">
        <v>40</v>
      </c>
      <c r="D36" s="224"/>
      <c r="E36" s="224"/>
      <c r="F36" s="14" t="e">
        <f t="shared" si="2"/>
        <v>#DIV/0!</v>
      </c>
      <c r="G36" s="224"/>
      <c r="H36" s="224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28">
        <f>SUM(D35:D36)</f>
        <v>36232</v>
      </c>
      <c r="E37" s="228">
        <f>SUM(E35:E36)</f>
        <v>40435</v>
      </c>
      <c r="F37" s="16">
        <f t="shared" si="2"/>
        <v>1.1160024287922279</v>
      </c>
      <c r="G37" s="244">
        <f>SUM(G35:G36)</f>
        <v>253624</v>
      </c>
      <c r="H37" s="244">
        <f>SUM(H35:H36)</f>
        <v>40435</v>
      </c>
      <c r="I37" s="16">
        <f t="shared" si="3"/>
        <v>0.1594289183988897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27">
        <v>0</v>
      </c>
      <c r="F38" s="14">
        <f t="shared" si="2"/>
        <v>0</v>
      </c>
      <c r="G38" s="66">
        <f>D38+'2018JUN'!G38</f>
        <v>7700</v>
      </c>
      <c r="H38" s="66">
        <f>E38+'2018JUN'!H38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24"/>
      <c r="E39" s="224"/>
      <c r="F39" s="14" t="e">
        <f t="shared" si="2"/>
        <v>#DIV/0!</v>
      </c>
      <c r="G39" s="224"/>
      <c r="H39" s="224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28">
        <f>SUM(D38:D39)</f>
        <v>1100</v>
      </c>
      <c r="E40" s="228">
        <f>SUM(E38:E39)</f>
        <v>0</v>
      </c>
      <c r="F40" s="16">
        <f t="shared" si="2"/>
        <v>0</v>
      </c>
      <c r="G40" s="228">
        <f>SUM(G38:G39)</f>
        <v>7700</v>
      </c>
      <c r="H40" s="228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26">
        <f>SUM(D37,D40)</f>
        <v>37332</v>
      </c>
      <c r="E41" s="226">
        <f>SUM(E37,E40)</f>
        <v>40435</v>
      </c>
      <c r="F41" s="19">
        <f t="shared" si="2"/>
        <v>1.0831190399657131</v>
      </c>
      <c r="G41" s="226">
        <f>SUM(G37,G40)</f>
        <v>261324</v>
      </c>
      <c r="H41" s="226">
        <f>SUM(H37,H40)</f>
        <v>40435</v>
      </c>
      <c r="I41" s="19">
        <f t="shared" si="3"/>
        <v>0.15473129142367328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26227</v>
      </c>
      <c r="F42" s="21">
        <f t="shared" si="2"/>
        <v>2.1855833333333332</v>
      </c>
      <c r="G42" s="180">
        <f>D42+'2018JUN'!G42</f>
        <v>79500</v>
      </c>
      <c r="H42" s="77">
        <f>E42+'2018JUN'!H42</f>
        <v>124933</v>
      </c>
      <c r="I42" s="21">
        <f t="shared" si="3"/>
        <v>1.5714842767295598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870</v>
      </c>
      <c r="F43" s="21">
        <f t="shared" si="2"/>
        <v>0.14499999999999999</v>
      </c>
      <c r="G43" s="247">
        <f>D43+'2018JUN'!G43</f>
        <v>30000</v>
      </c>
      <c r="H43" s="68">
        <f>E43+'2018JUN'!H43</f>
        <v>870</v>
      </c>
      <c r="I43" s="21">
        <f t="shared" si="3"/>
        <v>2.9000000000000001E-2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100000</v>
      </c>
      <c r="F44" s="21">
        <f t="shared" si="2"/>
        <v>2.9850746268656718</v>
      </c>
      <c r="G44" s="247">
        <f>D44+'2018JUN'!G44</f>
        <v>234500</v>
      </c>
      <c r="H44" s="180">
        <f>E44+'2018JUN'!H44</f>
        <v>299970</v>
      </c>
      <c r="I44" s="21">
        <f t="shared" si="3"/>
        <v>1.2791897654584221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32">
        <f>SUM(D28,D34,D41,D42:D44)</f>
        <v>117786</v>
      </c>
      <c r="E45" s="78">
        <f>SUM(E28,E34,E41,E42:E44)</f>
        <v>200301</v>
      </c>
      <c r="F45" s="22">
        <f t="shared" si="2"/>
        <v>1.7005501502725282</v>
      </c>
      <c r="G45" s="232">
        <f>SUM(G28,G34,G41,G42:G44)</f>
        <v>785792.2</v>
      </c>
      <c r="H45" s="232">
        <f>SUM(H28,H34,H41,H42:H44)</f>
        <v>683792</v>
      </c>
      <c r="I45" s="22">
        <f t="shared" si="3"/>
        <v>0.87019443562814702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32">
        <f>D45-D42</f>
        <v>105786</v>
      </c>
      <c r="E46" s="232">
        <f>E45-E42</f>
        <v>174074</v>
      </c>
      <c r="F46" s="22">
        <f t="shared" si="2"/>
        <v>1.645529654207551</v>
      </c>
      <c r="G46" s="232">
        <f>G45-G42</f>
        <v>706292.2</v>
      </c>
      <c r="H46" s="232">
        <f>H45-H42</f>
        <v>558859</v>
      </c>
      <c r="I46" s="22">
        <f t="shared" si="3"/>
        <v>0.79125749937490464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30">
        <f>D46-D44</f>
        <v>72286</v>
      </c>
      <c r="E47" s="230">
        <f>E46-E44</f>
        <v>74074</v>
      </c>
      <c r="F47" s="23">
        <f t="shared" si="2"/>
        <v>1.0247350800984976</v>
      </c>
      <c r="G47" s="230">
        <f>G46-G44</f>
        <v>471792.19999999995</v>
      </c>
      <c r="H47" s="230">
        <f>H46-H44</f>
        <v>258889</v>
      </c>
      <c r="I47" s="23">
        <f t="shared" si="3"/>
        <v>0.54873522707666644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31" t="s">
        <v>23</v>
      </c>
      <c r="E52" s="231" t="s">
        <v>24</v>
      </c>
      <c r="F52" s="231" t="s">
        <v>25</v>
      </c>
      <c r="G52" s="231" t="s">
        <v>23</v>
      </c>
      <c r="H52" s="231" t="s">
        <v>24</v>
      </c>
      <c r="I52" s="231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27">
        <v>2</v>
      </c>
      <c r="F53" s="28">
        <f t="shared" ref="F53:F79" si="4">E53/D53</f>
        <v>0.16666666666666666</v>
      </c>
      <c r="G53" s="66">
        <f>D53+'2018JUN'!G53</f>
        <v>80</v>
      </c>
      <c r="H53" s="66">
        <f>E53+'2018JUN'!H53</f>
        <v>76</v>
      </c>
      <c r="I53" s="28">
        <f t="shared" ref="I53:I79" si="5">H53/G53</f>
        <v>0.95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27">
        <v>355</v>
      </c>
      <c r="F54" s="28">
        <f t="shared" si="4"/>
        <v>1.1833333333333333</v>
      </c>
      <c r="G54" s="66">
        <f>D54+'2018JUN'!G54</f>
        <v>2100</v>
      </c>
      <c r="H54" s="66">
        <f>E54+'2018JUN'!H54</f>
        <v>2399</v>
      </c>
      <c r="I54" s="28">
        <f t="shared" si="5"/>
        <v>1.1423809523809523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28">
        <f>SUM(D53:D54)</f>
        <v>312</v>
      </c>
      <c r="E55" s="228">
        <f>SUM(E53:E54)</f>
        <v>357</v>
      </c>
      <c r="F55" s="30">
        <f t="shared" si="4"/>
        <v>1.1442307692307692</v>
      </c>
      <c r="G55" s="228">
        <f>SUM(G53:G54)</f>
        <v>2180</v>
      </c>
      <c r="H55" s="228">
        <f>SUM(H53:H54)</f>
        <v>2475</v>
      </c>
      <c r="I55" s="30">
        <f t="shared" si="5"/>
        <v>1.1353211009174311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27">
        <v>17</v>
      </c>
      <c r="F56" s="28">
        <f t="shared" si="4"/>
        <v>0.42499999999999999</v>
      </c>
      <c r="G56" s="66">
        <f>D56+'2018JUN'!G56</f>
        <v>280</v>
      </c>
      <c r="H56" s="66">
        <f>E56+'2018JUN'!H56</f>
        <v>262</v>
      </c>
      <c r="I56" s="28">
        <f t="shared" si="5"/>
        <v>0.93571428571428572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27">
        <v>843</v>
      </c>
      <c r="F57" s="28">
        <f t="shared" si="4"/>
        <v>1.405</v>
      </c>
      <c r="G57" s="66">
        <f>D57+'2018JUN'!G57</f>
        <v>4200</v>
      </c>
      <c r="H57" s="66">
        <f>E57+'2018JUN'!H57</f>
        <v>5431</v>
      </c>
      <c r="I57" s="28">
        <f t="shared" si="5"/>
        <v>1.2930952380952381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36">
        <f>SUM(D56:D57)</f>
        <v>640</v>
      </c>
      <c r="E58" s="236">
        <f>SUM(E56:E57)</f>
        <v>860</v>
      </c>
      <c r="F58" s="28">
        <f t="shared" si="4"/>
        <v>1.34375</v>
      </c>
      <c r="G58" s="236">
        <f>SUM(G56:G57)</f>
        <v>4480</v>
      </c>
      <c r="H58" s="236">
        <f>SUM(H56:H57)</f>
        <v>5693</v>
      </c>
      <c r="I58" s="31">
        <f t="shared" si="5"/>
        <v>1.2707589285714285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37">
        <f>SUM(D53,D56)</f>
        <v>52</v>
      </c>
      <c r="E59" s="237">
        <f>SUM(E53,E56)</f>
        <v>19</v>
      </c>
      <c r="F59" s="32">
        <f t="shared" si="4"/>
        <v>0.36538461538461536</v>
      </c>
      <c r="G59" s="237">
        <f>SUM(G53,G56)</f>
        <v>360</v>
      </c>
      <c r="H59" s="237">
        <f>SUM(H53,H56)</f>
        <v>338</v>
      </c>
      <c r="I59" s="32">
        <f t="shared" si="5"/>
        <v>0.93888888888888888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37">
        <f>SUM(D54,D57)</f>
        <v>900</v>
      </c>
      <c r="E60" s="237">
        <f>SUM(E54,E57)</f>
        <v>1198</v>
      </c>
      <c r="F60" s="32">
        <f t="shared" si="4"/>
        <v>1.3311111111111111</v>
      </c>
      <c r="G60" s="237">
        <f>SUM(G54,G57)</f>
        <v>6300</v>
      </c>
      <c r="H60" s="237">
        <f>SUM(H54,H57)</f>
        <v>7830</v>
      </c>
      <c r="I60" s="32">
        <f t="shared" si="5"/>
        <v>1.2428571428571429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38">
        <f>SUM(D59:D60)</f>
        <v>952</v>
      </c>
      <c r="E61" s="238">
        <f>SUM(E59:E60)</f>
        <v>1217</v>
      </c>
      <c r="F61" s="33">
        <f t="shared" si="4"/>
        <v>1.278361344537815</v>
      </c>
      <c r="G61" s="238">
        <f>SUM(G59:G60)</f>
        <v>6660</v>
      </c>
      <c r="H61" s="238">
        <f>SUM(H59:H60)</f>
        <v>8168</v>
      </c>
      <c r="I61" s="33">
        <f t="shared" si="5"/>
        <v>1.2264264264264264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24">
        <f>E71/10</f>
        <v>7</v>
      </c>
      <c r="F62" s="28">
        <f t="shared" si="4"/>
        <v>0.16666666666666666</v>
      </c>
      <c r="G62" s="66">
        <f>D62+'2018JUN'!G62</f>
        <v>280</v>
      </c>
      <c r="H62" s="66">
        <f>E62+'2018JUN'!H62</f>
        <v>264.2</v>
      </c>
      <c r="I62" s="28">
        <f t="shared" si="5"/>
        <v>0.94357142857142851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24">
        <f>E72/10</f>
        <v>1234.7</v>
      </c>
      <c r="F63" s="28">
        <f t="shared" si="4"/>
        <v>1.1826628352490423</v>
      </c>
      <c r="G63" s="248">
        <f>D63+'2018JUN'!G63</f>
        <v>7308</v>
      </c>
      <c r="H63" s="66">
        <f>E63+'2018JUN'!H63</f>
        <v>8344.5</v>
      </c>
      <c r="I63" s="28">
        <f t="shared" si="5"/>
        <v>1.1418308702791462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28">
        <f>SUM(E62:E63)</f>
        <v>1241.7</v>
      </c>
      <c r="F64" s="30">
        <f t="shared" si="4"/>
        <v>1.1433701657458564</v>
      </c>
      <c r="G64" s="228">
        <f>SUM(G62:G63)</f>
        <v>7588</v>
      </c>
      <c r="H64" s="228">
        <f>SUM(H62:H63)</f>
        <v>8608.7000000000007</v>
      </c>
      <c r="I64" s="30">
        <f t="shared" si="5"/>
        <v>1.1345150237216659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24">
        <f>E74/10</f>
        <v>21.7</v>
      </c>
      <c r="F65" s="28">
        <f t="shared" si="4"/>
        <v>0.33906249999999999</v>
      </c>
      <c r="G65" s="66">
        <f>D65+'2018JUN'!G65</f>
        <v>448</v>
      </c>
      <c r="H65" s="66">
        <f>E65+'2018JUN'!H65</f>
        <v>335.90000000000003</v>
      </c>
      <c r="I65" s="28">
        <f t="shared" si="5"/>
        <v>0.74977678571428574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24">
        <f>E75/10</f>
        <v>1289.7</v>
      </c>
      <c r="F66" s="28">
        <f t="shared" si="4"/>
        <v>1.3434375000000001</v>
      </c>
      <c r="G66" s="66">
        <f>D66+'2018JUN'!G66</f>
        <v>6720</v>
      </c>
      <c r="H66" s="66">
        <f>E66+'2018JUN'!H66</f>
        <v>8465.5</v>
      </c>
      <c r="I66" s="28">
        <f t="shared" si="5"/>
        <v>1.2597470238095239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36">
        <f>SUM(D65:D66)</f>
        <v>1024</v>
      </c>
      <c r="E67" s="236">
        <f>SUM(E65:E66)</f>
        <v>1311.4</v>
      </c>
      <c r="F67" s="31">
        <f t="shared" si="4"/>
        <v>1.2806640625000001</v>
      </c>
      <c r="G67" s="236">
        <f>SUM(G65:G66)</f>
        <v>7168</v>
      </c>
      <c r="H67" s="236">
        <f>SUM(H65:H66)</f>
        <v>8801.4</v>
      </c>
      <c r="I67" s="31">
        <f t="shared" si="5"/>
        <v>1.2278738839285714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37">
        <f>SUM(D62,D65)</f>
        <v>106</v>
      </c>
      <c r="E68" s="237">
        <f>SUM(E62,E65)</f>
        <v>28.7</v>
      </c>
      <c r="F68" s="32">
        <f t="shared" si="4"/>
        <v>0.27075471698113207</v>
      </c>
      <c r="G68" s="237">
        <f>SUM(G62,G65)</f>
        <v>728</v>
      </c>
      <c r="H68" s="237">
        <f>SUM(H62,H65)</f>
        <v>600.1</v>
      </c>
      <c r="I68" s="32">
        <f t="shared" si="5"/>
        <v>0.82431318681318688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37">
        <f>SUM(D63,D66)</f>
        <v>2004</v>
      </c>
      <c r="E69" s="237">
        <f>SUM(E63,E66)</f>
        <v>2524.4</v>
      </c>
      <c r="F69" s="32">
        <f t="shared" si="4"/>
        <v>1.259680638722555</v>
      </c>
      <c r="G69" s="237">
        <f>SUM(G63,G66)</f>
        <v>14028</v>
      </c>
      <c r="H69" s="237">
        <f>SUM(H63,H66)</f>
        <v>16810</v>
      </c>
      <c r="I69" s="32">
        <f t="shared" si="5"/>
        <v>1.1983176504134587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38">
        <f>SUM(D68:D69)</f>
        <v>2110</v>
      </c>
      <c r="E70" s="238">
        <f>SUM(E68:E69)</f>
        <v>2553.1</v>
      </c>
      <c r="F70" s="34">
        <f t="shared" si="4"/>
        <v>1.21</v>
      </c>
      <c r="G70" s="238">
        <f>SUM(G68:G69)</f>
        <v>14756</v>
      </c>
      <c r="H70" s="238">
        <f>SUM(H68:H69)</f>
        <v>17410.099999999999</v>
      </c>
      <c r="I70" s="34">
        <f t="shared" si="5"/>
        <v>1.1798658172946597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2783.9999999999995</v>
      </c>
      <c r="E71" s="227">
        <v>70</v>
      </c>
      <c r="F71" s="28">
        <f t="shared" si="4"/>
        <v>2.5143678160919544E-2</v>
      </c>
      <c r="G71" s="179">
        <f>D71+'2018JUN'!G71</f>
        <v>10718.199999999999</v>
      </c>
      <c r="H71" s="66">
        <f>E71+'2018JUN'!H71</f>
        <v>2642</v>
      </c>
      <c r="I71" s="28">
        <f t="shared" si="5"/>
        <v>0.24649661323729732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44">
        <f>E23-E71</f>
        <v>12347</v>
      </c>
      <c r="F72" s="28">
        <f t="shared" si="4"/>
        <v>1.1826628352490423</v>
      </c>
      <c r="G72" s="248">
        <f>D72+'2018JUN'!G72</f>
        <v>73080</v>
      </c>
      <c r="H72" s="66">
        <f>E72+'2018JUN'!H72</f>
        <v>83445</v>
      </c>
      <c r="I72" s="28">
        <f t="shared" si="5"/>
        <v>1.1418308702791462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28">
        <f>SUM(D71:D72)</f>
        <v>13224</v>
      </c>
      <c r="E73" s="228">
        <f>SUM(E71:E72)</f>
        <v>12417</v>
      </c>
      <c r="F73" s="30">
        <f t="shared" si="4"/>
        <v>0.93897459165154262</v>
      </c>
      <c r="G73" s="228">
        <f>SUM(G71:G72)</f>
        <v>83798.2</v>
      </c>
      <c r="H73" s="228">
        <f>SUM(H71:H72)</f>
        <v>86087</v>
      </c>
      <c r="I73" s="30">
        <f t="shared" si="5"/>
        <v>1.0273132358451613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4480</v>
      </c>
      <c r="E74" s="227">
        <v>217</v>
      </c>
      <c r="F74" s="28">
        <f t="shared" si="4"/>
        <v>4.8437500000000001E-2</v>
      </c>
      <c r="G74" s="179">
        <f>D74+'2018JUN'!G74</f>
        <v>17920</v>
      </c>
      <c r="H74" s="66">
        <f>E74+'2018JUN'!H74</f>
        <v>3359</v>
      </c>
      <c r="I74" s="28">
        <f t="shared" si="5"/>
        <v>0.18744419642857144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44">
        <f>E25-E74</f>
        <v>12897</v>
      </c>
      <c r="F75" s="28">
        <f t="shared" si="4"/>
        <v>1.3434375000000001</v>
      </c>
      <c r="G75" s="248">
        <f>D75+'2018JUN'!G75</f>
        <v>67200</v>
      </c>
      <c r="H75" s="66">
        <f>E75+'2018JUN'!H75</f>
        <v>84655</v>
      </c>
      <c r="I75" s="28">
        <f t="shared" si="5"/>
        <v>1.2597470238095239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36">
        <f>SUM(D74:D75)</f>
        <v>14080</v>
      </c>
      <c r="E76" s="236">
        <f>SUM(E74:E75)</f>
        <v>13114</v>
      </c>
      <c r="F76" s="31">
        <f t="shared" si="4"/>
        <v>0.93139204545454546</v>
      </c>
      <c r="G76" s="236">
        <f>SUM(G74:G75)</f>
        <v>85120</v>
      </c>
      <c r="H76" s="236">
        <f>SUM(H74:H75)</f>
        <v>88014</v>
      </c>
      <c r="I76" s="31">
        <f t="shared" si="5"/>
        <v>1.0339990601503759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37">
        <f>SUM(D71,D74)</f>
        <v>7264</v>
      </c>
      <c r="E77" s="237">
        <f>SUM(E71,E74)</f>
        <v>287</v>
      </c>
      <c r="F77" s="32">
        <f t="shared" si="4"/>
        <v>3.9509911894273129E-2</v>
      </c>
      <c r="G77" s="237">
        <f>SUM(G71,G74)</f>
        <v>28638.199999999997</v>
      </c>
      <c r="H77" s="237">
        <f>SUM(H71,H74)</f>
        <v>6001</v>
      </c>
      <c r="I77" s="32">
        <f t="shared" si="5"/>
        <v>0.20954529265107447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37">
        <f>SUM(D72,D75)</f>
        <v>20040</v>
      </c>
      <c r="E78" s="237">
        <f>SUM(E72,E75)</f>
        <v>25244</v>
      </c>
      <c r="F78" s="32">
        <f t="shared" si="4"/>
        <v>1.259680638722555</v>
      </c>
      <c r="G78" s="237">
        <f>SUM(G72,G75)</f>
        <v>140280</v>
      </c>
      <c r="H78" s="237">
        <f>SUM(H72,H75)</f>
        <v>168100</v>
      </c>
      <c r="I78" s="32">
        <f t="shared" si="5"/>
        <v>1.1983176504134587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38">
        <f>SUM(D77:D78)</f>
        <v>27304</v>
      </c>
      <c r="E79" s="238">
        <f>SUM(E77:E78)</f>
        <v>25531</v>
      </c>
      <c r="F79" s="34">
        <f t="shared" si="4"/>
        <v>0.93506445941986527</v>
      </c>
      <c r="G79" s="238">
        <f>SUM(G77:G78)</f>
        <v>168918.2</v>
      </c>
      <c r="H79" s="238">
        <f>SUM(H77:H78)</f>
        <v>174101</v>
      </c>
      <c r="I79" s="34">
        <f t="shared" si="5"/>
        <v>1.0306823065838968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357</v>
      </c>
      <c r="E87" s="130"/>
      <c r="F87" s="134">
        <f>D87+'2018JUN'!F87</f>
        <v>2475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</v>
      </c>
      <c r="E88" s="128"/>
      <c r="F88" s="134">
        <f>D88+'2018JUN'!F88</f>
        <v>76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5.6022408963585435E-3</v>
      </c>
      <c r="F89" s="134">
        <f>D89+'2018JUN'!F89</f>
        <v>11</v>
      </c>
      <c r="G89" s="128">
        <f>F89/F87</f>
        <v>4.4444444444444444E-3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1.8518518518518517E-2</v>
      </c>
      <c r="F90" s="134">
        <f>D90+'2018JUN'!F90</f>
        <v>125</v>
      </c>
      <c r="G90" s="128">
        <f>F90/F92</f>
        <v>8.790436005625879E-2</v>
      </c>
      <c r="H90" s="128"/>
    </row>
    <row r="91" spans="1:13" ht="15" customHeight="1">
      <c r="A91" s="775"/>
      <c r="B91" s="776" t="s">
        <v>202</v>
      </c>
      <c r="C91" s="776"/>
      <c r="D91" s="131">
        <v>220</v>
      </c>
      <c r="E91" s="128">
        <f>D91/D92</f>
        <v>1.0185185185185186</v>
      </c>
      <c r="F91" s="134">
        <f>D91+'2018JUN'!F91</f>
        <v>1389</v>
      </c>
      <c r="G91" s="128">
        <f>F91/F92</f>
        <v>0.97679324894514763</v>
      </c>
      <c r="H91" s="128"/>
    </row>
    <row r="92" spans="1:13" ht="15" customHeight="1">
      <c r="A92" s="775"/>
      <c r="B92" s="776" t="s">
        <v>203</v>
      </c>
      <c r="C92" s="776"/>
      <c r="D92" s="131">
        <v>216</v>
      </c>
      <c r="E92" s="130"/>
      <c r="F92" s="134">
        <f>D92+'2018JUN'!F92</f>
        <v>1422</v>
      </c>
      <c r="G92" s="130"/>
      <c r="H92" s="128"/>
    </row>
    <row r="93" spans="1:13">
      <c r="C93" s="126" t="s">
        <v>210</v>
      </c>
      <c r="D93" s="132">
        <v>576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31" t="s">
        <v>23</v>
      </c>
      <c r="E97" s="231" t="s">
        <v>24</v>
      </c>
      <c r="F97" s="231" t="s">
        <v>25</v>
      </c>
      <c r="G97" s="231" t="s">
        <v>23</v>
      </c>
      <c r="H97" s="231" t="s">
        <v>24</v>
      </c>
      <c r="I97" s="231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27">
        <v>0</v>
      </c>
      <c r="F98" s="37" t="e">
        <f>E98/D98</f>
        <v>#DIV/0!</v>
      </c>
      <c r="G98" s="66">
        <f>D98+'2018JUN'!G98</f>
        <v>0</v>
      </c>
      <c r="H98" s="66">
        <f>E98+'2018JUN'!H98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27">
        <v>39</v>
      </c>
      <c r="F99" s="28">
        <f t="shared" ref="F99:F115" si="6">E99/D99</f>
        <v>0.95121951219512191</v>
      </c>
      <c r="G99" s="66">
        <f>D99+'2018JUN'!G99</f>
        <v>287</v>
      </c>
      <c r="H99" s="66">
        <f>E99+'2018JUN'!H99</f>
        <v>285</v>
      </c>
      <c r="I99" s="28">
        <f t="shared" ref="I99:I115" si="7">H99/G99</f>
        <v>0.99303135888501737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28">
        <f>SUM(D98:D99)</f>
        <v>41</v>
      </c>
      <c r="E100" s="228">
        <f>SUM(E98:E99)</f>
        <v>39</v>
      </c>
      <c r="F100" s="30">
        <f t="shared" si="6"/>
        <v>0.95121951219512191</v>
      </c>
      <c r="G100" s="228">
        <f>SUM(G98:G99)</f>
        <v>287</v>
      </c>
      <c r="H100" s="228">
        <f>SUM(H98:H99)</f>
        <v>286</v>
      </c>
      <c r="I100" s="30">
        <f t="shared" si="7"/>
        <v>0.99651567944250874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27">
        <v>0</v>
      </c>
      <c r="F101" s="28" t="e">
        <f t="shared" si="6"/>
        <v>#DIV/0!</v>
      </c>
      <c r="G101" s="66">
        <f>D101+'2018JUN'!G101</f>
        <v>0</v>
      </c>
      <c r="H101" s="66">
        <f>E101+'2018JUN'!H101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27">
        <v>9</v>
      </c>
      <c r="F102" s="28">
        <f t="shared" si="6"/>
        <v>0.81818181818181823</v>
      </c>
      <c r="G102" s="66">
        <f>D102+'2018JUN'!G102</f>
        <v>77</v>
      </c>
      <c r="H102" s="66">
        <f>E102+'2018JUN'!H102</f>
        <v>69</v>
      </c>
      <c r="I102" s="28">
        <f t="shared" si="7"/>
        <v>0.89610389610389607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28">
        <f>SUM(D101:D102)</f>
        <v>11</v>
      </c>
      <c r="E103" s="228">
        <f>SUM(E101:E102)</f>
        <v>9</v>
      </c>
      <c r="F103" s="30">
        <f t="shared" si="6"/>
        <v>0.81818181818181823</v>
      </c>
      <c r="G103" s="228">
        <f>SUM(G101:G102)</f>
        <v>77</v>
      </c>
      <c r="H103" s="228">
        <f>SUM(H101:H102)</f>
        <v>69</v>
      </c>
      <c r="I103" s="30">
        <f t="shared" si="7"/>
        <v>0.89610389610389607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27">
        <v>0</v>
      </c>
      <c r="F104" s="28" t="e">
        <f t="shared" si="6"/>
        <v>#DIV/0!</v>
      </c>
      <c r="G104" s="66">
        <f>D104+'2018JUN'!G104</f>
        <v>0</v>
      </c>
      <c r="H104" s="66">
        <f>E104+'2018JUN'!H104</f>
        <v>6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27">
        <v>62</v>
      </c>
      <c r="F105" s="28">
        <f t="shared" si="6"/>
        <v>0.98412698412698407</v>
      </c>
      <c r="G105" s="66">
        <f>D105+'2018JUN'!G105</f>
        <v>441</v>
      </c>
      <c r="H105" s="66">
        <f>E105+'2018JUN'!H105</f>
        <v>413</v>
      </c>
      <c r="I105" s="28">
        <f t="shared" si="7"/>
        <v>0.93650793650793651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28">
        <f>SUM(D104:D105)</f>
        <v>63</v>
      </c>
      <c r="E106" s="228">
        <f>SUM(E104:E105)</f>
        <v>62</v>
      </c>
      <c r="F106" s="30">
        <f t="shared" si="6"/>
        <v>0.98412698412698407</v>
      </c>
      <c r="G106" s="228">
        <f>SUM(G104:G105)</f>
        <v>441</v>
      </c>
      <c r="H106" s="228">
        <f>SUM(H104:H105)</f>
        <v>419</v>
      </c>
      <c r="I106" s="30">
        <f t="shared" si="7"/>
        <v>0.95011337868480727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27">
        <v>1</v>
      </c>
      <c r="F107" s="28">
        <f>E107/D107</f>
        <v>0.5</v>
      </c>
      <c r="G107" s="66">
        <f>D107+'2018JUN'!G107</f>
        <v>12</v>
      </c>
      <c r="H107" s="66">
        <f>E107+'2018JUN'!H107</f>
        <v>17</v>
      </c>
      <c r="I107" s="28">
        <f>H107/G107</f>
        <v>1.4166666666666667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110</v>
      </c>
      <c r="E108" s="227">
        <v>105</v>
      </c>
      <c r="F108" s="28">
        <f>E108/D108</f>
        <v>0.95454545454545459</v>
      </c>
      <c r="G108" s="66">
        <f>D108+'2018JUN'!G108</f>
        <v>730</v>
      </c>
      <c r="H108" s="66">
        <f>E108+'2018JUN'!H108</f>
        <v>717</v>
      </c>
      <c r="I108" s="28">
        <f t="shared" si="7"/>
        <v>0.98219178082191783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28">
        <f>SUM(D107:D108)</f>
        <v>112</v>
      </c>
      <c r="E109" s="228">
        <f>SUM(E107:E108)</f>
        <v>106</v>
      </c>
      <c r="F109" s="30">
        <f t="shared" si="6"/>
        <v>0.9464285714285714</v>
      </c>
      <c r="G109" s="228">
        <f>SUM(G107:G108)</f>
        <v>742</v>
      </c>
      <c r="H109" s="228">
        <f>SUM(H107:H108)</f>
        <v>734</v>
      </c>
      <c r="I109" s="30">
        <f t="shared" si="7"/>
        <v>0.98921832884097038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27">
        <v>0</v>
      </c>
      <c r="F110" s="30">
        <f>E110/D110</f>
        <v>0</v>
      </c>
      <c r="G110" s="66">
        <f>D110+'2018JUN'!G110</f>
        <v>56</v>
      </c>
      <c r="H110" s="66">
        <f>E110+'2018JUN'!H110</f>
        <v>35</v>
      </c>
      <c r="I110" s="30">
        <f>H110/G110</f>
        <v>0.625</v>
      </c>
      <c r="J110" s="233"/>
      <c r="K110" s="234"/>
      <c r="L110" s="234"/>
      <c r="M110" s="235"/>
    </row>
    <row r="111" spans="1:13">
      <c r="A111" s="553"/>
      <c r="B111" s="803"/>
      <c r="C111" s="27" t="s">
        <v>70</v>
      </c>
      <c r="D111" s="65">
        <v>48</v>
      </c>
      <c r="E111" s="227">
        <v>37</v>
      </c>
      <c r="F111" s="30">
        <f t="shared" ref="F111:F112" si="8">E111/D111</f>
        <v>0.77083333333333337</v>
      </c>
      <c r="G111" s="66">
        <f>D111+'2018JUN'!G111</f>
        <v>168</v>
      </c>
      <c r="H111" s="66">
        <f>E111+'2018JUN'!H111</f>
        <v>201</v>
      </c>
      <c r="I111" s="30">
        <f t="shared" ref="I111:I112" si="9">H111/G111</f>
        <v>1.1964285714285714</v>
      </c>
      <c r="J111" s="233"/>
      <c r="K111" s="234"/>
      <c r="L111" s="234"/>
      <c r="M111" s="235"/>
    </row>
    <row r="112" spans="1:13">
      <c r="A112" s="553"/>
      <c r="B112" s="804"/>
      <c r="C112" s="38" t="s">
        <v>166</v>
      </c>
      <c r="D112" s="228">
        <f>SUM(D110:D111)</f>
        <v>56</v>
      </c>
      <c r="E112" s="228">
        <f>SUM(E110:E111)</f>
        <v>37</v>
      </c>
      <c r="F112" s="30">
        <f t="shared" si="8"/>
        <v>0.6607142857142857</v>
      </c>
      <c r="G112" s="228">
        <f>SUM(G110:G111)</f>
        <v>224</v>
      </c>
      <c r="H112" s="228">
        <f>SUM(H110:H111)</f>
        <v>236</v>
      </c>
      <c r="I112" s="30">
        <f t="shared" si="9"/>
        <v>1.0535714285714286</v>
      </c>
      <c r="J112" s="233"/>
      <c r="K112" s="234"/>
      <c r="L112" s="234"/>
      <c r="M112" s="235"/>
    </row>
    <row r="113" spans="1:13">
      <c r="A113" s="553"/>
      <c r="B113" s="611" t="s">
        <v>46</v>
      </c>
      <c r="C113" s="39" t="s">
        <v>69</v>
      </c>
      <c r="D113" s="236">
        <f>SUM(D98,D101,D104,D107,D110)</f>
        <v>10</v>
      </c>
      <c r="E113" s="236">
        <f>SUM(E98,E101,E104,E107,E110)</f>
        <v>1</v>
      </c>
      <c r="F113" s="31">
        <f t="shared" si="6"/>
        <v>0.1</v>
      </c>
      <c r="G113" s="236">
        <f>SUM(G98,G101,G104,G107,G110)</f>
        <v>68</v>
      </c>
      <c r="H113" s="236">
        <f>SUM(H98,H101,H104,H107,H110)</f>
        <v>59</v>
      </c>
      <c r="I113" s="31">
        <f t="shared" si="7"/>
        <v>0.86764705882352944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36">
        <f>SUM(D99,D102,D105,D108,D111)</f>
        <v>273</v>
      </c>
      <c r="E114" s="236">
        <f>SUM(E99,E102,E105,E108,E111)</f>
        <v>252</v>
      </c>
      <c r="F114" s="31">
        <f t="shared" si="6"/>
        <v>0.92307692307692313</v>
      </c>
      <c r="G114" s="236">
        <f>SUM(G99,G102,G105,G108,G111)</f>
        <v>1703</v>
      </c>
      <c r="H114" s="236">
        <f>SUM(H99,H102,H105,H108,H111)</f>
        <v>1685</v>
      </c>
      <c r="I114" s="31">
        <f t="shared" si="7"/>
        <v>0.98943041691133293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39">
        <f>SUM(D113:D114)</f>
        <v>283</v>
      </c>
      <c r="E115" s="239">
        <f>SUM(E113:E114)</f>
        <v>253</v>
      </c>
      <c r="F115" s="41">
        <f t="shared" si="6"/>
        <v>0.89399293286219084</v>
      </c>
      <c r="G115" s="239">
        <f>SUM(G113:G114)</f>
        <v>1771</v>
      </c>
      <c r="H115" s="239">
        <f>SUM(H113:H114)</f>
        <v>1744</v>
      </c>
      <c r="I115" s="41">
        <f t="shared" si="7"/>
        <v>0.98475437605872385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D116+'2018JUN'!G116</f>
        <v>12</v>
      </c>
      <c r="H116" s="70">
        <f>E116+'2018JUN'!H116</f>
        <v>12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58</v>
      </c>
      <c r="E117" s="227">
        <v>57</v>
      </c>
      <c r="F117" s="28">
        <f t="shared" ref="F117:F126" si="10">E117/D117</f>
        <v>0.98275862068965514</v>
      </c>
      <c r="G117" s="71">
        <f>D117+'2018JUN'!G117</f>
        <v>366</v>
      </c>
      <c r="H117" s="71">
        <f>E117+'2018JUN'!H117</f>
        <v>393</v>
      </c>
      <c r="I117" s="28">
        <f t="shared" ref="I117:I126" si="11">H117/G117</f>
        <v>1.0737704918032787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28">
        <f>SUM(D116:D117)</f>
        <v>60</v>
      </c>
      <c r="E118" s="228">
        <f>SUM(E116:E117)</f>
        <v>58</v>
      </c>
      <c r="F118" s="30">
        <f t="shared" si="10"/>
        <v>0.96666666666666667</v>
      </c>
      <c r="G118" s="228">
        <f>SUM(G116:G117)</f>
        <v>378</v>
      </c>
      <c r="H118" s="228">
        <f>SUM(H116:H117)</f>
        <v>405</v>
      </c>
      <c r="I118" s="30">
        <f t="shared" si="11"/>
        <v>1.0714285714285714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27">
        <v>0</v>
      </c>
      <c r="F119" s="28" t="e">
        <f t="shared" si="10"/>
        <v>#DIV/0!</v>
      </c>
      <c r="G119" s="66">
        <f>D119+'2018JUN'!G119</f>
        <v>0</v>
      </c>
      <c r="H119" s="66">
        <f>E119+'2018JUN'!H119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27">
        <v>46</v>
      </c>
      <c r="F120" s="28">
        <f t="shared" si="10"/>
        <v>1.2432432432432432</v>
      </c>
      <c r="G120" s="66">
        <f>D120+'2018JUN'!G120</f>
        <v>259</v>
      </c>
      <c r="H120" s="66">
        <f>E120+'2018JUN'!H120</f>
        <v>321</v>
      </c>
      <c r="I120" s="28">
        <f t="shared" si="11"/>
        <v>1.2393822393822393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28">
        <f>SUM(D119:D120)</f>
        <v>37</v>
      </c>
      <c r="E121" s="228">
        <f>SUM(E119:E120)</f>
        <v>46</v>
      </c>
      <c r="F121" s="30">
        <f t="shared" si="10"/>
        <v>1.2432432432432432</v>
      </c>
      <c r="G121" s="228">
        <f>SUM(G119:G120)</f>
        <v>259</v>
      </c>
      <c r="H121" s="228">
        <f>SUM(H119:H120)</f>
        <v>326</v>
      </c>
      <c r="I121" s="30">
        <f t="shared" si="11"/>
        <v>1.2586872586872586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36">
        <f>SUM(D116,D119)</f>
        <v>2</v>
      </c>
      <c r="E122" s="236">
        <f>SUM(E116,E119)</f>
        <v>1</v>
      </c>
      <c r="F122" s="30">
        <f t="shared" si="10"/>
        <v>0.5</v>
      </c>
      <c r="G122" s="236">
        <f>SUM(G116,G119)</f>
        <v>12</v>
      </c>
      <c r="H122" s="236">
        <f>SUM(H116,H119)</f>
        <v>17</v>
      </c>
      <c r="I122" s="30">
        <f t="shared" si="11"/>
        <v>1.4166666666666667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36">
        <f>SUM(D117,D120)</f>
        <v>95</v>
      </c>
      <c r="E123" s="236">
        <f>SUM(E117,E120)</f>
        <v>103</v>
      </c>
      <c r="F123" s="30">
        <f t="shared" si="10"/>
        <v>1.0842105263157895</v>
      </c>
      <c r="G123" s="236">
        <f>SUM(G117,G120)</f>
        <v>625</v>
      </c>
      <c r="H123" s="236">
        <f>SUM(H117,H120)</f>
        <v>714</v>
      </c>
      <c r="I123" s="30">
        <f t="shared" si="11"/>
        <v>1.1424000000000001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39">
        <f>SUM(D122:D123)</f>
        <v>97</v>
      </c>
      <c r="E124" s="239">
        <f>SUM(E122:E123)</f>
        <v>104</v>
      </c>
      <c r="F124" s="41">
        <f t="shared" si="10"/>
        <v>1.0721649484536082</v>
      </c>
      <c r="G124" s="239">
        <f>SUM(G122:G123)</f>
        <v>637</v>
      </c>
      <c r="H124" s="239">
        <f>SUM(H122:H123)</f>
        <v>731</v>
      </c>
      <c r="I124" s="41">
        <f t="shared" si="11"/>
        <v>1.1475667189952905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41">
        <f>SUM(D113,D122)</f>
        <v>12</v>
      </c>
      <c r="E125" s="241">
        <f>SUM(E113,E122)</f>
        <v>2</v>
      </c>
      <c r="F125" s="45">
        <f t="shared" si="10"/>
        <v>0.16666666666666666</v>
      </c>
      <c r="G125" s="46">
        <f>SUM(G113,G122)</f>
        <v>80</v>
      </c>
      <c r="H125" s="46">
        <f>SUM(H113,H122)</f>
        <v>76</v>
      </c>
      <c r="I125" s="45">
        <f t="shared" si="11"/>
        <v>0.95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37">
        <f>SUM(D114,D123)</f>
        <v>368</v>
      </c>
      <c r="E126" s="237">
        <f>SUM(E114,E123)</f>
        <v>355</v>
      </c>
      <c r="F126" s="32">
        <f t="shared" si="10"/>
        <v>0.96467391304347827</v>
      </c>
      <c r="G126" s="237">
        <f>SUM(G114,G123)</f>
        <v>2328</v>
      </c>
      <c r="H126" s="237">
        <f>SUM(H114,H123)</f>
        <v>2399</v>
      </c>
      <c r="I126" s="32">
        <f t="shared" si="11"/>
        <v>1.0304982817869415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37">
        <f>SUM(D125:D126)</f>
        <v>380</v>
      </c>
      <c r="E127" s="237">
        <f>SUM(E125:E126)</f>
        <v>357</v>
      </c>
      <c r="F127" s="49">
        <f>E127/D127</f>
        <v>0.93947368421052635</v>
      </c>
      <c r="G127" s="241">
        <f>SUM(G125:G126)</f>
        <v>2408</v>
      </c>
      <c r="H127" s="241">
        <f>SUM(H125:H126)</f>
        <v>2475</v>
      </c>
      <c r="I127" s="49">
        <f>H127/G127</f>
        <v>1.0278239202657806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102</v>
      </c>
      <c r="D135" s="592"/>
      <c r="E135" s="591">
        <v>0</v>
      </c>
      <c r="F135" s="592"/>
      <c r="G135" s="591">
        <v>0</v>
      </c>
      <c r="H135" s="592"/>
      <c r="I135" s="591">
        <v>16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40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40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40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40" t="s">
        <v>99</v>
      </c>
      <c r="C140" s="590">
        <v>108</v>
      </c>
      <c r="D140" s="590"/>
      <c r="E140" s="590">
        <v>0</v>
      </c>
      <c r="F140" s="590"/>
      <c r="G140" s="590">
        <v>0</v>
      </c>
      <c r="H140" s="590"/>
      <c r="I140" s="772">
        <v>26119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227</v>
      </c>
      <c r="D145" s="563"/>
      <c r="E145" s="564"/>
      <c r="F145" s="562" t="s">
        <v>222</v>
      </c>
      <c r="G145" s="563"/>
      <c r="H145" s="563"/>
      <c r="I145" s="564"/>
      <c r="J145" s="563" t="s">
        <v>228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229</v>
      </c>
      <c r="D146" s="736"/>
      <c r="E146" s="737"/>
      <c r="F146" s="750" t="s">
        <v>230</v>
      </c>
      <c r="G146" s="754"/>
      <c r="H146" s="754"/>
      <c r="I146" s="755"/>
      <c r="J146" s="751" t="s">
        <v>231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43" t="s">
        <v>109</v>
      </c>
      <c r="C154" s="243" t="s">
        <v>110</v>
      </c>
      <c r="D154" s="243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124">
        <f>'2018JUN'!H155</f>
        <v>35420</v>
      </c>
      <c r="C155" s="63">
        <f>E45-E44</f>
        <v>100301</v>
      </c>
      <c r="D155" s="73">
        <v>121072</v>
      </c>
      <c r="E155" s="531" t="s">
        <v>114</v>
      </c>
      <c r="F155" s="531"/>
      <c r="G155" s="531"/>
      <c r="H155" s="72">
        <f>C155+A155+B155-D155</f>
        <v>114649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14684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44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18304</v>
      </c>
      <c r="H165" s="778"/>
      <c r="I165" s="779"/>
      <c r="J165" s="779"/>
      <c r="K165" s="780"/>
    </row>
    <row r="166" spans="1:11" ht="14">
      <c r="A166" s="242" t="s">
        <v>126</v>
      </c>
      <c r="B166" s="777" t="s">
        <v>127</v>
      </c>
      <c r="C166" s="777"/>
      <c r="D166" s="777"/>
      <c r="E166" s="777"/>
      <c r="F166" s="777"/>
      <c r="G166" s="227">
        <v>1918</v>
      </c>
      <c r="H166" s="778"/>
      <c r="I166" s="779"/>
      <c r="J166" s="779"/>
      <c r="K166" s="780"/>
    </row>
    <row r="167" spans="1:11" ht="14">
      <c r="A167" s="242" t="s">
        <v>128</v>
      </c>
      <c r="B167" s="777" t="s">
        <v>129</v>
      </c>
      <c r="C167" s="777"/>
      <c r="D167" s="777"/>
      <c r="E167" s="777"/>
      <c r="F167" s="777"/>
      <c r="G167" s="244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00000000-0002-0000-1300-000000000000}">
      <formula1>"USA, JAPAN"</formula1>
    </dataValidation>
    <dataValidation type="list" allowBlank="1" showInputMessage="1" showErrorMessage="1" sqref="G1" xr:uid="{00000000-0002-0000-13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pageSetUpPr fitToPage="1"/>
  </sheetPr>
  <dimension ref="A1:N167"/>
  <sheetViews>
    <sheetView topLeftCell="A31" zoomScale="98" zoomScaleNormal="98" zoomScaleSheetLayoutView="85" workbookViewId="0">
      <selection activeCell="H155" sqref="H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145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43357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50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49" t="s">
        <v>176</v>
      </c>
      <c r="C10" s="61">
        <v>2</v>
      </c>
      <c r="D10" s="25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49" t="s">
        <v>177</v>
      </c>
      <c r="C11" s="61">
        <v>2</v>
      </c>
      <c r="D11" s="252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49" t="s">
        <v>179</v>
      </c>
      <c r="C12" s="61">
        <v>2</v>
      </c>
      <c r="D12" s="252">
        <v>5</v>
      </c>
      <c r="E12" s="770" t="s">
        <v>239</v>
      </c>
      <c r="F12" s="691"/>
      <c r="G12" s="691"/>
      <c r="H12" s="691"/>
      <c r="I12" s="692"/>
    </row>
    <row r="13" spans="1:13">
      <c r="A13" s="690"/>
      <c r="B13" s="249" t="s">
        <v>180</v>
      </c>
      <c r="C13" s="61">
        <v>3</v>
      </c>
      <c r="D13" s="252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49" t="s">
        <v>12</v>
      </c>
      <c r="C14" s="61">
        <v>0</v>
      </c>
      <c r="D14" s="252">
        <v>0</v>
      </c>
      <c r="E14" s="693"/>
      <c r="F14" s="694"/>
      <c r="G14" s="694"/>
      <c r="H14" s="694"/>
      <c r="I14" s="695"/>
    </row>
    <row r="15" spans="1:13">
      <c r="A15" s="690"/>
      <c r="B15" s="249" t="s">
        <v>13</v>
      </c>
      <c r="C15" s="61">
        <v>2</v>
      </c>
      <c r="D15" s="252">
        <v>2</v>
      </c>
      <c r="E15" s="770" t="s">
        <v>233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12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51" t="s">
        <v>23</v>
      </c>
      <c r="E21" s="251" t="s">
        <v>24</v>
      </c>
      <c r="F21" s="251" t="s">
        <v>25</v>
      </c>
      <c r="G21" s="251" t="s">
        <v>23</v>
      </c>
      <c r="H21" s="251" t="s">
        <v>24</v>
      </c>
      <c r="I21" s="25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13641.599999999999</v>
      </c>
      <c r="E23" s="252">
        <v>13322</v>
      </c>
      <c r="F23" s="14">
        <f t="shared" ref="F23:F28" si="0">E23/D23</f>
        <v>0.97657166314801791</v>
      </c>
      <c r="G23" s="179">
        <f>D23+'2018JUL'!G23</f>
        <v>97439.799999999988</v>
      </c>
      <c r="H23" s="66">
        <f>E23+'2018JUL'!H23</f>
        <v>99409</v>
      </c>
      <c r="I23" s="14">
        <f t="shared" ref="I23:I28" si="1">H23/G23</f>
        <v>1.0202094010866198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53">
        <f>SUM(D23:D23)</f>
        <v>13641.599999999999</v>
      </c>
      <c r="E24" s="253">
        <f>SUM(E23:E23)</f>
        <v>13322</v>
      </c>
      <c r="F24" s="16">
        <f t="shared" si="0"/>
        <v>0.97657166314801791</v>
      </c>
      <c r="G24" s="253">
        <f>SUM(G23:G23)</f>
        <v>97439.799999999988</v>
      </c>
      <c r="H24" s="253">
        <f>SUM(H23:H23)</f>
        <v>99409</v>
      </c>
      <c r="I24" s="16">
        <f t="shared" si="1"/>
        <v>1.0202094010866198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14720</v>
      </c>
      <c r="E25" s="252">
        <v>14410</v>
      </c>
      <c r="F25" s="14">
        <f t="shared" si="0"/>
        <v>0.97894021739130432</v>
      </c>
      <c r="G25" s="179">
        <f>D25+'2018JUL'!G25</f>
        <v>99840</v>
      </c>
      <c r="H25" s="66">
        <f>E25+'2018JUL'!H25</f>
        <v>102424</v>
      </c>
      <c r="I25" s="14">
        <f t="shared" si="1"/>
        <v>1.0258814102564102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52">
        <v>0</v>
      </c>
      <c r="F26" s="14" t="e">
        <f t="shared" si="0"/>
        <v>#DIV/0!</v>
      </c>
      <c r="G26" s="249">
        <f>D26</f>
        <v>0</v>
      </c>
      <c r="H26" s="249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53">
        <f>SUM(D25:D26)</f>
        <v>14720</v>
      </c>
      <c r="E27" s="253">
        <f>SUM(E25:E26)</f>
        <v>14410</v>
      </c>
      <c r="F27" s="16">
        <f t="shared" si="0"/>
        <v>0.97894021739130432</v>
      </c>
      <c r="G27" s="253">
        <f>SUM(G25:G26)</f>
        <v>99840</v>
      </c>
      <c r="H27" s="253">
        <f>SUM(H25:H26)</f>
        <v>102424</v>
      </c>
      <c r="I27" s="16">
        <f t="shared" si="1"/>
        <v>1.0258814102564102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54">
        <f>SUM(D24,D27)</f>
        <v>28361.599999999999</v>
      </c>
      <c r="E28" s="254">
        <f>SUM(E24,E27)</f>
        <v>27732</v>
      </c>
      <c r="F28" s="17">
        <f t="shared" si="0"/>
        <v>0.97780097032607471</v>
      </c>
      <c r="G28" s="254">
        <f>SUM(G24,G27)</f>
        <v>197279.8</v>
      </c>
      <c r="H28" s="254">
        <f>SUM(H24,H27)</f>
        <v>201833</v>
      </c>
      <c r="I28" s="17">
        <f t="shared" si="1"/>
        <v>1.0230799098539232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52">
        <v>1633</v>
      </c>
      <c r="F30" s="14">
        <f>E30/D30</f>
        <v>1.633</v>
      </c>
      <c r="G30" s="66">
        <f>D30+'2018JUL'!G30</f>
        <v>8000</v>
      </c>
      <c r="H30" s="66">
        <f>E30+'2018JUL'!H30</f>
        <v>23801</v>
      </c>
      <c r="I30" s="14">
        <f>H30/G30</f>
        <v>2.9751249999999998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52">
        <v>5858</v>
      </c>
      <c r="F31" s="14" t="e">
        <f t="shared" ref="F31:F47" si="2">E31/D31</f>
        <v>#DIV/0!</v>
      </c>
      <c r="G31" s="66">
        <f>D31+'2018JUL'!G31</f>
        <v>0</v>
      </c>
      <c r="H31" s="66">
        <f>E31+'2018JUL'!H31</f>
        <v>22197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53">
        <f>SUM(D30:D31)</f>
        <v>1000</v>
      </c>
      <c r="E32" s="253">
        <f>SUM(E30:E31)</f>
        <v>7491</v>
      </c>
      <c r="F32" s="14">
        <f t="shared" si="2"/>
        <v>7.4909999999999997</v>
      </c>
      <c r="G32" s="253">
        <f>SUM(G30:G31)</f>
        <v>8000</v>
      </c>
      <c r="H32" s="253">
        <f>SUM(H30:H31)</f>
        <v>45998</v>
      </c>
      <c r="I32" s="14">
        <f t="shared" si="3"/>
        <v>5.7497499999999997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52">
        <v>566</v>
      </c>
      <c r="F33" s="14">
        <f t="shared" si="2"/>
        <v>0.87076923076923074</v>
      </c>
      <c r="G33" s="66">
        <f>D33+'2018JUL'!G33</f>
        <v>5200</v>
      </c>
      <c r="H33" s="66">
        <f>E33+'2018JUL'!H33</f>
        <v>5542</v>
      </c>
      <c r="I33" s="14">
        <f t="shared" si="3"/>
        <v>1.0657692307692308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51">
        <f>SUM(D32,D33)</f>
        <v>1650</v>
      </c>
      <c r="E34" s="251">
        <f>SUM(E32,E33)</f>
        <v>8057</v>
      </c>
      <c r="F34" s="14">
        <f t="shared" si="2"/>
        <v>4.8830303030303028</v>
      </c>
      <c r="G34" s="251">
        <f>SUM(G32,G33)</f>
        <v>13200</v>
      </c>
      <c r="H34" s="251">
        <f>SUM(H32,H33)</f>
        <v>51540</v>
      </c>
      <c r="I34" s="14">
        <f t="shared" si="3"/>
        <v>3.9045454545454548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49">
        <v>129700</v>
      </c>
      <c r="F35" s="14">
        <f t="shared" si="2"/>
        <v>3.579708544932656</v>
      </c>
      <c r="G35" s="66">
        <f>D35+'2018JUL'!G35</f>
        <v>289856</v>
      </c>
      <c r="H35" s="66">
        <f>E35+'2018JUL'!H35</f>
        <v>170135</v>
      </c>
      <c r="I35" s="14">
        <f t="shared" si="3"/>
        <v>0.58696387171561049</v>
      </c>
      <c r="J35" s="776" t="s">
        <v>234</v>
      </c>
      <c r="K35" s="776"/>
      <c r="L35" s="776"/>
      <c r="M35" s="806"/>
    </row>
    <row r="36" spans="1:13">
      <c r="A36" s="553"/>
      <c r="B36" s="554"/>
      <c r="C36" s="128" t="s">
        <v>40</v>
      </c>
      <c r="D36" s="249"/>
      <c r="E36" s="249"/>
      <c r="F36" s="14" t="e">
        <f t="shared" si="2"/>
        <v>#DIV/0!</v>
      </c>
      <c r="G36" s="249"/>
      <c r="H36" s="249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53">
        <f>SUM(D35:D36)</f>
        <v>36232</v>
      </c>
      <c r="E37" s="253">
        <f>SUM(E35:E36)</f>
        <v>129700</v>
      </c>
      <c r="F37" s="16">
        <f t="shared" si="2"/>
        <v>3.579708544932656</v>
      </c>
      <c r="G37" s="269">
        <f>SUM(G35:G36)</f>
        <v>289856</v>
      </c>
      <c r="H37" s="269">
        <f>SUM(H35:H36)</f>
        <v>170135</v>
      </c>
      <c r="I37" s="16">
        <f t="shared" si="3"/>
        <v>0.58696387171561049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52">
        <v>0</v>
      </c>
      <c r="F38" s="14">
        <f t="shared" si="2"/>
        <v>0</v>
      </c>
      <c r="G38" s="66">
        <f>D38+'2018JUL'!G38</f>
        <v>8800</v>
      </c>
      <c r="H38" s="66">
        <f>E38+'2018JUL'!H38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49"/>
      <c r="E39" s="249"/>
      <c r="F39" s="14" t="e">
        <f t="shared" si="2"/>
        <v>#DIV/0!</v>
      </c>
      <c r="G39" s="249"/>
      <c r="H39" s="249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53">
        <f>SUM(D38:D39)</f>
        <v>1100</v>
      </c>
      <c r="E40" s="253">
        <f>SUM(E38:E39)</f>
        <v>0</v>
      </c>
      <c r="F40" s="16">
        <f t="shared" si="2"/>
        <v>0</v>
      </c>
      <c r="G40" s="253">
        <f>SUM(G38:G39)</f>
        <v>8800</v>
      </c>
      <c r="H40" s="253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51">
        <f>SUM(D37,D40)</f>
        <v>37332</v>
      </c>
      <c r="E41" s="251">
        <f>SUM(E37,E40)</f>
        <v>129700</v>
      </c>
      <c r="F41" s="19">
        <f t="shared" si="2"/>
        <v>3.4742312225436622</v>
      </c>
      <c r="G41" s="251">
        <f>SUM(G37,G40)</f>
        <v>298656</v>
      </c>
      <c r="H41" s="251">
        <f>SUM(H37,H40)</f>
        <v>170135</v>
      </c>
      <c r="I41" s="19">
        <f t="shared" si="3"/>
        <v>0.56966878281367195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16866</v>
      </c>
      <c r="F42" s="21">
        <f t="shared" si="2"/>
        <v>1.4055</v>
      </c>
      <c r="G42" s="180">
        <f>D42+'2018JUL'!G42</f>
        <v>91500</v>
      </c>
      <c r="H42" s="77">
        <f>E42+'2018JUL'!H42</f>
        <v>141799</v>
      </c>
      <c r="I42" s="21">
        <f t="shared" si="3"/>
        <v>1.5497158469945356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0</v>
      </c>
      <c r="F43" s="21">
        <f t="shared" si="2"/>
        <v>0</v>
      </c>
      <c r="G43" s="247">
        <f>D43+'2018JUL'!G43</f>
        <v>36000</v>
      </c>
      <c r="H43" s="68">
        <f>E43+'2018JUL'!H43</f>
        <v>870</v>
      </c>
      <c r="I43" s="21">
        <f t="shared" si="3"/>
        <v>2.4166666666666666E-2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0</v>
      </c>
      <c r="F44" s="21">
        <f t="shared" si="2"/>
        <v>0</v>
      </c>
      <c r="G44" s="247">
        <f>D44+'2018JUL'!G44</f>
        <v>268000</v>
      </c>
      <c r="H44" s="180">
        <f>E44+'2018JUL'!H44</f>
        <v>299970</v>
      </c>
      <c r="I44" s="21">
        <f t="shared" si="3"/>
        <v>1.1192910447761193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57">
        <f>SUM(D28,D34,D41,D42:D44)</f>
        <v>118843.6</v>
      </c>
      <c r="E45" s="78">
        <f>SUM(E28,E34,E41,E42:E44)</f>
        <v>182355</v>
      </c>
      <c r="F45" s="22">
        <f t="shared" si="2"/>
        <v>1.534411613246317</v>
      </c>
      <c r="G45" s="257">
        <f>SUM(G28,G34,G41,G42:G44)</f>
        <v>904635.8</v>
      </c>
      <c r="H45" s="257">
        <f>SUM(H28,H34,H41,H42:H44)</f>
        <v>866147</v>
      </c>
      <c r="I45" s="22">
        <f t="shared" si="3"/>
        <v>0.95745381732626544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57">
        <f>D45-D42</f>
        <v>106843.6</v>
      </c>
      <c r="E46" s="257">
        <f>E45-E42</f>
        <v>165489</v>
      </c>
      <c r="F46" s="22">
        <f t="shared" si="2"/>
        <v>1.5488901534579516</v>
      </c>
      <c r="G46" s="257">
        <f>G45-G42</f>
        <v>813135.8</v>
      </c>
      <c r="H46" s="257">
        <f>H45-H42</f>
        <v>724348</v>
      </c>
      <c r="I46" s="22">
        <f t="shared" si="3"/>
        <v>0.89080815283252801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55">
        <f>D46-D44</f>
        <v>73343.600000000006</v>
      </c>
      <c r="E47" s="255">
        <f>E46-E44</f>
        <v>165489</v>
      </c>
      <c r="F47" s="23">
        <f t="shared" si="2"/>
        <v>2.2563522924972319</v>
      </c>
      <c r="G47" s="255">
        <f>G46-G44</f>
        <v>545135.80000000005</v>
      </c>
      <c r="H47" s="255">
        <f>H46-H44</f>
        <v>424378</v>
      </c>
      <c r="I47" s="23">
        <f t="shared" si="3"/>
        <v>0.77848125182752625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56" t="s">
        <v>23</v>
      </c>
      <c r="E52" s="256" t="s">
        <v>24</v>
      </c>
      <c r="F52" s="256" t="s">
        <v>25</v>
      </c>
      <c r="G52" s="256" t="s">
        <v>23</v>
      </c>
      <c r="H52" s="256" t="s">
        <v>24</v>
      </c>
      <c r="I52" s="25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52">
        <v>30</v>
      </c>
      <c r="F53" s="28">
        <f t="shared" ref="F53:F79" si="4">E53/D53</f>
        <v>2.5</v>
      </c>
      <c r="G53" s="66">
        <f>D53+'2018JUL'!G53</f>
        <v>92</v>
      </c>
      <c r="H53" s="66">
        <f>E53+'2018JUL'!H53</f>
        <v>106</v>
      </c>
      <c r="I53" s="28">
        <f t="shared" ref="I53:I79" si="5">H53/G53</f>
        <v>1.1521739130434783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52">
        <v>353</v>
      </c>
      <c r="F54" s="28">
        <f t="shared" si="4"/>
        <v>1.1766666666666667</v>
      </c>
      <c r="G54" s="66">
        <f>D54+'2018JUL'!G54</f>
        <v>2400</v>
      </c>
      <c r="H54" s="66">
        <f>E54+'2018JUL'!H54</f>
        <v>2752</v>
      </c>
      <c r="I54" s="28">
        <f t="shared" si="5"/>
        <v>1.1466666666666667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53">
        <f>SUM(D53:D54)</f>
        <v>312</v>
      </c>
      <c r="E55" s="253">
        <f>SUM(E53:E54)</f>
        <v>383</v>
      </c>
      <c r="F55" s="30">
        <f t="shared" si="4"/>
        <v>1.2275641025641026</v>
      </c>
      <c r="G55" s="253">
        <f>SUM(G53:G54)</f>
        <v>2492</v>
      </c>
      <c r="H55" s="253">
        <f>SUM(H53:H54)</f>
        <v>2858</v>
      </c>
      <c r="I55" s="30">
        <f t="shared" si="5"/>
        <v>1.1468699839486356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52">
        <v>120</v>
      </c>
      <c r="F56" s="28">
        <f t="shared" si="4"/>
        <v>3</v>
      </c>
      <c r="G56" s="66">
        <f>D56+'2018JUL'!G56</f>
        <v>320</v>
      </c>
      <c r="H56" s="66">
        <f>E56+'2018JUL'!H56</f>
        <v>382</v>
      </c>
      <c r="I56" s="28">
        <f t="shared" si="5"/>
        <v>1.1937500000000001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52">
        <v>844</v>
      </c>
      <c r="F57" s="28">
        <f t="shared" si="4"/>
        <v>1.4066666666666667</v>
      </c>
      <c r="G57" s="66">
        <f>D57+'2018JUL'!G57</f>
        <v>4800</v>
      </c>
      <c r="H57" s="66">
        <f>E57+'2018JUL'!H57</f>
        <v>6275</v>
      </c>
      <c r="I57" s="28">
        <f t="shared" si="5"/>
        <v>1.3072916666666667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61">
        <f>SUM(D56:D57)</f>
        <v>640</v>
      </c>
      <c r="E58" s="261">
        <f>SUM(E56:E57)</f>
        <v>964</v>
      </c>
      <c r="F58" s="28">
        <f t="shared" si="4"/>
        <v>1.5062500000000001</v>
      </c>
      <c r="G58" s="261">
        <f>SUM(G56:G57)</f>
        <v>5120</v>
      </c>
      <c r="H58" s="261">
        <f>SUM(H56:H57)</f>
        <v>6657</v>
      </c>
      <c r="I58" s="31">
        <f t="shared" si="5"/>
        <v>1.3001953125000001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62">
        <f>SUM(D53,D56)</f>
        <v>52</v>
      </c>
      <c r="E59" s="262">
        <f>SUM(E53,E56)</f>
        <v>150</v>
      </c>
      <c r="F59" s="32">
        <f t="shared" si="4"/>
        <v>2.8846153846153846</v>
      </c>
      <c r="G59" s="262">
        <f>SUM(G53,G56)</f>
        <v>412</v>
      </c>
      <c r="H59" s="262">
        <f>SUM(H53,H56)</f>
        <v>488</v>
      </c>
      <c r="I59" s="32">
        <f t="shared" si="5"/>
        <v>1.1844660194174756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62">
        <f>SUM(D54,D57)</f>
        <v>900</v>
      </c>
      <c r="E60" s="262">
        <f>SUM(E54,E57)</f>
        <v>1197</v>
      </c>
      <c r="F60" s="32">
        <f t="shared" si="4"/>
        <v>1.33</v>
      </c>
      <c r="G60" s="262">
        <f>SUM(G54,G57)</f>
        <v>7200</v>
      </c>
      <c r="H60" s="262">
        <f>SUM(H54,H57)</f>
        <v>9027</v>
      </c>
      <c r="I60" s="32">
        <f t="shared" si="5"/>
        <v>1.2537499999999999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63">
        <f>SUM(D59:D60)</f>
        <v>952</v>
      </c>
      <c r="E61" s="263">
        <f>SUM(E59:E60)</f>
        <v>1347</v>
      </c>
      <c r="F61" s="33">
        <f t="shared" si="4"/>
        <v>1.4149159663865547</v>
      </c>
      <c r="G61" s="263">
        <f>SUM(G59:G60)</f>
        <v>7612</v>
      </c>
      <c r="H61" s="263">
        <f>SUM(H59:H60)</f>
        <v>9515</v>
      </c>
      <c r="I61" s="33">
        <f t="shared" si="5"/>
        <v>1.25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49">
        <f>E71/10</f>
        <v>104.3</v>
      </c>
      <c r="F62" s="28">
        <f t="shared" si="4"/>
        <v>2.4833333333333334</v>
      </c>
      <c r="G62" s="66">
        <f>D62+'2018JUL'!G62</f>
        <v>322</v>
      </c>
      <c r="H62" s="66">
        <f>E62+'2018JUL'!H62</f>
        <v>368.5</v>
      </c>
      <c r="I62" s="28">
        <f t="shared" si="5"/>
        <v>1.1444099378881987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49">
        <f>E72/10</f>
        <v>1227.9000000000001</v>
      </c>
      <c r="F63" s="28">
        <f t="shared" si="4"/>
        <v>1.1761494252873563</v>
      </c>
      <c r="G63" s="248">
        <f>D63+'2018JUL'!G63</f>
        <v>8352</v>
      </c>
      <c r="H63" s="66">
        <f>E63+'2018JUL'!H63</f>
        <v>9572.4</v>
      </c>
      <c r="I63" s="28">
        <f t="shared" si="5"/>
        <v>1.1461206896551723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53">
        <f>SUM(E62:E63)</f>
        <v>1332.2</v>
      </c>
      <c r="F64" s="30">
        <f t="shared" si="4"/>
        <v>1.2267034990791896</v>
      </c>
      <c r="G64" s="253">
        <f>SUM(G62:G63)</f>
        <v>8674</v>
      </c>
      <c r="H64" s="253">
        <f>SUM(H62:H63)</f>
        <v>9940.9</v>
      </c>
      <c r="I64" s="30">
        <f t="shared" si="5"/>
        <v>1.1460571823841366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49">
        <f>E74/10</f>
        <v>151.30000000000001</v>
      </c>
      <c r="F65" s="28">
        <f t="shared" si="4"/>
        <v>2.3640625000000002</v>
      </c>
      <c r="G65" s="66">
        <f>D65+'2018JUL'!G65</f>
        <v>512</v>
      </c>
      <c r="H65" s="66">
        <f>E65+'2018JUL'!H65</f>
        <v>487.20000000000005</v>
      </c>
      <c r="I65" s="28">
        <f t="shared" si="5"/>
        <v>0.95156250000000009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49">
        <f>E75/10</f>
        <v>1289.7</v>
      </c>
      <c r="F66" s="28">
        <f t="shared" si="4"/>
        <v>1.3434375000000001</v>
      </c>
      <c r="G66" s="66">
        <f>D66+'2018JUL'!G66</f>
        <v>7680</v>
      </c>
      <c r="H66" s="66">
        <f>E66+'2018JUL'!H66</f>
        <v>9755.2000000000007</v>
      </c>
      <c r="I66" s="28">
        <f t="shared" si="5"/>
        <v>1.2702083333333334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61">
        <f>SUM(D65:D66)</f>
        <v>1024</v>
      </c>
      <c r="E67" s="261">
        <f>SUM(E65:E66)</f>
        <v>1441</v>
      </c>
      <c r="F67" s="31">
        <f t="shared" si="4"/>
        <v>1.4072265625</v>
      </c>
      <c r="G67" s="261">
        <f>SUM(G65:G66)</f>
        <v>8192</v>
      </c>
      <c r="H67" s="261">
        <f>SUM(H65:H66)</f>
        <v>10242.400000000001</v>
      </c>
      <c r="I67" s="31">
        <f t="shared" si="5"/>
        <v>1.2502929687500002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62">
        <f>SUM(D62,D65)</f>
        <v>106</v>
      </c>
      <c r="E68" s="262">
        <f>SUM(E62,E65)</f>
        <v>255.60000000000002</v>
      </c>
      <c r="F68" s="32">
        <f t="shared" si="4"/>
        <v>2.4113207547169813</v>
      </c>
      <c r="G68" s="262">
        <f>SUM(G62,G65)</f>
        <v>834</v>
      </c>
      <c r="H68" s="262">
        <f>SUM(H62,H65)</f>
        <v>855.7</v>
      </c>
      <c r="I68" s="32">
        <f t="shared" si="5"/>
        <v>1.0260191846522781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62">
        <f>SUM(D63,D66)</f>
        <v>2004</v>
      </c>
      <c r="E69" s="262">
        <f>SUM(E63,E66)</f>
        <v>2517.6000000000004</v>
      </c>
      <c r="F69" s="32">
        <f t="shared" si="4"/>
        <v>1.2562874251497007</v>
      </c>
      <c r="G69" s="262">
        <f>SUM(G63,G66)</f>
        <v>16032</v>
      </c>
      <c r="H69" s="262">
        <f>SUM(H63,H66)</f>
        <v>19327.599999999999</v>
      </c>
      <c r="I69" s="32">
        <f t="shared" si="5"/>
        <v>1.2055638722554889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63">
        <f>SUM(D68:D69)</f>
        <v>2110</v>
      </c>
      <c r="E70" s="263">
        <f>SUM(E68:E69)</f>
        <v>2773.2000000000003</v>
      </c>
      <c r="F70" s="34">
        <f t="shared" si="4"/>
        <v>1.314312796208531</v>
      </c>
      <c r="G70" s="263">
        <f>SUM(G68:G69)</f>
        <v>16866</v>
      </c>
      <c r="H70" s="263">
        <f>SUM(H68:H69)</f>
        <v>20183.3</v>
      </c>
      <c r="I70" s="34">
        <f t="shared" si="5"/>
        <v>1.1966856397486065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3201.5999999999995</v>
      </c>
      <c r="E71" s="252">
        <v>1043</v>
      </c>
      <c r="F71" s="28">
        <f t="shared" si="4"/>
        <v>0.32577461269365321</v>
      </c>
      <c r="G71" s="179">
        <f>D71+'2018JUL'!G71</f>
        <v>13919.8</v>
      </c>
      <c r="H71" s="66">
        <f>E71+'2018JUL'!H71</f>
        <v>3685</v>
      </c>
      <c r="I71" s="28">
        <f t="shared" si="5"/>
        <v>0.26473081509791807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69">
        <f>E23-E71</f>
        <v>12279</v>
      </c>
      <c r="F72" s="28">
        <f t="shared" si="4"/>
        <v>1.1761494252873563</v>
      </c>
      <c r="G72" s="248">
        <f>D72+'2018JUL'!G72</f>
        <v>83520</v>
      </c>
      <c r="H72" s="66">
        <f>E72+'2018JUL'!H72</f>
        <v>95724</v>
      </c>
      <c r="I72" s="28">
        <f t="shared" si="5"/>
        <v>1.1461206896551723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53">
        <f>SUM(D71:D72)</f>
        <v>13641.599999999999</v>
      </c>
      <c r="E73" s="253">
        <f>SUM(E71:E72)</f>
        <v>13322</v>
      </c>
      <c r="F73" s="30">
        <f t="shared" si="4"/>
        <v>0.97657166314801791</v>
      </c>
      <c r="G73" s="253">
        <f>SUM(G71:G72)</f>
        <v>97439.8</v>
      </c>
      <c r="H73" s="253">
        <f>SUM(H71:H72)</f>
        <v>99409</v>
      </c>
      <c r="I73" s="30">
        <f t="shared" si="5"/>
        <v>1.0202094010866196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5120</v>
      </c>
      <c r="E74" s="252">
        <v>1513</v>
      </c>
      <c r="F74" s="28">
        <f t="shared" si="4"/>
        <v>0.29550781250000002</v>
      </c>
      <c r="G74" s="179">
        <f>D74+'2018JUL'!G74</f>
        <v>23040</v>
      </c>
      <c r="H74" s="66">
        <f>E74+'2018JUL'!H74</f>
        <v>4872</v>
      </c>
      <c r="I74" s="28">
        <f t="shared" si="5"/>
        <v>0.21145833333333333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69">
        <f>E25-E74</f>
        <v>12897</v>
      </c>
      <c r="F75" s="28">
        <f t="shared" si="4"/>
        <v>1.3434375000000001</v>
      </c>
      <c r="G75" s="248">
        <f>D75+'2018JUL'!G75</f>
        <v>76800</v>
      </c>
      <c r="H75" s="66">
        <f>E75+'2018JUL'!H75</f>
        <v>97552</v>
      </c>
      <c r="I75" s="28">
        <f t="shared" si="5"/>
        <v>1.2702083333333334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61">
        <f>SUM(D74:D75)</f>
        <v>14720</v>
      </c>
      <c r="E76" s="261">
        <f>SUM(E74:E75)</f>
        <v>14410</v>
      </c>
      <c r="F76" s="31">
        <f t="shared" si="4"/>
        <v>0.97894021739130432</v>
      </c>
      <c r="G76" s="261">
        <f>SUM(G74:G75)</f>
        <v>99840</v>
      </c>
      <c r="H76" s="261">
        <f>SUM(H74:H75)</f>
        <v>102424</v>
      </c>
      <c r="I76" s="31">
        <f t="shared" si="5"/>
        <v>1.0258814102564102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62">
        <f>SUM(D71,D74)</f>
        <v>8321.5999999999985</v>
      </c>
      <c r="E77" s="262">
        <f>SUM(E71,E74)</f>
        <v>2556</v>
      </c>
      <c r="F77" s="32">
        <f t="shared" si="4"/>
        <v>0.30715247067871571</v>
      </c>
      <c r="G77" s="262">
        <f>SUM(G71,G74)</f>
        <v>36959.800000000003</v>
      </c>
      <c r="H77" s="262">
        <f>SUM(H71,H74)</f>
        <v>8557</v>
      </c>
      <c r="I77" s="32">
        <f t="shared" si="5"/>
        <v>0.2315218155942402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62">
        <f>SUM(D72,D75)</f>
        <v>20040</v>
      </c>
      <c r="E78" s="262">
        <f>SUM(E72,E75)</f>
        <v>25176</v>
      </c>
      <c r="F78" s="32">
        <f t="shared" si="4"/>
        <v>1.2562874251497007</v>
      </c>
      <c r="G78" s="262">
        <f>SUM(G72,G75)</f>
        <v>160320</v>
      </c>
      <c r="H78" s="262">
        <f>SUM(H72,H75)</f>
        <v>193276</v>
      </c>
      <c r="I78" s="32">
        <f t="shared" si="5"/>
        <v>1.2055638722554891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63">
        <f>SUM(D77:D78)</f>
        <v>28361.599999999999</v>
      </c>
      <c r="E79" s="263">
        <f>SUM(E77:E78)</f>
        <v>27732</v>
      </c>
      <c r="F79" s="34">
        <f t="shared" si="4"/>
        <v>0.97780097032607471</v>
      </c>
      <c r="G79" s="263">
        <f>SUM(G77:G78)</f>
        <v>197279.8</v>
      </c>
      <c r="H79" s="263">
        <f>SUM(H77:H78)</f>
        <v>201833</v>
      </c>
      <c r="I79" s="34">
        <f t="shared" si="5"/>
        <v>1.0230799098539232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383</v>
      </c>
      <c r="E87" s="130"/>
      <c r="F87" s="134">
        <f>D87+'2018JUL'!F87</f>
        <v>2858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30</v>
      </c>
      <c r="E88" s="128"/>
      <c r="F88" s="134">
        <f>D88+'2018JUL'!F88</f>
        <v>106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</v>
      </c>
      <c r="E89" s="128">
        <f>D89/D87</f>
        <v>2.6109660574412533E-3</v>
      </c>
      <c r="F89" s="134">
        <f>D89+'2018JUL'!F89</f>
        <v>12</v>
      </c>
      <c r="G89" s="128">
        <f>F89/F87</f>
        <v>4.1987403778866337E-3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52</v>
      </c>
      <c r="E90" s="128">
        <f>D90/D92</f>
        <v>0.21576763485477179</v>
      </c>
      <c r="F90" s="134">
        <f>D90+'2018JUL'!F90</f>
        <v>177</v>
      </c>
      <c r="G90" s="128">
        <f>F90/F92</f>
        <v>0.10643415514131088</v>
      </c>
      <c r="H90" s="128"/>
    </row>
    <row r="91" spans="1:13" ht="15" customHeight="1">
      <c r="A91" s="775"/>
      <c r="B91" s="776" t="s">
        <v>202</v>
      </c>
      <c r="C91" s="776"/>
      <c r="D91" s="131">
        <v>216</v>
      </c>
      <c r="E91" s="128">
        <f>D91/D92</f>
        <v>0.89626556016597514</v>
      </c>
      <c r="F91" s="134">
        <f>D91+'2018JUL'!F91</f>
        <v>1605</v>
      </c>
      <c r="G91" s="128">
        <f>F91/F92</f>
        <v>0.96512327119663255</v>
      </c>
      <c r="H91" s="128"/>
    </row>
    <row r="92" spans="1:13" ht="15" customHeight="1">
      <c r="A92" s="775"/>
      <c r="B92" s="776" t="s">
        <v>203</v>
      </c>
      <c r="C92" s="776"/>
      <c r="D92" s="131">
        <v>241</v>
      </c>
      <c r="E92" s="130"/>
      <c r="F92" s="134">
        <f>D92+'2018JUL'!F92</f>
        <v>1663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56" t="s">
        <v>23</v>
      </c>
      <c r="E97" s="256" t="s">
        <v>24</v>
      </c>
      <c r="F97" s="256" t="s">
        <v>25</v>
      </c>
      <c r="G97" s="256" t="s">
        <v>23</v>
      </c>
      <c r="H97" s="256" t="s">
        <v>24</v>
      </c>
      <c r="I97" s="25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52">
        <v>0</v>
      </c>
      <c r="F98" s="37" t="e">
        <f>E98/D98</f>
        <v>#DIV/0!</v>
      </c>
      <c r="G98" s="66">
        <f>D98+'2018JUL'!G98</f>
        <v>0</v>
      </c>
      <c r="H98" s="66">
        <f>E98+'2018JUL'!H98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52">
        <v>39</v>
      </c>
      <c r="F99" s="28">
        <f t="shared" ref="F99:F115" si="6">E99/D99</f>
        <v>0.95121951219512191</v>
      </c>
      <c r="G99" s="66">
        <f>D99+'2018JUL'!G99</f>
        <v>328</v>
      </c>
      <c r="H99" s="66">
        <f>E99+'2018JUL'!H99</f>
        <v>324</v>
      </c>
      <c r="I99" s="28">
        <f t="shared" ref="I99:I115" si="7">H99/G99</f>
        <v>0.98780487804878048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53">
        <f>SUM(D98:D99)</f>
        <v>41</v>
      </c>
      <c r="E100" s="253">
        <f>SUM(E98:E99)</f>
        <v>39</v>
      </c>
      <c r="F100" s="30">
        <f t="shared" si="6"/>
        <v>0.95121951219512191</v>
      </c>
      <c r="G100" s="253">
        <f>SUM(G98:G99)</f>
        <v>328</v>
      </c>
      <c r="H100" s="253">
        <f>SUM(H98:H99)</f>
        <v>325</v>
      </c>
      <c r="I100" s="30">
        <f t="shared" si="7"/>
        <v>0.99085365853658536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52">
        <v>0</v>
      </c>
      <c r="F101" s="28" t="e">
        <f t="shared" si="6"/>
        <v>#DIV/0!</v>
      </c>
      <c r="G101" s="66">
        <f>D101+'2018JUL'!G101</f>
        <v>0</v>
      </c>
      <c r="H101" s="66">
        <f>E101+'2018JUL'!H101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52">
        <v>9</v>
      </c>
      <c r="F102" s="28">
        <f t="shared" si="6"/>
        <v>0.81818181818181823</v>
      </c>
      <c r="G102" s="66">
        <f>D102+'2018JUL'!G102</f>
        <v>88</v>
      </c>
      <c r="H102" s="66">
        <f>E102+'2018JUL'!H102</f>
        <v>78</v>
      </c>
      <c r="I102" s="28">
        <f t="shared" si="7"/>
        <v>0.88636363636363635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53">
        <f>SUM(D101:D102)</f>
        <v>11</v>
      </c>
      <c r="E103" s="253">
        <f>SUM(E101:E102)</f>
        <v>9</v>
      </c>
      <c r="F103" s="30">
        <f t="shared" si="6"/>
        <v>0.81818181818181823</v>
      </c>
      <c r="G103" s="253">
        <f>SUM(G101:G102)</f>
        <v>88</v>
      </c>
      <c r="H103" s="253">
        <f>SUM(H101:H102)</f>
        <v>78</v>
      </c>
      <c r="I103" s="30">
        <f t="shared" si="7"/>
        <v>0.88636363636363635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52">
        <v>1</v>
      </c>
      <c r="F104" s="28" t="e">
        <f t="shared" si="6"/>
        <v>#DIV/0!</v>
      </c>
      <c r="G104" s="66">
        <f>D104+'2018JUL'!G104</f>
        <v>0</v>
      </c>
      <c r="H104" s="66">
        <f>E104+'2018JUL'!H104</f>
        <v>7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52">
        <v>62</v>
      </c>
      <c r="F105" s="28">
        <f t="shared" si="6"/>
        <v>0.98412698412698407</v>
      </c>
      <c r="G105" s="66">
        <f>D105+'2018JUL'!G105</f>
        <v>504</v>
      </c>
      <c r="H105" s="66">
        <f>E105+'2018JUL'!H105</f>
        <v>475</v>
      </c>
      <c r="I105" s="28">
        <f t="shared" si="7"/>
        <v>0.94246031746031744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53">
        <f>SUM(D104:D105)</f>
        <v>63</v>
      </c>
      <c r="E106" s="253">
        <f>SUM(E104:E105)</f>
        <v>63</v>
      </c>
      <c r="F106" s="30">
        <f t="shared" si="6"/>
        <v>1</v>
      </c>
      <c r="G106" s="253">
        <f>SUM(G104:G105)</f>
        <v>504</v>
      </c>
      <c r="H106" s="253">
        <f>SUM(H104:H105)</f>
        <v>482</v>
      </c>
      <c r="I106" s="30">
        <f t="shared" si="7"/>
        <v>0.95634920634920639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52">
        <v>17</v>
      </c>
      <c r="F107" s="28">
        <f>E107/D107</f>
        <v>8.5</v>
      </c>
      <c r="G107" s="66">
        <f>D107+'2018JUL'!G107</f>
        <v>14</v>
      </c>
      <c r="H107" s="66">
        <f>E107+'2018JUL'!H107</f>
        <v>34</v>
      </c>
      <c r="I107" s="28">
        <f>H107/G107</f>
        <v>2.4285714285714284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112</v>
      </c>
      <c r="E108" s="252">
        <v>106</v>
      </c>
      <c r="F108" s="28">
        <f>E108/D108</f>
        <v>0.9464285714285714</v>
      </c>
      <c r="G108" s="66">
        <f>D108+'2018JUL'!G108</f>
        <v>842</v>
      </c>
      <c r="H108" s="66">
        <f>E108+'2018JUL'!H108</f>
        <v>823</v>
      </c>
      <c r="I108" s="28">
        <f t="shared" si="7"/>
        <v>0.9774346793349169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53">
        <f>SUM(D107:D108)</f>
        <v>114</v>
      </c>
      <c r="E109" s="253">
        <f>SUM(E107:E108)</f>
        <v>123</v>
      </c>
      <c r="F109" s="30">
        <f t="shared" si="6"/>
        <v>1.0789473684210527</v>
      </c>
      <c r="G109" s="253">
        <f>SUM(G107:G108)</f>
        <v>856</v>
      </c>
      <c r="H109" s="253">
        <f>SUM(H107:H108)</f>
        <v>857</v>
      </c>
      <c r="I109" s="30">
        <f t="shared" si="7"/>
        <v>1.0011682242990654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52">
        <v>5</v>
      </c>
      <c r="F110" s="30">
        <f>E110/D110</f>
        <v>0.625</v>
      </c>
      <c r="G110" s="66">
        <f>D110+'2018JUL'!G110</f>
        <v>64</v>
      </c>
      <c r="H110" s="66">
        <f>E110+'2018JUL'!H110</f>
        <v>40</v>
      </c>
      <c r="I110" s="30">
        <f>H110/G110</f>
        <v>0.625</v>
      </c>
      <c r="J110" s="258"/>
      <c r="K110" s="259"/>
      <c r="L110" s="259"/>
      <c r="M110" s="260"/>
    </row>
    <row r="111" spans="1:13">
      <c r="A111" s="553"/>
      <c r="B111" s="803"/>
      <c r="C111" s="27" t="s">
        <v>70</v>
      </c>
      <c r="D111" s="65">
        <v>56</v>
      </c>
      <c r="E111" s="252">
        <v>37</v>
      </c>
      <c r="F111" s="30">
        <f t="shared" ref="F111:F112" si="8">E111/D111</f>
        <v>0.6607142857142857</v>
      </c>
      <c r="G111" s="66">
        <f>D111+'2018JUL'!G111</f>
        <v>224</v>
      </c>
      <c r="H111" s="66">
        <f>E111+'2018JUL'!H111</f>
        <v>238</v>
      </c>
      <c r="I111" s="30">
        <f t="shared" ref="I111:I112" si="9">H111/G111</f>
        <v>1.0625</v>
      </c>
      <c r="J111" s="258"/>
      <c r="K111" s="259"/>
      <c r="L111" s="259"/>
      <c r="M111" s="260"/>
    </row>
    <row r="112" spans="1:13">
      <c r="A112" s="553"/>
      <c r="B112" s="804"/>
      <c r="C112" s="38" t="s">
        <v>166</v>
      </c>
      <c r="D112" s="253">
        <f>SUM(D110:D111)</f>
        <v>64</v>
      </c>
      <c r="E112" s="253">
        <f>SUM(E110:E111)</f>
        <v>42</v>
      </c>
      <c r="F112" s="30">
        <f t="shared" si="8"/>
        <v>0.65625</v>
      </c>
      <c r="G112" s="253">
        <f>SUM(G110:G111)</f>
        <v>288</v>
      </c>
      <c r="H112" s="253">
        <f>SUM(H110:H111)</f>
        <v>278</v>
      </c>
      <c r="I112" s="30">
        <f t="shared" si="9"/>
        <v>0.96527777777777779</v>
      </c>
      <c r="J112" s="258"/>
      <c r="K112" s="259"/>
      <c r="L112" s="259"/>
      <c r="M112" s="260"/>
    </row>
    <row r="113" spans="1:13">
      <c r="A113" s="553"/>
      <c r="B113" s="611" t="s">
        <v>46</v>
      </c>
      <c r="C113" s="39" t="s">
        <v>69</v>
      </c>
      <c r="D113" s="261">
        <f>SUM(D98,D101,D104,D107,D110)</f>
        <v>10</v>
      </c>
      <c r="E113" s="261">
        <f>SUM(E98,E101,E104,E107,E110)</f>
        <v>23</v>
      </c>
      <c r="F113" s="31">
        <f t="shared" si="6"/>
        <v>2.2999999999999998</v>
      </c>
      <c r="G113" s="261">
        <f>SUM(G98,G101,G104,G107,G110)</f>
        <v>78</v>
      </c>
      <c r="H113" s="261">
        <f>SUM(H98,H101,H104,H107,H110)</f>
        <v>82</v>
      </c>
      <c r="I113" s="31">
        <f t="shared" si="7"/>
        <v>1.0512820512820513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61">
        <f>SUM(D99,D102,D105,D108,D111)</f>
        <v>283</v>
      </c>
      <c r="E114" s="261">
        <f>SUM(E99,E102,E105,E108,E111)</f>
        <v>253</v>
      </c>
      <c r="F114" s="31">
        <f t="shared" si="6"/>
        <v>0.89399293286219084</v>
      </c>
      <c r="G114" s="261">
        <f>SUM(G99,G102,G105,G108,G111)</f>
        <v>1986</v>
      </c>
      <c r="H114" s="261">
        <f>SUM(H99,H102,H105,H108,H111)</f>
        <v>1938</v>
      </c>
      <c r="I114" s="31">
        <f t="shared" si="7"/>
        <v>0.97583081570996977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64">
        <f>SUM(D113:D114)</f>
        <v>293</v>
      </c>
      <c r="E115" s="264">
        <f>SUM(E113:E114)</f>
        <v>276</v>
      </c>
      <c r="F115" s="41">
        <f t="shared" si="6"/>
        <v>0.94197952218430037</v>
      </c>
      <c r="G115" s="264">
        <f>SUM(G113:G114)</f>
        <v>2064</v>
      </c>
      <c r="H115" s="264">
        <f>SUM(H113:H114)</f>
        <v>2020</v>
      </c>
      <c r="I115" s="41">
        <f t="shared" si="7"/>
        <v>0.97868217054263562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D116+'2018JUL'!G116</f>
        <v>14</v>
      </c>
      <c r="H116" s="70">
        <f>E116+'2018JUL'!H116</f>
        <v>15</v>
      </c>
      <c r="I116" s="43">
        <f>H116/G116</f>
        <v>1.0714285714285714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60</v>
      </c>
      <c r="E117" s="252">
        <v>58</v>
      </c>
      <c r="F117" s="28">
        <f t="shared" ref="F117:F126" si="10">E117/D117</f>
        <v>0.96666666666666667</v>
      </c>
      <c r="G117" s="71">
        <f>D117+'2018JUL'!G117</f>
        <v>426</v>
      </c>
      <c r="H117" s="71">
        <f>E117+'2018JUL'!H117</f>
        <v>451</v>
      </c>
      <c r="I117" s="28">
        <f t="shared" ref="I117:I126" si="11">H117/G117</f>
        <v>1.0586854460093897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53">
        <f>SUM(D116:D117)</f>
        <v>62</v>
      </c>
      <c r="E118" s="253">
        <f>SUM(E116:E117)</f>
        <v>61</v>
      </c>
      <c r="F118" s="30">
        <f t="shared" si="10"/>
        <v>0.9838709677419355</v>
      </c>
      <c r="G118" s="253">
        <f>SUM(G116:G117)</f>
        <v>440</v>
      </c>
      <c r="H118" s="253">
        <f>SUM(H116:H117)</f>
        <v>466</v>
      </c>
      <c r="I118" s="30">
        <f t="shared" si="11"/>
        <v>1.0590909090909091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52">
        <v>0</v>
      </c>
      <c r="F119" s="28" t="e">
        <f t="shared" si="10"/>
        <v>#DIV/0!</v>
      </c>
      <c r="G119" s="66">
        <f>D119+'2018JUL'!G119</f>
        <v>0</v>
      </c>
      <c r="H119" s="66">
        <f>E119+'2018JUL'!H119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52">
        <v>46</v>
      </c>
      <c r="F120" s="28">
        <f t="shared" si="10"/>
        <v>1.2432432432432432</v>
      </c>
      <c r="G120" s="66">
        <f>D120+'2018JUL'!G120</f>
        <v>296</v>
      </c>
      <c r="H120" s="66">
        <f>E120+'2018JUL'!H120</f>
        <v>367</v>
      </c>
      <c r="I120" s="28">
        <f t="shared" si="11"/>
        <v>1.2398648648648649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53">
        <f>SUM(D119:D120)</f>
        <v>37</v>
      </c>
      <c r="E121" s="253">
        <f>SUM(E119:E120)</f>
        <v>46</v>
      </c>
      <c r="F121" s="30">
        <f t="shared" si="10"/>
        <v>1.2432432432432432</v>
      </c>
      <c r="G121" s="253">
        <f>SUM(G119:G120)</f>
        <v>296</v>
      </c>
      <c r="H121" s="253">
        <f>SUM(H119:H120)</f>
        <v>372</v>
      </c>
      <c r="I121" s="30">
        <f t="shared" si="11"/>
        <v>1.2567567567567568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61">
        <f>SUM(D116,D119)</f>
        <v>2</v>
      </c>
      <c r="E122" s="261">
        <f>SUM(E116,E119)</f>
        <v>3</v>
      </c>
      <c r="F122" s="30">
        <f t="shared" si="10"/>
        <v>1.5</v>
      </c>
      <c r="G122" s="261">
        <f>SUM(G116,G119)</f>
        <v>14</v>
      </c>
      <c r="H122" s="261">
        <f>SUM(H116,H119)</f>
        <v>20</v>
      </c>
      <c r="I122" s="30">
        <f t="shared" si="11"/>
        <v>1.4285714285714286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61">
        <f>SUM(D117,D120)</f>
        <v>97</v>
      </c>
      <c r="E123" s="261">
        <f>SUM(E117,E120)</f>
        <v>104</v>
      </c>
      <c r="F123" s="30">
        <f t="shared" si="10"/>
        <v>1.0721649484536082</v>
      </c>
      <c r="G123" s="261">
        <f>SUM(G117,G120)</f>
        <v>722</v>
      </c>
      <c r="H123" s="261">
        <f>SUM(H117,H120)</f>
        <v>818</v>
      </c>
      <c r="I123" s="30">
        <f t="shared" si="11"/>
        <v>1.1329639889196677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64">
        <f>SUM(D122:D123)</f>
        <v>99</v>
      </c>
      <c r="E124" s="264">
        <f>SUM(E122:E123)</f>
        <v>107</v>
      </c>
      <c r="F124" s="41">
        <f t="shared" si="10"/>
        <v>1.0808080808080809</v>
      </c>
      <c r="G124" s="264">
        <f>SUM(G122:G123)</f>
        <v>736</v>
      </c>
      <c r="H124" s="264">
        <f>SUM(H122:H123)</f>
        <v>838</v>
      </c>
      <c r="I124" s="41">
        <f t="shared" si="11"/>
        <v>1.138586956521739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66">
        <f>SUM(D113,D122)</f>
        <v>12</v>
      </c>
      <c r="E125" s="266">
        <f>SUM(E113,E122)</f>
        <v>26</v>
      </c>
      <c r="F125" s="45">
        <f t="shared" si="10"/>
        <v>2.1666666666666665</v>
      </c>
      <c r="G125" s="46">
        <f>SUM(G113,G122)</f>
        <v>92</v>
      </c>
      <c r="H125" s="46">
        <f>SUM(H113,H122)</f>
        <v>102</v>
      </c>
      <c r="I125" s="45">
        <f t="shared" si="11"/>
        <v>1.1086956521739131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62">
        <f>SUM(D114,D123)</f>
        <v>380</v>
      </c>
      <c r="E126" s="262">
        <f>SUM(E114,E123)</f>
        <v>357</v>
      </c>
      <c r="F126" s="32">
        <f t="shared" si="10"/>
        <v>0.93947368421052635</v>
      </c>
      <c r="G126" s="262">
        <f>SUM(G114,G123)</f>
        <v>2708</v>
      </c>
      <c r="H126" s="262">
        <f>SUM(H114,H123)</f>
        <v>2756</v>
      </c>
      <c r="I126" s="32">
        <f t="shared" si="11"/>
        <v>1.0177252584933529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62">
        <f>SUM(D125:D126)</f>
        <v>392</v>
      </c>
      <c r="E127" s="262">
        <f>SUM(E125:E126)</f>
        <v>383</v>
      </c>
      <c r="F127" s="49">
        <f>E127/D127</f>
        <v>0.97704081632653061</v>
      </c>
      <c r="G127" s="266">
        <f>SUM(G125:G126)</f>
        <v>2800</v>
      </c>
      <c r="H127" s="266">
        <f>SUM(H125:H126)</f>
        <v>2858</v>
      </c>
      <c r="I127" s="49">
        <f>H127/G127</f>
        <v>1.0207142857142857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94</v>
      </c>
      <c r="D135" s="592"/>
      <c r="E135" s="591">
        <v>6</v>
      </c>
      <c r="F135" s="592"/>
      <c r="G135" s="591">
        <v>2</v>
      </c>
      <c r="H135" s="592"/>
      <c r="I135" s="591">
        <v>12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6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6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6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65" t="s">
        <v>99</v>
      </c>
      <c r="C140" s="590">
        <v>299</v>
      </c>
      <c r="D140" s="590"/>
      <c r="E140" s="590">
        <v>182</v>
      </c>
      <c r="F140" s="590"/>
      <c r="G140" s="590">
        <v>173</v>
      </c>
      <c r="H140" s="590"/>
      <c r="I140" s="772">
        <v>16212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235</v>
      </c>
      <c r="D145" s="563"/>
      <c r="E145" s="564"/>
      <c r="F145" s="562" t="s">
        <v>228</v>
      </c>
      <c r="G145" s="563"/>
      <c r="H145" s="563"/>
      <c r="I145" s="564"/>
      <c r="J145" s="563" t="s">
        <v>240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236</v>
      </c>
      <c r="D146" s="736"/>
      <c r="E146" s="737"/>
      <c r="F146" s="750" t="s">
        <v>237</v>
      </c>
      <c r="G146" s="754"/>
      <c r="H146" s="754"/>
      <c r="I146" s="755"/>
      <c r="J146" s="751" t="s">
        <v>241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68" t="s">
        <v>109</v>
      </c>
      <c r="C154" s="268" t="s">
        <v>110</v>
      </c>
      <c r="D154" s="26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291">
        <f>'2018JUL'!H155</f>
        <v>114649</v>
      </c>
      <c r="C155" s="63">
        <f>E45-E44</f>
        <v>182355</v>
      </c>
      <c r="D155" s="73">
        <v>210337</v>
      </c>
      <c r="E155" s="531" t="s">
        <v>114</v>
      </c>
      <c r="F155" s="531"/>
      <c r="G155" s="531"/>
      <c r="H155" s="72">
        <f>C155+A155+B155-D155</f>
        <v>86667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27399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6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18497</v>
      </c>
      <c r="H165" s="778"/>
      <c r="I165" s="779"/>
      <c r="J165" s="779"/>
      <c r="K165" s="780"/>
    </row>
    <row r="166" spans="1:11" ht="14">
      <c r="A166" s="267" t="s">
        <v>126</v>
      </c>
      <c r="B166" s="777" t="s">
        <v>127</v>
      </c>
      <c r="C166" s="777"/>
      <c r="D166" s="777"/>
      <c r="E166" s="777"/>
      <c r="F166" s="777"/>
      <c r="G166" s="252">
        <v>1871</v>
      </c>
      <c r="H166" s="778"/>
      <c r="I166" s="779"/>
      <c r="J166" s="779"/>
      <c r="K166" s="780"/>
    </row>
    <row r="167" spans="1:11" ht="14">
      <c r="A167" s="267" t="s">
        <v>128</v>
      </c>
      <c r="B167" s="777" t="s">
        <v>129</v>
      </c>
      <c r="C167" s="777"/>
      <c r="D167" s="777"/>
      <c r="E167" s="777"/>
      <c r="F167" s="777"/>
      <c r="G167" s="26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0000000-0002-0000-1400-000000000000}">
      <formula1>"Jan, Feb, March, April, May, June, July, Aug, Sep, Oct, Nov, Dec"</formula1>
    </dataValidation>
    <dataValidation type="list" allowBlank="1" showInputMessage="1" showErrorMessage="1" sqref="L3" xr:uid="{00000000-0002-0000-14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3E1D-C107-43A8-A2E5-C135199C7136}">
  <sheetPr codeName="Sheet22">
    <pageSetUpPr fitToPage="1"/>
  </sheetPr>
  <dimension ref="A1:N167"/>
  <sheetViews>
    <sheetView topLeftCell="A22" zoomScale="90" zoomScaleNormal="90" zoomScaleSheetLayoutView="85" workbookViewId="0">
      <selection activeCell="E11" sqref="E11:I1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71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70" t="s">
        <v>176</v>
      </c>
      <c r="C10" s="61">
        <v>2</v>
      </c>
      <c r="D10" s="273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70" t="s">
        <v>177</v>
      </c>
      <c r="C11" s="61">
        <v>2</v>
      </c>
      <c r="D11" s="273">
        <v>2</v>
      </c>
      <c r="E11" s="809" t="s">
        <v>242</v>
      </c>
      <c r="F11" s="694"/>
      <c r="G11" s="694"/>
      <c r="H11" s="694"/>
      <c r="I11" s="695"/>
    </row>
    <row r="12" spans="1:13">
      <c r="A12" s="690"/>
      <c r="B12" s="270" t="s">
        <v>179</v>
      </c>
      <c r="C12" s="61">
        <v>2</v>
      </c>
      <c r="D12" s="273">
        <v>7</v>
      </c>
      <c r="E12" s="770" t="s">
        <v>243</v>
      </c>
      <c r="F12" s="691"/>
      <c r="G12" s="691"/>
      <c r="H12" s="691"/>
      <c r="I12" s="692"/>
    </row>
    <row r="13" spans="1:13">
      <c r="A13" s="690"/>
      <c r="B13" s="270" t="s">
        <v>180</v>
      </c>
      <c r="C13" s="61">
        <v>3</v>
      </c>
      <c r="D13" s="273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70" t="s">
        <v>12</v>
      </c>
      <c r="C14" s="61">
        <v>0</v>
      </c>
      <c r="D14" s="273">
        <v>0</v>
      </c>
      <c r="E14" s="693"/>
      <c r="F14" s="694"/>
      <c r="G14" s="694"/>
      <c r="H14" s="694"/>
      <c r="I14" s="695"/>
    </row>
    <row r="15" spans="1:13">
      <c r="A15" s="690"/>
      <c r="B15" s="270" t="s">
        <v>13</v>
      </c>
      <c r="C15" s="61">
        <v>2</v>
      </c>
      <c r="D15" s="273">
        <v>2</v>
      </c>
      <c r="E15" s="770" t="s">
        <v>252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14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72" t="s">
        <v>23</v>
      </c>
      <c r="E21" s="272" t="s">
        <v>24</v>
      </c>
      <c r="F21" s="272" t="s">
        <v>25</v>
      </c>
      <c r="G21" s="272" t="s">
        <v>23</v>
      </c>
      <c r="H21" s="272" t="s">
        <v>24</v>
      </c>
      <c r="I21" s="272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14059.199999999999</v>
      </c>
      <c r="E23" s="273">
        <v>13948</v>
      </c>
      <c r="F23" s="14">
        <f t="shared" ref="F23:F28" si="0">E23/D23</f>
        <v>0.99209058836918185</v>
      </c>
      <c r="G23" s="179">
        <f>D23+'2018AUG'!G23</f>
        <v>111498.99999999999</v>
      </c>
      <c r="H23" s="66">
        <f>E23+'2018AUG'!H23</f>
        <v>113357</v>
      </c>
      <c r="I23" s="14">
        <f t="shared" ref="I23:I28" si="1">H23/G23</f>
        <v>1.0166638265814045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74">
        <f>SUM(D23:D23)</f>
        <v>14059.199999999999</v>
      </c>
      <c r="E24" s="274">
        <f>SUM(E23:E23)</f>
        <v>13948</v>
      </c>
      <c r="F24" s="16">
        <f t="shared" si="0"/>
        <v>0.99209058836918185</v>
      </c>
      <c r="G24" s="274">
        <f>SUM(G23:G23)</f>
        <v>111498.99999999999</v>
      </c>
      <c r="H24" s="274">
        <f>SUM(H23:H23)</f>
        <v>113357</v>
      </c>
      <c r="I24" s="16">
        <f t="shared" si="1"/>
        <v>1.0166638265814045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15360</v>
      </c>
      <c r="E25" s="273">
        <v>15210</v>
      </c>
      <c r="F25" s="14">
        <f t="shared" si="0"/>
        <v>0.990234375</v>
      </c>
      <c r="G25" s="179">
        <f>D25+'2018AUG'!G25</f>
        <v>115200</v>
      </c>
      <c r="H25" s="66">
        <f>E25+'2018AUG'!H25</f>
        <v>117634</v>
      </c>
      <c r="I25" s="14">
        <f t="shared" si="1"/>
        <v>1.0211284722222222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73">
        <v>0</v>
      </c>
      <c r="F26" s="14" t="e">
        <f t="shared" si="0"/>
        <v>#DIV/0!</v>
      </c>
      <c r="G26" s="270">
        <f>D26</f>
        <v>0</v>
      </c>
      <c r="H26" s="270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74">
        <f>SUM(D25:D26)</f>
        <v>15360</v>
      </c>
      <c r="E27" s="274">
        <f>SUM(E25:E26)</f>
        <v>15210</v>
      </c>
      <c r="F27" s="16">
        <f t="shared" si="0"/>
        <v>0.990234375</v>
      </c>
      <c r="G27" s="274">
        <f>SUM(G25:G26)</f>
        <v>115200</v>
      </c>
      <c r="H27" s="274">
        <f>SUM(H25:H26)</f>
        <v>117634</v>
      </c>
      <c r="I27" s="16">
        <f t="shared" si="1"/>
        <v>1.0211284722222222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75">
        <f>SUM(D24,D27)</f>
        <v>29419.199999999997</v>
      </c>
      <c r="E28" s="275">
        <f>SUM(E24,E27)</f>
        <v>29158</v>
      </c>
      <c r="F28" s="17">
        <f t="shared" si="0"/>
        <v>0.99112144449883077</v>
      </c>
      <c r="G28" s="275">
        <f>SUM(G24,G27)</f>
        <v>226699</v>
      </c>
      <c r="H28" s="275">
        <f>SUM(H24,H27)</f>
        <v>230991</v>
      </c>
      <c r="I28" s="17">
        <f t="shared" si="1"/>
        <v>1.0189325934388771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73">
        <v>5454</v>
      </c>
      <c r="F30" s="14">
        <f>E30/D30</f>
        <v>5.4539999999999997</v>
      </c>
      <c r="G30" s="66">
        <f>D30+'2018AUG'!G30</f>
        <v>9000</v>
      </c>
      <c r="H30" s="66">
        <f>E30+'2018AUG'!H30</f>
        <v>29255</v>
      </c>
      <c r="I30" s="14">
        <f>H30/G30</f>
        <v>3.2505555555555556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73">
        <v>16196</v>
      </c>
      <c r="F31" s="14" t="e">
        <f t="shared" ref="F31:F47" si="2">E31/D31</f>
        <v>#DIV/0!</v>
      </c>
      <c r="G31" s="66">
        <f>D31+'2018AUG'!G31</f>
        <v>0</v>
      </c>
      <c r="H31" s="66">
        <f>E31+'2018AUG'!H31</f>
        <v>38393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74">
        <f>SUM(D30:D31)</f>
        <v>1000</v>
      </c>
      <c r="E32" s="274">
        <f>SUM(E30:E31)</f>
        <v>21650</v>
      </c>
      <c r="F32" s="14">
        <f t="shared" si="2"/>
        <v>21.65</v>
      </c>
      <c r="G32" s="274">
        <f>SUM(G30:G31)</f>
        <v>9000</v>
      </c>
      <c r="H32" s="274">
        <f>SUM(H30:H31)</f>
        <v>67648</v>
      </c>
      <c r="I32" s="14">
        <f t="shared" si="3"/>
        <v>7.5164444444444447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73">
        <v>9</v>
      </c>
      <c r="F33" s="14">
        <f t="shared" si="2"/>
        <v>1.3846153846153847E-2</v>
      </c>
      <c r="G33" s="66">
        <f>D33+'2018AUG'!G33</f>
        <v>5850</v>
      </c>
      <c r="H33" s="66">
        <f>E33+'2018AUG'!H33</f>
        <v>5551</v>
      </c>
      <c r="I33" s="14">
        <f t="shared" si="3"/>
        <v>0.94888888888888889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72">
        <f>SUM(D32,D33)</f>
        <v>1650</v>
      </c>
      <c r="E34" s="272">
        <f>SUM(E32,E33)</f>
        <v>21659</v>
      </c>
      <c r="F34" s="14">
        <f t="shared" si="2"/>
        <v>13.126666666666667</v>
      </c>
      <c r="G34" s="272">
        <f>SUM(G32,G33)</f>
        <v>14850</v>
      </c>
      <c r="H34" s="272">
        <f>SUM(H32,H33)</f>
        <v>73199</v>
      </c>
      <c r="I34" s="14">
        <f t="shared" si="3"/>
        <v>4.929225589225589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65">
        <v>36232</v>
      </c>
      <c r="E35" s="270">
        <v>108397</v>
      </c>
      <c r="F35" s="14">
        <f t="shared" si="2"/>
        <v>2.9917476264075953</v>
      </c>
      <c r="G35" s="66">
        <f>D35+'2018AUG'!G35</f>
        <v>326088</v>
      </c>
      <c r="H35" s="66">
        <f>E35+'2018AUG'!H35</f>
        <v>278532</v>
      </c>
      <c r="I35" s="14">
        <f t="shared" si="3"/>
        <v>0.85416206668138661</v>
      </c>
      <c r="J35" s="807" t="s">
        <v>244</v>
      </c>
      <c r="K35" s="807"/>
      <c r="L35" s="807"/>
      <c r="M35" s="808"/>
    </row>
    <row r="36" spans="1:13">
      <c r="A36" s="553"/>
      <c r="B36" s="554"/>
      <c r="C36" s="128" t="s">
        <v>40</v>
      </c>
      <c r="D36" s="270"/>
      <c r="E36" s="270"/>
      <c r="F36" s="14" t="e">
        <f t="shared" si="2"/>
        <v>#DIV/0!</v>
      </c>
      <c r="G36" s="270"/>
      <c r="H36" s="270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74">
        <f>SUM(D35:D36)</f>
        <v>36232</v>
      </c>
      <c r="E37" s="274">
        <f>SUM(E35:E36)</f>
        <v>108397</v>
      </c>
      <c r="F37" s="16">
        <f t="shared" si="2"/>
        <v>2.9917476264075953</v>
      </c>
      <c r="G37" s="290">
        <f>SUM(G35:G36)</f>
        <v>326088</v>
      </c>
      <c r="H37" s="290">
        <f>SUM(H35:H36)</f>
        <v>278532</v>
      </c>
      <c r="I37" s="16">
        <f t="shared" si="3"/>
        <v>0.85416206668138661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73">
        <v>0</v>
      </c>
      <c r="F38" s="14">
        <f t="shared" si="2"/>
        <v>0</v>
      </c>
      <c r="G38" s="66">
        <f>D38+'2018AUG'!G38</f>
        <v>9900</v>
      </c>
      <c r="H38" s="66">
        <f>E38+'2018AUG'!H38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70"/>
      <c r="E39" s="270"/>
      <c r="F39" s="14" t="e">
        <f t="shared" si="2"/>
        <v>#DIV/0!</v>
      </c>
      <c r="G39" s="270"/>
      <c r="H39" s="270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74">
        <f>SUM(D38:D39)</f>
        <v>1100</v>
      </c>
      <c r="E40" s="274">
        <f>SUM(E38:E39)</f>
        <v>0</v>
      </c>
      <c r="F40" s="16">
        <f t="shared" si="2"/>
        <v>0</v>
      </c>
      <c r="G40" s="274">
        <f>SUM(G38:G39)</f>
        <v>9900</v>
      </c>
      <c r="H40" s="274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72">
        <f>SUM(D37,D40)</f>
        <v>37332</v>
      </c>
      <c r="E41" s="272">
        <f>SUM(E37,E40)</f>
        <v>108397</v>
      </c>
      <c r="F41" s="19">
        <f t="shared" si="2"/>
        <v>2.90359477124183</v>
      </c>
      <c r="G41" s="272">
        <f>SUM(G37,G40)</f>
        <v>335988</v>
      </c>
      <c r="H41" s="272">
        <f>SUM(H37,H40)</f>
        <v>278532</v>
      </c>
      <c r="I41" s="19">
        <f t="shared" si="3"/>
        <v>0.82899389263902279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4569</v>
      </c>
      <c r="F42" s="21">
        <f t="shared" si="2"/>
        <v>0.38074999999999998</v>
      </c>
      <c r="G42" s="180">
        <f>D42+'2018AUG'!G42</f>
        <v>103500</v>
      </c>
      <c r="H42" s="77">
        <f>E42+'2018AUG'!H42</f>
        <v>146368</v>
      </c>
      <c r="I42" s="21">
        <f t="shared" si="3"/>
        <v>1.4141835748792271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0</v>
      </c>
      <c r="F43" s="21">
        <f t="shared" si="2"/>
        <v>0</v>
      </c>
      <c r="G43" s="247">
        <f>D43+'2018AUG'!G43</f>
        <v>42000</v>
      </c>
      <c r="H43" s="68">
        <f>E43+'2018AUG'!H43</f>
        <v>870</v>
      </c>
      <c r="I43" s="21">
        <f t="shared" si="3"/>
        <v>2.0714285714285713E-2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0</v>
      </c>
      <c r="F44" s="21">
        <f t="shared" si="2"/>
        <v>0</v>
      </c>
      <c r="G44" s="247">
        <f>D44+'2018AUG'!G44</f>
        <v>301500</v>
      </c>
      <c r="H44" s="180">
        <f>E44+'2018AUG'!H44</f>
        <v>299970</v>
      </c>
      <c r="I44" s="21">
        <f t="shared" si="3"/>
        <v>0.99492537313432838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78">
        <f>SUM(D28,D34,D41,D42:D44)</f>
        <v>119901.2</v>
      </c>
      <c r="E45" s="78">
        <f>SUM(E28,E34,E41,E42:E44)</f>
        <v>163783</v>
      </c>
      <c r="F45" s="22">
        <f t="shared" si="2"/>
        <v>1.3659829926639599</v>
      </c>
      <c r="G45" s="278">
        <f>SUM(G28,G34,G41,G42:G44)</f>
        <v>1024537</v>
      </c>
      <c r="H45" s="278">
        <f>SUM(H28,H34,H41,H42:H44)</f>
        <v>1029930</v>
      </c>
      <c r="I45" s="22">
        <f t="shared" si="3"/>
        <v>1.0052638411301886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78">
        <f>D45-D42</f>
        <v>107901.2</v>
      </c>
      <c r="E46" s="278">
        <f>E45-E42</f>
        <v>159214</v>
      </c>
      <c r="F46" s="22">
        <f t="shared" si="2"/>
        <v>1.4755535619622395</v>
      </c>
      <c r="G46" s="278">
        <f>G45-G42</f>
        <v>921037</v>
      </c>
      <c r="H46" s="278">
        <f>H45-H42</f>
        <v>883562</v>
      </c>
      <c r="I46" s="22">
        <f t="shared" si="3"/>
        <v>0.95931216661219909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76">
        <f>D46-D44</f>
        <v>74401.2</v>
      </c>
      <c r="E47" s="276">
        <f>E46-E44</f>
        <v>159214</v>
      </c>
      <c r="F47" s="23">
        <f t="shared" si="2"/>
        <v>2.1399386031408096</v>
      </c>
      <c r="G47" s="276">
        <f>G46-G44</f>
        <v>619537</v>
      </c>
      <c r="H47" s="276">
        <f>H46-H44</f>
        <v>583592</v>
      </c>
      <c r="I47" s="23">
        <f t="shared" si="3"/>
        <v>0.94198086635665024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77" t="s">
        <v>23</v>
      </c>
      <c r="E52" s="277" t="s">
        <v>24</v>
      </c>
      <c r="F52" s="277" t="s">
        <v>25</v>
      </c>
      <c r="G52" s="277" t="s">
        <v>23</v>
      </c>
      <c r="H52" s="277" t="s">
        <v>24</v>
      </c>
      <c r="I52" s="27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73">
        <v>21</v>
      </c>
      <c r="F53" s="28">
        <f t="shared" ref="F53:F79" si="4">E53/D53</f>
        <v>1.75</v>
      </c>
      <c r="G53" s="66">
        <f>D53+'2018AUG'!G53</f>
        <v>104</v>
      </c>
      <c r="H53" s="66">
        <f>E53+'2018AUG'!H53</f>
        <v>127</v>
      </c>
      <c r="I53" s="28">
        <f t="shared" ref="I53:I79" si="5">H53/G53</f>
        <v>1.2211538461538463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73">
        <v>380</v>
      </c>
      <c r="F54" s="28">
        <f t="shared" si="4"/>
        <v>1.2666666666666666</v>
      </c>
      <c r="G54" s="66">
        <f>D54+'2018AUG'!G54</f>
        <v>2700</v>
      </c>
      <c r="H54" s="66">
        <f>E54+'2018AUG'!H54</f>
        <v>3132</v>
      </c>
      <c r="I54" s="28">
        <f t="shared" si="5"/>
        <v>1.1599999999999999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74">
        <f>SUM(D53:D54)</f>
        <v>312</v>
      </c>
      <c r="E55" s="274">
        <f>SUM(E53:E54)</f>
        <v>401</v>
      </c>
      <c r="F55" s="30">
        <f t="shared" si="4"/>
        <v>1.2852564102564104</v>
      </c>
      <c r="G55" s="274">
        <f>SUM(G53:G54)</f>
        <v>2804</v>
      </c>
      <c r="H55" s="274">
        <f>SUM(H53:H54)</f>
        <v>3259</v>
      </c>
      <c r="I55" s="30">
        <f t="shared" si="5"/>
        <v>1.1622681883024251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73">
        <v>63</v>
      </c>
      <c r="F56" s="28">
        <f t="shared" si="4"/>
        <v>1.575</v>
      </c>
      <c r="G56" s="66">
        <f>D56+'2018AUG'!G56</f>
        <v>360</v>
      </c>
      <c r="H56" s="66">
        <f>E56+'2018AUG'!H56</f>
        <v>445</v>
      </c>
      <c r="I56" s="28">
        <f t="shared" si="5"/>
        <v>1.2361111111111112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73">
        <v>954</v>
      </c>
      <c r="F57" s="28">
        <f t="shared" si="4"/>
        <v>1.59</v>
      </c>
      <c r="G57" s="66">
        <f>D57+'2018AUG'!G57</f>
        <v>5400</v>
      </c>
      <c r="H57" s="66">
        <f>E57+'2018AUG'!H57</f>
        <v>7229</v>
      </c>
      <c r="I57" s="28">
        <f t="shared" si="5"/>
        <v>1.3387037037037037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82">
        <f>SUM(D56:D57)</f>
        <v>640</v>
      </c>
      <c r="E58" s="282">
        <f>SUM(E56:E57)</f>
        <v>1017</v>
      </c>
      <c r="F58" s="28">
        <f t="shared" si="4"/>
        <v>1.5890625</v>
      </c>
      <c r="G58" s="282">
        <f>SUM(G56:G57)</f>
        <v>5760</v>
      </c>
      <c r="H58" s="282">
        <f>SUM(H56:H57)</f>
        <v>7674</v>
      </c>
      <c r="I58" s="31">
        <f t="shared" si="5"/>
        <v>1.3322916666666667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83">
        <f>SUM(D53,D56)</f>
        <v>52</v>
      </c>
      <c r="E59" s="283">
        <f>SUM(E53,E56)</f>
        <v>84</v>
      </c>
      <c r="F59" s="32">
        <f t="shared" si="4"/>
        <v>1.6153846153846154</v>
      </c>
      <c r="G59" s="283">
        <f>SUM(G53,G56)</f>
        <v>464</v>
      </c>
      <c r="H59" s="283">
        <f>SUM(H53,H56)</f>
        <v>572</v>
      </c>
      <c r="I59" s="32">
        <f t="shared" si="5"/>
        <v>1.2327586206896552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83">
        <f>SUM(D54,D57)</f>
        <v>900</v>
      </c>
      <c r="E60" s="283">
        <f>SUM(E54,E57)</f>
        <v>1334</v>
      </c>
      <c r="F60" s="32">
        <f t="shared" si="4"/>
        <v>1.4822222222222223</v>
      </c>
      <c r="G60" s="283">
        <f>SUM(G54,G57)</f>
        <v>8100</v>
      </c>
      <c r="H60" s="283">
        <f>SUM(H54,H57)</f>
        <v>10361</v>
      </c>
      <c r="I60" s="32">
        <f t="shared" si="5"/>
        <v>1.2791358024691357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84">
        <f>SUM(D59:D60)</f>
        <v>952</v>
      </c>
      <c r="E61" s="284">
        <f>SUM(E59:E60)</f>
        <v>1418</v>
      </c>
      <c r="F61" s="33">
        <f t="shared" si="4"/>
        <v>1.4894957983193278</v>
      </c>
      <c r="G61" s="284">
        <f>SUM(G59:G60)</f>
        <v>8564</v>
      </c>
      <c r="H61" s="284">
        <f>SUM(H59:H60)</f>
        <v>10933</v>
      </c>
      <c r="I61" s="33">
        <f t="shared" si="5"/>
        <v>1.2766230733302195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70">
        <f>E71/10</f>
        <v>73</v>
      </c>
      <c r="F62" s="28">
        <f t="shared" si="4"/>
        <v>1.7380952380952381</v>
      </c>
      <c r="G62" s="66">
        <f>D62+'2018AUG'!G62</f>
        <v>364</v>
      </c>
      <c r="H62" s="66">
        <f>E62+'2018AUG'!H62</f>
        <v>441.5</v>
      </c>
      <c r="I62" s="28">
        <f t="shared" si="5"/>
        <v>1.2129120879120878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70">
        <f>E72/10</f>
        <v>1321.8</v>
      </c>
      <c r="F63" s="28">
        <f t="shared" si="4"/>
        <v>1.2660919540229885</v>
      </c>
      <c r="G63" s="248">
        <f>D63+'2018AUG'!G63</f>
        <v>9396</v>
      </c>
      <c r="H63" s="66">
        <f>E63+'2018AUG'!H63</f>
        <v>10894.199999999999</v>
      </c>
      <c r="I63" s="28">
        <f t="shared" si="5"/>
        <v>1.1594508301404851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74">
        <f>SUM(E62:E63)</f>
        <v>1394.8</v>
      </c>
      <c r="F64" s="30">
        <f t="shared" si="4"/>
        <v>1.2843462246777164</v>
      </c>
      <c r="G64" s="274">
        <f>SUM(G62:G63)</f>
        <v>9760</v>
      </c>
      <c r="H64" s="274">
        <f>SUM(H62:H63)</f>
        <v>11335.699999999999</v>
      </c>
      <c r="I64" s="30">
        <f t="shared" si="5"/>
        <v>1.1614446721311473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70">
        <f>E74/10</f>
        <v>92.2</v>
      </c>
      <c r="F65" s="28">
        <f t="shared" si="4"/>
        <v>1.440625</v>
      </c>
      <c r="G65" s="66">
        <f>D65+'2018AUG'!G65</f>
        <v>576</v>
      </c>
      <c r="H65" s="66">
        <f>E65+'2018AUG'!H65</f>
        <v>579.40000000000009</v>
      </c>
      <c r="I65" s="28">
        <f t="shared" si="5"/>
        <v>1.005902777777778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70">
        <f>E75/10</f>
        <v>1428.8</v>
      </c>
      <c r="F66" s="28">
        <f t="shared" si="4"/>
        <v>1.4883333333333333</v>
      </c>
      <c r="G66" s="66">
        <f>D66+'2018AUG'!G66</f>
        <v>8640</v>
      </c>
      <c r="H66" s="66">
        <f>E66+'2018AUG'!H66</f>
        <v>11184</v>
      </c>
      <c r="I66" s="28">
        <f t="shared" si="5"/>
        <v>1.2944444444444445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82">
        <f>SUM(D65:D66)</f>
        <v>1024</v>
      </c>
      <c r="E67" s="282">
        <f>SUM(E65:E66)</f>
        <v>1521</v>
      </c>
      <c r="F67" s="31">
        <f t="shared" si="4"/>
        <v>1.4853515625</v>
      </c>
      <c r="G67" s="282">
        <f>SUM(G65:G66)</f>
        <v>9216</v>
      </c>
      <c r="H67" s="282">
        <f>SUM(H65:H66)</f>
        <v>11763.4</v>
      </c>
      <c r="I67" s="31">
        <f t="shared" si="5"/>
        <v>1.2764105902777778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83">
        <f>SUM(D62,D65)</f>
        <v>106</v>
      </c>
      <c r="E68" s="283">
        <f>SUM(E62,E65)</f>
        <v>165.2</v>
      </c>
      <c r="F68" s="32">
        <f t="shared" si="4"/>
        <v>1.5584905660377357</v>
      </c>
      <c r="G68" s="283">
        <f>SUM(G62,G65)</f>
        <v>940</v>
      </c>
      <c r="H68" s="283">
        <f>SUM(H62,H65)</f>
        <v>1020.9000000000001</v>
      </c>
      <c r="I68" s="32">
        <f t="shared" si="5"/>
        <v>1.086063829787234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83">
        <f>SUM(D63,D66)</f>
        <v>2004</v>
      </c>
      <c r="E69" s="283">
        <f>SUM(E63,E66)</f>
        <v>2750.6</v>
      </c>
      <c r="F69" s="32">
        <f t="shared" si="4"/>
        <v>1.3725548902195608</v>
      </c>
      <c r="G69" s="283">
        <f>SUM(G63,G66)</f>
        <v>18036</v>
      </c>
      <c r="H69" s="283">
        <f>SUM(H63,H66)</f>
        <v>22078.199999999997</v>
      </c>
      <c r="I69" s="32">
        <f t="shared" si="5"/>
        <v>1.2241184298070524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84">
        <f>SUM(D68:D69)</f>
        <v>2110</v>
      </c>
      <c r="E70" s="284">
        <f>SUM(E68:E69)</f>
        <v>2915.7999999999997</v>
      </c>
      <c r="F70" s="34">
        <f t="shared" si="4"/>
        <v>1.3818957345971563</v>
      </c>
      <c r="G70" s="284">
        <f>SUM(G68:G69)</f>
        <v>18976</v>
      </c>
      <c r="H70" s="284">
        <f>SUM(H68:H69)</f>
        <v>23099.1</v>
      </c>
      <c r="I70" s="34">
        <f t="shared" si="5"/>
        <v>1.2172797217537943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3619.1999999999994</v>
      </c>
      <c r="E71" s="273">
        <v>730</v>
      </c>
      <c r="F71" s="28">
        <f t="shared" si="4"/>
        <v>0.20170203359858535</v>
      </c>
      <c r="G71" s="179">
        <f>D71+'2018AUG'!G71</f>
        <v>17539</v>
      </c>
      <c r="H71" s="66">
        <f>E71+'2018AUG'!H71</f>
        <v>4415</v>
      </c>
      <c r="I71" s="28">
        <f t="shared" si="5"/>
        <v>0.25172472774958665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90">
        <f>E23-E71</f>
        <v>13218</v>
      </c>
      <c r="F72" s="28">
        <f t="shared" si="4"/>
        <v>1.2660919540229885</v>
      </c>
      <c r="G72" s="248">
        <f>D72+'2018AUG'!G72</f>
        <v>93960</v>
      </c>
      <c r="H72" s="66">
        <f>E72+'2018AUG'!H72</f>
        <v>108942</v>
      </c>
      <c r="I72" s="28">
        <f t="shared" si="5"/>
        <v>1.1594508301404853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74">
        <f>SUM(D71:D72)</f>
        <v>14059.199999999999</v>
      </c>
      <c r="E73" s="274">
        <f>SUM(E71:E72)</f>
        <v>13948</v>
      </c>
      <c r="F73" s="30">
        <f t="shared" si="4"/>
        <v>0.99209058836918185</v>
      </c>
      <c r="G73" s="274">
        <f>SUM(G71:G72)</f>
        <v>111499</v>
      </c>
      <c r="H73" s="274">
        <f>SUM(H71:H72)</f>
        <v>113357</v>
      </c>
      <c r="I73" s="30">
        <f t="shared" si="5"/>
        <v>1.0166638265814043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5760</v>
      </c>
      <c r="E74" s="273">
        <v>922</v>
      </c>
      <c r="F74" s="28">
        <f t="shared" si="4"/>
        <v>0.16006944444444443</v>
      </c>
      <c r="G74" s="179">
        <f>D74+'2018AUG'!G74</f>
        <v>28800</v>
      </c>
      <c r="H74" s="66">
        <f>E74+'2018AUG'!H74</f>
        <v>5794</v>
      </c>
      <c r="I74" s="28">
        <f t="shared" si="5"/>
        <v>0.20118055555555556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90">
        <f>E25-E74</f>
        <v>14288</v>
      </c>
      <c r="F75" s="28">
        <f t="shared" si="4"/>
        <v>1.4883333333333333</v>
      </c>
      <c r="G75" s="248">
        <f>D75+'2018AUG'!G75</f>
        <v>86400</v>
      </c>
      <c r="H75" s="66">
        <f>E75+'2018AUG'!H75</f>
        <v>111840</v>
      </c>
      <c r="I75" s="28">
        <f t="shared" si="5"/>
        <v>1.2944444444444445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82">
        <f>SUM(D74:D75)</f>
        <v>15360</v>
      </c>
      <c r="E76" s="282">
        <f>SUM(E74:E75)</f>
        <v>15210</v>
      </c>
      <c r="F76" s="31">
        <f t="shared" si="4"/>
        <v>0.990234375</v>
      </c>
      <c r="G76" s="282">
        <f>SUM(G74:G75)</f>
        <v>115200</v>
      </c>
      <c r="H76" s="282">
        <f>SUM(H74:H75)</f>
        <v>117634</v>
      </c>
      <c r="I76" s="31">
        <f t="shared" si="5"/>
        <v>1.0211284722222222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83">
        <f>SUM(D71,D74)</f>
        <v>9379.1999999999989</v>
      </c>
      <c r="E77" s="283">
        <f>SUM(E71,E74)</f>
        <v>1652</v>
      </c>
      <c r="F77" s="32">
        <f t="shared" si="4"/>
        <v>0.17613442511088367</v>
      </c>
      <c r="G77" s="283">
        <f>SUM(G71,G74)</f>
        <v>46339</v>
      </c>
      <c r="H77" s="283">
        <f>SUM(H71,H74)</f>
        <v>10209</v>
      </c>
      <c r="I77" s="32">
        <f t="shared" si="5"/>
        <v>0.22031118496299013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83">
        <f>SUM(D72,D75)</f>
        <v>20040</v>
      </c>
      <c r="E78" s="283">
        <f>SUM(E72,E75)</f>
        <v>27506</v>
      </c>
      <c r="F78" s="32">
        <f t="shared" si="4"/>
        <v>1.3725548902195608</v>
      </c>
      <c r="G78" s="283">
        <f>SUM(G72,G75)</f>
        <v>180360</v>
      </c>
      <c r="H78" s="283">
        <f>SUM(H72,H75)</f>
        <v>220782</v>
      </c>
      <c r="I78" s="32">
        <f t="shared" si="5"/>
        <v>1.2241184298070527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84">
        <f>SUM(D77:D78)</f>
        <v>29419.199999999997</v>
      </c>
      <c r="E79" s="284">
        <f>SUM(E77:E78)</f>
        <v>29158</v>
      </c>
      <c r="F79" s="34">
        <f t="shared" si="4"/>
        <v>0.99112144449883077</v>
      </c>
      <c r="G79" s="284">
        <f>SUM(G77:G78)</f>
        <v>226699</v>
      </c>
      <c r="H79" s="284">
        <f>SUM(H77:H78)</f>
        <v>230991</v>
      </c>
      <c r="I79" s="34">
        <f t="shared" si="5"/>
        <v>1.0189325934388771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401</v>
      </c>
      <c r="E87" s="130"/>
      <c r="F87" s="134">
        <f>D87+'2018AUG'!F87</f>
        <v>3259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21</v>
      </c>
      <c r="E88" s="128"/>
      <c r="F88" s="134">
        <f>D88+'2018AUG'!F88</f>
        <v>127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D89+'2018AUG'!F89</f>
        <v>12</v>
      </c>
      <c r="G89" s="128">
        <f>F89/F87</f>
        <v>3.6821110770174901E-3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3</v>
      </c>
      <c r="E90" s="128">
        <f>D90/D92</f>
        <v>1.3452914798206279E-2</v>
      </c>
      <c r="F90" s="134">
        <f>D90+'2018AUG'!F90</f>
        <v>180</v>
      </c>
      <c r="G90" s="128">
        <f>F90/F92</f>
        <v>9.5440084835630962E-2</v>
      </c>
      <c r="H90" s="128"/>
    </row>
    <row r="91" spans="1:13" ht="15" customHeight="1">
      <c r="A91" s="775"/>
      <c r="B91" s="776" t="s">
        <v>202</v>
      </c>
      <c r="C91" s="776"/>
      <c r="D91" s="131">
        <v>241</v>
      </c>
      <c r="E91" s="128">
        <f>D91/D92</f>
        <v>1.0807174887892377</v>
      </c>
      <c r="F91" s="134">
        <f>D91+'2018AUG'!F91</f>
        <v>1846</v>
      </c>
      <c r="G91" s="128">
        <f>F91/F92</f>
        <v>0.97879109225874872</v>
      </c>
      <c r="H91" s="128"/>
    </row>
    <row r="92" spans="1:13" ht="15" customHeight="1">
      <c r="A92" s="775"/>
      <c r="B92" s="776" t="s">
        <v>203</v>
      </c>
      <c r="C92" s="776"/>
      <c r="D92" s="131">
        <v>223</v>
      </c>
      <c r="E92" s="130"/>
      <c r="F92" s="134">
        <f>D92+'2018AUG'!F92</f>
        <v>1886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77" t="s">
        <v>23</v>
      </c>
      <c r="E97" s="277" t="s">
        <v>24</v>
      </c>
      <c r="F97" s="277" t="s">
        <v>25</v>
      </c>
      <c r="G97" s="277" t="s">
        <v>23</v>
      </c>
      <c r="H97" s="277" t="s">
        <v>24</v>
      </c>
      <c r="I97" s="27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73">
        <v>0</v>
      </c>
      <c r="F98" s="37" t="e">
        <f>E98/D98</f>
        <v>#DIV/0!</v>
      </c>
      <c r="G98" s="66">
        <f>D98+'2018AUG'!G98</f>
        <v>0</v>
      </c>
      <c r="H98" s="66">
        <f>E98+'2018AUG'!H98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73">
        <v>39</v>
      </c>
      <c r="F99" s="28">
        <f t="shared" ref="F99:F115" si="6">E99/D99</f>
        <v>0.95121951219512191</v>
      </c>
      <c r="G99" s="66">
        <f>D99+'2018AUG'!G99</f>
        <v>369</v>
      </c>
      <c r="H99" s="66">
        <f>E99+'2018AUG'!H99</f>
        <v>363</v>
      </c>
      <c r="I99" s="28">
        <f t="shared" ref="I99:I115" si="7">H99/G99</f>
        <v>0.98373983739837401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74">
        <f>SUM(D98:D99)</f>
        <v>41</v>
      </c>
      <c r="E100" s="274">
        <f>SUM(E98:E99)</f>
        <v>39</v>
      </c>
      <c r="F100" s="30">
        <f t="shared" si="6"/>
        <v>0.95121951219512191</v>
      </c>
      <c r="G100" s="274">
        <f>SUM(G98:G99)</f>
        <v>369</v>
      </c>
      <c r="H100" s="274">
        <f>SUM(H98:H99)</f>
        <v>364</v>
      </c>
      <c r="I100" s="30">
        <f t="shared" si="7"/>
        <v>0.98644986449864502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73">
        <v>0</v>
      </c>
      <c r="F101" s="28" t="e">
        <f t="shared" si="6"/>
        <v>#DIV/0!</v>
      </c>
      <c r="G101" s="66">
        <f>D101+'2018AUG'!G101</f>
        <v>0</v>
      </c>
      <c r="H101" s="66">
        <f>E101+'2018AUG'!H101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73">
        <v>9</v>
      </c>
      <c r="F102" s="28">
        <f t="shared" si="6"/>
        <v>0.81818181818181823</v>
      </c>
      <c r="G102" s="66">
        <f>D102+'2018AUG'!G102</f>
        <v>99</v>
      </c>
      <c r="H102" s="66">
        <f>E102+'2018AUG'!H102</f>
        <v>87</v>
      </c>
      <c r="I102" s="28">
        <f t="shared" si="7"/>
        <v>0.87878787878787878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74">
        <f>SUM(D101:D102)</f>
        <v>11</v>
      </c>
      <c r="E103" s="274">
        <f>SUM(E101:E102)</f>
        <v>9</v>
      </c>
      <c r="F103" s="30">
        <f t="shared" si="6"/>
        <v>0.81818181818181823</v>
      </c>
      <c r="G103" s="274">
        <f>SUM(G101:G102)</f>
        <v>99</v>
      </c>
      <c r="H103" s="274">
        <f>SUM(H101:H102)</f>
        <v>87</v>
      </c>
      <c r="I103" s="30">
        <f t="shared" si="7"/>
        <v>0.87878787878787878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73">
        <v>2</v>
      </c>
      <c r="F104" s="28" t="e">
        <f t="shared" si="6"/>
        <v>#DIV/0!</v>
      </c>
      <c r="G104" s="66">
        <f>D104+'2018AUG'!G104</f>
        <v>0</v>
      </c>
      <c r="H104" s="66">
        <f>E104+'2018AUG'!H104</f>
        <v>9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73">
        <v>63</v>
      </c>
      <c r="F105" s="28">
        <f t="shared" si="6"/>
        <v>1</v>
      </c>
      <c r="G105" s="66">
        <f>D105+'2018AUG'!G105</f>
        <v>567</v>
      </c>
      <c r="H105" s="66">
        <f>E105+'2018AUG'!H105</f>
        <v>538</v>
      </c>
      <c r="I105" s="28">
        <f t="shared" si="7"/>
        <v>0.94885361552028213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74">
        <f>SUM(D104:D105)</f>
        <v>63</v>
      </c>
      <c r="E106" s="274">
        <f>SUM(E104:E105)</f>
        <v>65</v>
      </c>
      <c r="F106" s="30">
        <f t="shared" si="6"/>
        <v>1.0317460317460319</v>
      </c>
      <c r="G106" s="274">
        <f>SUM(G104:G105)</f>
        <v>567</v>
      </c>
      <c r="H106" s="274">
        <f>SUM(H104:H105)</f>
        <v>547</v>
      </c>
      <c r="I106" s="30">
        <f t="shared" si="7"/>
        <v>0.96472663139329806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73">
        <v>7</v>
      </c>
      <c r="F107" s="28">
        <f>E107/D107</f>
        <v>3.5</v>
      </c>
      <c r="G107" s="66">
        <f>D107+'2018AUG'!G107</f>
        <v>16</v>
      </c>
      <c r="H107" s="66">
        <f>E107+'2018AUG'!H107</f>
        <v>41</v>
      </c>
      <c r="I107" s="28">
        <f>H107/G107</f>
        <v>2.5625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114</v>
      </c>
      <c r="E108" s="273">
        <v>123</v>
      </c>
      <c r="F108" s="28">
        <f>E108/D108</f>
        <v>1.0789473684210527</v>
      </c>
      <c r="G108" s="66">
        <f>D108+'2018AUG'!G108</f>
        <v>956</v>
      </c>
      <c r="H108" s="66">
        <f>E108+'2018AUG'!H108</f>
        <v>946</v>
      </c>
      <c r="I108" s="28">
        <f t="shared" si="7"/>
        <v>0.9895397489539749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74">
        <f>SUM(D107:D108)</f>
        <v>116</v>
      </c>
      <c r="E109" s="274">
        <f>SUM(E107:E108)</f>
        <v>130</v>
      </c>
      <c r="F109" s="30">
        <f t="shared" si="6"/>
        <v>1.1206896551724137</v>
      </c>
      <c r="G109" s="274">
        <f>SUM(G107:G108)</f>
        <v>972</v>
      </c>
      <c r="H109" s="274">
        <f>SUM(H107:H108)</f>
        <v>987</v>
      </c>
      <c r="I109" s="30">
        <f t="shared" si="7"/>
        <v>1.0154320987654322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73">
        <v>6</v>
      </c>
      <c r="F110" s="30">
        <f>E110/D110</f>
        <v>0.75</v>
      </c>
      <c r="G110" s="66">
        <f>D110+'2018AUG'!G110</f>
        <v>72</v>
      </c>
      <c r="H110" s="66">
        <f>E110+'2018AUG'!H110</f>
        <v>46</v>
      </c>
      <c r="I110" s="30">
        <f>H110/G110</f>
        <v>0.63888888888888884</v>
      </c>
      <c r="J110" s="279"/>
      <c r="K110" s="280"/>
      <c r="L110" s="280"/>
      <c r="M110" s="281"/>
    </row>
    <row r="111" spans="1:13">
      <c r="A111" s="553"/>
      <c r="B111" s="803"/>
      <c r="C111" s="27" t="s">
        <v>70</v>
      </c>
      <c r="D111" s="65">
        <v>64</v>
      </c>
      <c r="E111" s="273">
        <v>42</v>
      </c>
      <c r="F111" s="30">
        <f t="shared" ref="F111:F112" si="8">E111/D111</f>
        <v>0.65625</v>
      </c>
      <c r="G111" s="66">
        <f>D111+'2018AUG'!G111</f>
        <v>288</v>
      </c>
      <c r="H111" s="66">
        <f>E111+'2018AUG'!H111</f>
        <v>280</v>
      </c>
      <c r="I111" s="30">
        <f t="shared" ref="I111:I112" si="9">H111/G111</f>
        <v>0.97222222222222221</v>
      </c>
      <c r="J111" s="279"/>
      <c r="K111" s="280"/>
      <c r="L111" s="280"/>
      <c r="M111" s="281"/>
    </row>
    <row r="112" spans="1:13">
      <c r="A112" s="553"/>
      <c r="B112" s="804"/>
      <c r="C112" s="38" t="s">
        <v>166</v>
      </c>
      <c r="D112" s="274">
        <f>SUM(D110:D111)</f>
        <v>72</v>
      </c>
      <c r="E112" s="274">
        <f>SUM(E110:E111)</f>
        <v>48</v>
      </c>
      <c r="F112" s="30">
        <f t="shared" si="8"/>
        <v>0.66666666666666663</v>
      </c>
      <c r="G112" s="274">
        <f>SUM(G110:G111)</f>
        <v>360</v>
      </c>
      <c r="H112" s="274">
        <f>SUM(H110:H111)</f>
        <v>326</v>
      </c>
      <c r="I112" s="30">
        <f t="shared" si="9"/>
        <v>0.90555555555555556</v>
      </c>
      <c r="J112" s="279"/>
      <c r="K112" s="280"/>
      <c r="L112" s="280"/>
      <c r="M112" s="281"/>
    </row>
    <row r="113" spans="1:13">
      <c r="A113" s="553"/>
      <c r="B113" s="611" t="s">
        <v>46</v>
      </c>
      <c r="C113" s="39" t="s">
        <v>69</v>
      </c>
      <c r="D113" s="282">
        <f>SUM(D98,D101,D104,D107,D110)</f>
        <v>10</v>
      </c>
      <c r="E113" s="282">
        <f>SUM(E98,E101,E104,E107,E110)</f>
        <v>15</v>
      </c>
      <c r="F113" s="31">
        <f t="shared" si="6"/>
        <v>1.5</v>
      </c>
      <c r="G113" s="282">
        <f>SUM(G98,G101,G104,G107,G110)</f>
        <v>88</v>
      </c>
      <c r="H113" s="282">
        <f>SUM(H98,H101,H104,H107,H110)</f>
        <v>97</v>
      </c>
      <c r="I113" s="31">
        <f t="shared" si="7"/>
        <v>1.1022727272727273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82">
        <f>SUM(D99,D102,D105,D108,D111)</f>
        <v>293</v>
      </c>
      <c r="E114" s="282">
        <f>SUM(E99,E102,E105,E108,E111)</f>
        <v>276</v>
      </c>
      <c r="F114" s="31">
        <f t="shared" si="6"/>
        <v>0.94197952218430037</v>
      </c>
      <c r="G114" s="282">
        <f>SUM(G99,G102,G105,G108,G111)</f>
        <v>2279</v>
      </c>
      <c r="H114" s="282">
        <f>SUM(H99,H102,H105,H108,H111)</f>
        <v>2214</v>
      </c>
      <c r="I114" s="31">
        <f t="shared" si="7"/>
        <v>0.97147871873628788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85">
        <f>SUM(D113:D114)</f>
        <v>303</v>
      </c>
      <c r="E115" s="285">
        <f>SUM(E113:E114)</f>
        <v>291</v>
      </c>
      <c r="F115" s="41">
        <f t="shared" si="6"/>
        <v>0.96039603960396036</v>
      </c>
      <c r="G115" s="285">
        <f>SUM(G113:G114)</f>
        <v>2367</v>
      </c>
      <c r="H115" s="285">
        <f>SUM(H113:H114)</f>
        <v>2311</v>
      </c>
      <c r="I115" s="41">
        <f t="shared" si="7"/>
        <v>0.97634136037177865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D116+'2018AUG'!G116</f>
        <v>16</v>
      </c>
      <c r="H116" s="70">
        <f>E116+'2018AUG'!H116</f>
        <v>18</v>
      </c>
      <c r="I116" s="43">
        <f>H116/G116</f>
        <v>1.125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62</v>
      </c>
      <c r="E117" s="273">
        <v>61</v>
      </c>
      <c r="F117" s="28">
        <f t="shared" ref="F117:F126" si="10">E117/D117</f>
        <v>0.9838709677419355</v>
      </c>
      <c r="G117" s="71">
        <f>D117+'2018AUG'!G117</f>
        <v>488</v>
      </c>
      <c r="H117" s="71">
        <f>E117+'2018AUG'!H117</f>
        <v>512</v>
      </c>
      <c r="I117" s="28">
        <f t="shared" ref="I117:I126" si="11">H117/G117</f>
        <v>1.0491803278688525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74">
        <f>SUM(D116:D117)</f>
        <v>64</v>
      </c>
      <c r="E118" s="274">
        <f>SUM(E116:E117)</f>
        <v>64</v>
      </c>
      <c r="F118" s="30">
        <f t="shared" si="10"/>
        <v>1</v>
      </c>
      <c r="G118" s="274">
        <f>SUM(G116:G117)</f>
        <v>504</v>
      </c>
      <c r="H118" s="274">
        <f>SUM(H116:H117)</f>
        <v>530</v>
      </c>
      <c r="I118" s="30">
        <f t="shared" si="11"/>
        <v>1.0515873015873016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73">
        <v>0</v>
      </c>
      <c r="F119" s="28" t="e">
        <f t="shared" si="10"/>
        <v>#DIV/0!</v>
      </c>
      <c r="G119" s="66">
        <f>D119+'2018AUG'!G119</f>
        <v>0</v>
      </c>
      <c r="H119" s="66">
        <f>E119+'2018AUG'!H119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73">
        <v>46</v>
      </c>
      <c r="F120" s="28">
        <f t="shared" si="10"/>
        <v>1.2432432432432432</v>
      </c>
      <c r="G120" s="66">
        <f>D120+'2018AUG'!G120</f>
        <v>333</v>
      </c>
      <c r="H120" s="66">
        <f>E120+'2018AUG'!H120</f>
        <v>413</v>
      </c>
      <c r="I120" s="28">
        <f t="shared" si="11"/>
        <v>1.2402402402402402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74">
        <f>SUM(D119:D120)</f>
        <v>37</v>
      </c>
      <c r="E121" s="274">
        <f>SUM(E119:E120)</f>
        <v>46</v>
      </c>
      <c r="F121" s="30">
        <f t="shared" si="10"/>
        <v>1.2432432432432432</v>
      </c>
      <c r="G121" s="274">
        <f>SUM(G119:G120)</f>
        <v>333</v>
      </c>
      <c r="H121" s="274">
        <f>SUM(H119:H120)</f>
        <v>418</v>
      </c>
      <c r="I121" s="30">
        <f t="shared" si="11"/>
        <v>1.2552552552552552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82">
        <f>SUM(D116,D119)</f>
        <v>2</v>
      </c>
      <c r="E122" s="282">
        <f>SUM(E116,E119)</f>
        <v>3</v>
      </c>
      <c r="F122" s="30">
        <f t="shared" si="10"/>
        <v>1.5</v>
      </c>
      <c r="G122" s="282">
        <f>SUM(G116,G119)</f>
        <v>16</v>
      </c>
      <c r="H122" s="282">
        <f>SUM(H116,H119)</f>
        <v>23</v>
      </c>
      <c r="I122" s="30">
        <f t="shared" si="11"/>
        <v>1.4375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82">
        <f>SUM(D117,D120)</f>
        <v>99</v>
      </c>
      <c r="E123" s="282">
        <f>SUM(E117,E120)</f>
        <v>107</v>
      </c>
      <c r="F123" s="30">
        <f t="shared" si="10"/>
        <v>1.0808080808080809</v>
      </c>
      <c r="G123" s="282">
        <f>SUM(G117,G120)</f>
        <v>821</v>
      </c>
      <c r="H123" s="282">
        <f>SUM(H117,H120)</f>
        <v>925</v>
      </c>
      <c r="I123" s="30">
        <f t="shared" si="11"/>
        <v>1.1266747868453106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85">
        <f>SUM(D122:D123)</f>
        <v>101</v>
      </c>
      <c r="E124" s="285">
        <f>SUM(E122:E123)</f>
        <v>110</v>
      </c>
      <c r="F124" s="41">
        <f t="shared" si="10"/>
        <v>1.0891089108910892</v>
      </c>
      <c r="G124" s="285">
        <f>SUM(G122:G123)</f>
        <v>837</v>
      </c>
      <c r="H124" s="285">
        <f>SUM(H122:H123)</f>
        <v>948</v>
      </c>
      <c r="I124" s="41">
        <f t="shared" si="11"/>
        <v>1.1326164874551972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87">
        <f>SUM(D113,D122)</f>
        <v>12</v>
      </c>
      <c r="E125" s="287">
        <f>SUM(E113,E122)</f>
        <v>18</v>
      </c>
      <c r="F125" s="45">
        <f t="shared" si="10"/>
        <v>1.5</v>
      </c>
      <c r="G125" s="46">
        <f>SUM(G113,G122)</f>
        <v>104</v>
      </c>
      <c r="H125" s="46">
        <f>SUM(H113,H122)</f>
        <v>120</v>
      </c>
      <c r="I125" s="45">
        <f t="shared" si="11"/>
        <v>1.1538461538461537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83">
        <f>SUM(D114,D123)</f>
        <v>392</v>
      </c>
      <c r="E126" s="283">
        <f>SUM(E114,E123)</f>
        <v>383</v>
      </c>
      <c r="F126" s="32">
        <f t="shared" si="10"/>
        <v>0.97704081632653061</v>
      </c>
      <c r="G126" s="283">
        <f>SUM(G114,G123)</f>
        <v>3100</v>
      </c>
      <c r="H126" s="283">
        <f>SUM(H114,H123)</f>
        <v>3139</v>
      </c>
      <c r="I126" s="32">
        <f t="shared" si="11"/>
        <v>1.0125806451612904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83">
        <f>SUM(D125:D126)</f>
        <v>404</v>
      </c>
      <c r="E127" s="283">
        <f>SUM(E125:E126)</f>
        <v>401</v>
      </c>
      <c r="F127" s="49">
        <f>E127/D127</f>
        <v>0.99257425742574257</v>
      </c>
      <c r="G127" s="287">
        <f>SUM(G125:G126)</f>
        <v>3204</v>
      </c>
      <c r="H127" s="287">
        <f>SUM(H125:H126)</f>
        <v>3259</v>
      </c>
      <c r="I127" s="49">
        <f>H127/G127</f>
        <v>1.0171660424469413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4</v>
      </c>
      <c r="F135" s="592"/>
      <c r="G135" s="591">
        <v>15</v>
      </c>
      <c r="H135" s="592"/>
      <c r="I135" s="591">
        <v>11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8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8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8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86" t="s">
        <v>99</v>
      </c>
      <c r="C140" s="590">
        <v>0</v>
      </c>
      <c r="D140" s="590"/>
      <c r="E140" s="590">
        <v>193</v>
      </c>
      <c r="F140" s="590"/>
      <c r="G140" s="590">
        <v>173</v>
      </c>
      <c r="H140" s="590"/>
      <c r="I140" s="772">
        <v>4203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245</v>
      </c>
      <c r="D145" s="563"/>
      <c r="E145" s="564"/>
      <c r="F145" s="562" t="s">
        <v>240</v>
      </c>
      <c r="G145" s="563"/>
      <c r="H145" s="563"/>
      <c r="I145" s="564"/>
      <c r="J145" s="563" t="s">
        <v>149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247</v>
      </c>
      <c r="D146" s="736"/>
      <c r="E146" s="737"/>
      <c r="F146" s="750" t="s">
        <v>246</v>
      </c>
      <c r="G146" s="754"/>
      <c r="H146" s="754"/>
      <c r="I146" s="755"/>
      <c r="J146" s="751" t="s">
        <v>248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89" t="s">
        <v>109</v>
      </c>
      <c r="C154" s="289" t="s">
        <v>110</v>
      </c>
      <c r="D154" s="289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291">
        <f>'2018AUG'!H155</f>
        <v>86667</v>
      </c>
      <c r="C155" s="63">
        <f>E45-E44</f>
        <v>163783</v>
      </c>
      <c r="D155" s="73">
        <f>84421+108397+30000</f>
        <v>222818</v>
      </c>
      <c r="E155" s="531" t="s">
        <v>114</v>
      </c>
      <c r="F155" s="531"/>
      <c r="G155" s="531"/>
      <c r="H155" s="72">
        <f>C155+A155+B155-D155</f>
        <v>27632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21044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90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18562</v>
      </c>
      <c r="H165" s="778"/>
      <c r="I165" s="779"/>
      <c r="J165" s="779"/>
      <c r="K165" s="780"/>
    </row>
    <row r="166" spans="1:11" ht="14">
      <c r="A166" s="288" t="s">
        <v>126</v>
      </c>
      <c r="B166" s="777" t="s">
        <v>127</v>
      </c>
      <c r="C166" s="777"/>
      <c r="D166" s="777"/>
      <c r="E166" s="777"/>
      <c r="F166" s="777"/>
      <c r="G166" s="273">
        <v>1879</v>
      </c>
      <c r="H166" s="778"/>
      <c r="I166" s="779"/>
      <c r="J166" s="779"/>
      <c r="K166" s="780"/>
    </row>
    <row r="167" spans="1:11" ht="14">
      <c r="A167" s="288" t="s">
        <v>128</v>
      </c>
      <c r="B167" s="777" t="s">
        <v>129</v>
      </c>
      <c r="C167" s="777"/>
      <c r="D167" s="777"/>
      <c r="E167" s="777"/>
      <c r="F167" s="777"/>
      <c r="G167" s="290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A1BE112C-4615-44C2-81A4-08F69B02AF9B}">
      <formula1>"USA, JAPAN"</formula1>
    </dataValidation>
    <dataValidation type="list" allowBlank="1" showInputMessage="1" showErrorMessage="1" sqref="G1" xr:uid="{C38E84BC-0A78-4CD5-B8A1-C917E834CEC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DBF-C37E-4519-B3EB-47B88FD77AA5}">
  <sheetPr codeName="Sheet23">
    <pageSetUpPr fitToPage="1"/>
  </sheetPr>
  <dimension ref="A1:N167"/>
  <sheetViews>
    <sheetView topLeftCell="A26" zoomScale="90" zoomScaleNormal="90" zoomScaleSheetLayoutView="85" workbookViewId="0">
      <selection activeCell="E155" sqref="E155:G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43413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93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92" t="s">
        <v>176</v>
      </c>
      <c r="C10" s="61">
        <v>2</v>
      </c>
      <c r="D10" s="295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292" t="s">
        <v>177</v>
      </c>
      <c r="C11" s="61">
        <v>2</v>
      </c>
      <c r="D11" s="295">
        <v>2</v>
      </c>
      <c r="E11" s="809" t="s">
        <v>242</v>
      </c>
      <c r="F11" s="694"/>
      <c r="G11" s="694"/>
      <c r="H11" s="694"/>
      <c r="I11" s="695"/>
    </row>
    <row r="12" spans="1:13">
      <c r="A12" s="690"/>
      <c r="B12" s="292" t="s">
        <v>179</v>
      </c>
      <c r="C12" s="61">
        <v>2</v>
      </c>
      <c r="D12" s="295">
        <v>7</v>
      </c>
      <c r="E12" s="770" t="s">
        <v>243</v>
      </c>
      <c r="F12" s="691"/>
      <c r="G12" s="691"/>
      <c r="H12" s="691"/>
      <c r="I12" s="692"/>
    </row>
    <row r="13" spans="1:13">
      <c r="A13" s="690"/>
      <c r="B13" s="292" t="s">
        <v>180</v>
      </c>
      <c r="C13" s="61">
        <v>3</v>
      </c>
      <c r="D13" s="295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92" t="s">
        <v>12</v>
      </c>
      <c r="C14" s="61">
        <v>0</v>
      </c>
      <c r="D14" s="295">
        <v>0</v>
      </c>
      <c r="E14" s="693"/>
      <c r="F14" s="694"/>
      <c r="G14" s="694"/>
      <c r="H14" s="694"/>
      <c r="I14" s="695"/>
    </row>
    <row r="15" spans="1:13">
      <c r="A15" s="690"/>
      <c r="B15" s="292" t="s">
        <v>13</v>
      </c>
      <c r="C15" s="61">
        <v>2</v>
      </c>
      <c r="D15" s="295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13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94" t="s">
        <v>23</v>
      </c>
      <c r="E21" s="294" t="s">
        <v>24</v>
      </c>
      <c r="F21" s="294" t="s">
        <v>25</v>
      </c>
      <c r="G21" s="294" t="s">
        <v>23</v>
      </c>
      <c r="H21" s="294" t="s">
        <v>24</v>
      </c>
      <c r="I21" s="294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14476.8</v>
      </c>
      <c r="E23" s="329">
        <v>14713</v>
      </c>
      <c r="F23" s="14">
        <f t="shared" ref="F23:F28" si="0">E23/D23</f>
        <v>1.0163157603890363</v>
      </c>
      <c r="G23" s="332">
        <f>D23+'2018SEP'!G23</f>
        <v>125975.79999999999</v>
      </c>
      <c r="H23" s="332">
        <f>E23+'2018SEP'!H23</f>
        <v>128070</v>
      </c>
      <c r="I23" s="14">
        <f t="shared" ref="I23:I28" si="1">H23/G23</f>
        <v>1.0166238277510444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14476.8</v>
      </c>
      <c r="E24" s="330">
        <f>SUM(E23:E23)</f>
        <v>14713</v>
      </c>
      <c r="F24" s="16">
        <f t="shared" si="0"/>
        <v>1.0163157603890363</v>
      </c>
      <c r="G24" s="330">
        <f>SUM(G23:G23)</f>
        <v>125975.79999999999</v>
      </c>
      <c r="H24" s="330">
        <f>SUM(H23:H23)</f>
        <v>128070</v>
      </c>
      <c r="I24" s="16">
        <f t="shared" si="1"/>
        <v>1.0166238277510444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16000</v>
      </c>
      <c r="E25" s="329">
        <v>15879</v>
      </c>
      <c r="F25" s="14">
        <f t="shared" si="0"/>
        <v>0.99243749999999997</v>
      </c>
      <c r="G25" s="332">
        <f>D25+'2018SEP'!G25</f>
        <v>131200</v>
      </c>
      <c r="H25" s="332">
        <f>E25+'2018SEP'!H25</f>
        <v>133513</v>
      </c>
      <c r="I25" s="14">
        <f t="shared" si="1"/>
        <v>1.0176295731707317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16000</v>
      </c>
      <c r="E27" s="330">
        <f>SUM(E25:E26)</f>
        <v>15879</v>
      </c>
      <c r="F27" s="16">
        <f t="shared" si="0"/>
        <v>0.99243749999999997</v>
      </c>
      <c r="G27" s="330">
        <f>SUM(G25:G26)</f>
        <v>131200</v>
      </c>
      <c r="H27" s="330">
        <f>SUM(H25:H26)</f>
        <v>133513</v>
      </c>
      <c r="I27" s="16">
        <f t="shared" si="1"/>
        <v>1.0176295731707317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30476.799999999999</v>
      </c>
      <c r="E28" s="331">
        <f>SUM(E24,E27)</f>
        <v>30592</v>
      </c>
      <c r="F28" s="17">
        <f t="shared" si="0"/>
        <v>1.003779924401512</v>
      </c>
      <c r="G28" s="331">
        <f>SUM(G24,G27)</f>
        <v>257175.8</v>
      </c>
      <c r="H28" s="331">
        <f>SUM(H24,H27)</f>
        <v>261583</v>
      </c>
      <c r="I28" s="17">
        <f t="shared" si="1"/>
        <v>1.0171369156818022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1523</v>
      </c>
      <c r="F30" s="14">
        <f>E30/D30</f>
        <v>1.5229999999999999</v>
      </c>
      <c r="G30" s="332">
        <f>D30+'2018SEP'!G30</f>
        <v>10000</v>
      </c>
      <c r="H30" s="332">
        <f>E30+'2018SEP'!H30</f>
        <v>30778</v>
      </c>
      <c r="I30" s="14">
        <f>H30/G30</f>
        <v>3.0777999999999999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5488</v>
      </c>
      <c r="F31" s="14" t="e">
        <f t="shared" ref="F31:F47" si="2">E31/D31</f>
        <v>#DIV/0!</v>
      </c>
      <c r="G31" s="332">
        <f>D31+'2018SEP'!G31</f>
        <v>0</v>
      </c>
      <c r="H31" s="332">
        <f>E31+'2018SEP'!H31</f>
        <v>43881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7011</v>
      </c>
      <c r="F32" s="14">
        <f t="shared" si="2"/>
        <v>7.0110000000000001</v>
      </c>
      <c r="G32" s="330">
        <f>SUM(G30:G31)</f>
        <v>10000</v>
      </c>
      <c r="H32" s="330">
        <f>SUM(H30:H31)</f>
        <v>74659</v>
      </c>
      <c r="I32" s="14">
        <f t="shared" si="3"/>
        <v>7.4659000000000004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650</v>
      </c>
      <c r="E33" s="329">
        <v>749</v>
      </c>
      <c r="F33" s="14">
        <f t="shared" si="2"/>
        <v>1.1523076923076923</v>
      </c>
      <c r="G33" s="332">
        <f>D33+'2018SEP'!G33</f>
        <v>6500</v>
      </c>
      <c r="H33" s="332">
        <f>E33+'2018SEP'!H33</f>
        <v>6300</v>
      </c>
      <c r="I33" s="14">
        <f t="shared" si="3"/>
        <v>0.96923076923076923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1650</v>
      </c>
      <c r="E34" s="334">
        <f>SUM(E32,E33)</f>
        <v>7760</v>
      </c>
      <c r="F34" s="14">
        <f t="shared" si="2"/>
        <v>4.7030303030303031</v>
      </c>
      <c r="G34" s="334">
        <f>SUM(G32,G33)</f>
        <v>16500</v>
      </c>
      <c r="H34" s="334">
        <f>SUM(H32,H33)</f>
        <v>80959</v>
      </c>
      <c r="I34" s="14">
        <f t="shared" si="3"/>
        <v>4.9066060606060606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173269</v>
      </c>
      <c r="F35" s="14">
        <f t="shared" si="2"/>
        <v>4.7822090969308899</v>
      </c>
      <c r="G35" s="332">
        <f>D35+'2018SEP'!G35</f>
        <v>362320</v>
      </c>
      <c r="H35" s="332">
        <f>E35+'2018SEP'!H35</f>
        <v>451801</v>
      </c>
      <c r="I35" s="14">
        <f t="shared" si="3"/>
        <v>1.2469667697063369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173269</v>
      </c>
      <c r="F37" s="16">
        <f t="shared" si="2"/>
        <v>4.7822090969308899</v>
      </c>
      <c r="G37" s="341">
        <f>SUM(G35:G36)</f>
        <v>362320</v>
      </c>
      <c r="H37" s="341">
        <f>SUM(H35:H36)</f>
        <v>451801</v>
      </c>
      <c r="I37" s="16">
        <f t="shared" si="3"/>
        <v>1.2469667697063369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D38+'2018SEP'!G38</f>
        <v>11000</v>
      </c>
      <c r="H38" s="332">
        <f>E38+'2018SEP'!H38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11000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173269</v>
      </c>
      <c r="F41" s="19">
        <f t="shared" si="2"/>
        <v>4.641299689274617</v>
      </c>
      <c r="G41" s="334">
        <f>SUM(G37,G40)</f>
        <v>373320</v>
      </c>
      <c r="H41" s="334">
        <f>SUM(H37,H40)</f>
        <v>451801</v>
      </c>
      <c r="I41" s="19">
        <f t="shared" si="3"/>
        <v>1.2102244723025823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14195</v>
      </c>
      <c r="F42" s="21">
        <f t="shared" si="2"/>
        <v>1.1355999999999999</v>
      </c>
      <c r="G42" s="342">
        <f>D42+'2018SEP'!G42</f>
        <v>116000</v>
      </c>
      <c r="H42" s="342">
        <f>E42+'2018SEP'!H42</f>
        <v>160563</v>
      </c>
      <c r="I42" s="21">
        <f t="shared" si="3"/>
        <v>1.3841637931034483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12000</v>
      </c>
      <c r="E43" s="338">
        <v>1220</v>
      </c>
      <c r="F43" s="21">
        <f t="shared" si="2"/>
        <v>0.10166666666666667</v>
      </c>
      <c r="G43" s="342">
        <f>D43+'2018SEP'!G43</f>
        <v>54000</v>
      </c>
      <c r="H43" s="342">
        <f>E43+'2018SEP'!H43</f>
        <v>2090</v>
      </c>
      <c r="I43" s="21">
        <f t="shared" si="3"/>
        <v>3.8703703703703705E-2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33500</v>
      </c>
      <c r="E44" s="338">
        <v>100000</v>
      </c>
      <c r="F44" s="21">
        <f t="shared" si="2"/>
        <v>2.9850746268656718</v>
      </c>
      <c r="G44" s="342">
        <f>D44+'2018SEP'!G44</f>
        <v>335000</v>
      </c>
      <c r="H44" s="342">
        <f>E44+'2018SEP'!H44</f>
        <v>399970</v>
      </c>
      <c r="I44" s="21">
        <f t="shared" si="3"/>
        <v>1.1939402985074627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127458.8</v>
      </c>
      <c r="E45" s="339">
        <f>SUM(E28,E34,E41,E42:E44)</f>
        <v>327036</v>
      </c>
      <c r="F45" s="22">
        <f t="shared" si="2"/>
        <v>2.5658173464680352</v>
      </c>
      <c r="G45" s="339">
        <f>SUM(G28,G34,G41,G42:G44)</f>
        <v>1151995.8</v>
      </c>
      <c r="H45" s="339">
        <f>SUM(H28,H34,H41,H42:H44)</f>
        <v>1356966</v>
      </c>
      <c r="I45" s="22">
        <f t="shared" si="3"/>
        <v>1.177926169522493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114958.8</v>
      </c>
      <c r="E46" s="339">
        <f>E45-E42</f>
        <v>312841</v>
      </c>
      <c r="F46" s="22">
        <f t="shared" si="2"/>
        <v>2.7213314683173451</v>
      </c>
      <c r="G46" s="339">
        <f>G45-G42</f>
        <v>1035995.8</v>
      </c>
      <c r="H46" s="339">
        <f>H45-H42</f>
        <v>1196403</v>
      </c>
      <c r="I46" s="22">
        <f t="shared" si="3"/>
        <v>1.1548338323379304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81458.8</v>
      </c>
      <c r="E47" s="340">
        <f>E46-E44</f>
        <v>212841</v>
      </c>
      <c r="F47" s="23">
        <f t="shared" si="2"/>
        <v>2.6128668725785302</v>
      </c>
      <c r="G47" s="340">
        <f>G46-G44</f>
        <v>700995.8</v>
      </c>
      <c r="H47" s="340">
        <f>H46-H44</f>
        <v>796433</v>
      </c>
      <c r="I47" s="23">
        <f t="shared" si="3"/>
        <v>1.1361451808983734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97" t="s">
        <v>23</v>
      </c>
      <c r="E52" s="297" t="s">
        <v>24</v>
      </c>
      <c r="F52" s="297" t="s">
        <v>25</v>
      </c>
      <c r="G52" s="297" t="s">
        <v>23</v>
      </c>
      <c r="H52" s="297" t="s">
        <v>24</v>
      </c>
      <c r="I52" s="29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95">
        <v>27</v>
      </c>
      <c r="F53" s="28">
        <f t="shared" ref="F53:F79" si="4">E53/D53</f>
        <v>2.25</v>
      </c>
      <c r="G53" s="66">
        <f>D53+'2018SEP'!G53</f>
        <v>116</v>
      </c>
      <c r="H53" s="66">
        <f>E53+'2018SEP'!H53</f>
        <v>154</v>
      </c>
      <c r="I53" s="28">
        <f t="shared" ref="I53:I79" si="5">H53/G53</f>
        <v>1.3275862068965518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95">
        <v>396</v>
      </c>
      <c r="F54" s="28">
        <f t="shared" si="4"/>
        <v>1.32</v>
      </c>
      <c r="G54" s="66">
        <f>D54+'2018SEP'!G54</f>
        <v>3000</v>
      </c>
      <c r="H54" s="66">
        <f>E54+'2018SEP'!H54</f>
        <v>3528</v>
      </c>
      <c r="I54" s="28">
        <f t="shared" si="5"/>
        <v>1.1759999999999999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96">
        <f>SUM(D53:D54)</f>
        <v>312</v>
      </c>
      <c r="E55" s="296">
        <f>SUM(E53:E54)</f>
        <v>423</v>
      </c>
      <c r="F55" s="30">
        <f t="shared" si="4"/>
        <v>1.3557692307692308</v>
      </c>
      <c r="G55" s="296">
        <f>SUM(G53:G54)</f>
        <v>3116</v>
      </c>
      <c r="H55" s="296">
        <f>SUM(H53:H54)</f>
        <v>3682</v>
      </c>
      <c r="I55" s="30">
        <f t="shared" si="5"/>
        <v>1.1816431322207959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95">
        <v>69</v>
      </c>
      <c r="F56" s="28">
        <f t="shared" si="4"/>
        <v>1.7250000000000001</v>
      </c>
      <c r="G56" s="66">
        <f>D56+'2018SEP'!G56</f>
        <v>400</v>
      </c>
      <c r="H56" s="66">
        <f>E56+'2018SEP'!H56</f>
        <v>514</v>
      </c>
      <c r="I56" s="28">
        <f t="shared" si="5"/>
        <v>1.2849999999999999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95">
        <v>1001</v>
      </c>
      <c r="F57" s="28">
        <f t="shared" si="4"/>
        <v>1.6683333333333332</v>
      </c>
      <c r="G57" s="66">
        <f>D57+'2018SEP'!G57</f>
        <v>6000</v>
      </c>
      <c r="H57" s="66">
        <f>E57+'2018SEP'!H57</f>
        <v>8230</v>
      </c>
      <c r="I57" s="28">
        <f t="shared" si="5"/>
        <v>1.3716666666666666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01">
        <f>SUM(D56:D57)</f>
        <v>640</v>
      </c>
      <c r="E58" s="301">
        <f>SUM(E56:E57)</f>
        <v>1070</v>
      </c>
      <c r="F58" s="28">
        <f t="shared" si="4"/>
        <v>1.671875</v>
      </c>
      <c r="G58" s="301">
        <f>SUM(G56:G57)</f>
        <v>6400</v>
      </c>
      <c r="H58" s="301">
        <f>SUM(H56:H57)</f>
        <v>8744</v>
      </c>
      <c r="I58" s="31">
        <f t="shared" si="5"/>
        <v>1.36625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02">
        <f>SUM(D53,D56)</f>
        <v>52</v>
      </c>
      <c r="E59" s="302">
        <f>SUM(E53,E56)</f>
        <v>96</v>
      </c>
      <c r="F59" s="32">
        <f t="shared" si="4"/>
        <v>1.8461538461538463</v>
      </c>
      <c r="G59" s="302">
        <f>SUM(G53,G56)</f>
        <v>516</v>
      </c>
      <c r="H59" s="302">
        <f>SUM(H53,H56)</f>
        <v>668</v>
      </c>
      <c r="I59" s="32">
        <f t="shared" si="5"/>
        <v>1.2945736434108528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02">
        <f>SUM(D54,D57)</f>
        <v>900</v>
      </c>
      <c r="E60" s="302">
        <f>SUM(E54,E57)</f>
        <v>1397</v>
      </c>
      <c r="F60" s="32">
        <f t="shared" si="4"/>
        <v>1.5522222222222222</v>
      </c>
      <c r="G60" s="302">
        <f>SUM(G54,G57)</f>
        <v>9000</v>
      </c>
      <c r="H60" s="302">
        <f>SUM(H54,H57)</f>
        <v>11758</v>
      </c>
      <c r="I60" s="32">
        <f t="shared" si="5"/>
        <v>1.3064444444444445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03">
        <f>SUM(D59:D60)</f>
        <v>952</v>
      </c>
      <c r="E61" s="303">
        <f>SUM(E59:E60)</f>
        <v>1493</v>
      </c>
      <c r="F61" s="33">
        <f t="shared" si="4"/>
        <v>1.5682773109243697</v>
      </c>
      <c r="G61" s="303">
        <f>SUM(G59:G60)</f>
        <v>9516</v>
      </c>
      <c r="H61" s="303">
        <f>SUM(H59:H60)</f>
        <v>12426</v>
      </c>
      <c r="I61" s="33">
        <f t="shared" si="5"/>
        <v>1.3058007566204288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92">
        <f>E71/10</f>
        <v>93.9</v>
      </c>
      <c r="F62" s="28">
        <f t="shared" si="4"/>
        <v>2.2357142857142858</v>
      </c>
      <c r="G62" s="66">
        <f>D62+'2018SEP'!G62</f>
        <v>406</v>
      </c>
      <c r="H62" s="66">
        <f>E62+'2018SEP'!H62</f>
        <v>535.4</v>
      </c>
      <c r="I62" s="28">
        <f t="shared" si="5"/>
        <v>1.3187192118226601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92">
        <f>E72/10</f>
        <v>1377.4</v>
      </c>
      <c r="F63" s="28">
        <f t="shared" si="4"/>
        <v>1.3193486590038315</v>
      </c>
      <c r="G63" s="248">
        <f>D63+'2018SEP'!G63</f>
        <v>10440</v>
      </c>
      <c r="H63" s="66">
        <f>E63+'2018SEP'!H63</f>
        <v>12271.599999999999</v>
      </c>
      <c r="I63" s="28">
        <f t="shared" si="5"/>
        <v>1.1754406130268198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96">
        <f>SUM(E62:E63)</f>
        <v>1471.3000000000002</v>
      </c>
      <c r="F64" s="30">
        <f t="shared" si="4"/>
        <v>1.3547882136279927</v>
      </c>
      <c r="G64" s="296">
        <f>SUM(G62:G63)</f>
        <v>10846</v>
      </c>
      <c r="H64" s="296">
        <f>SUM(H62:H63)</f>
        <v>12806.999999999998</v>
      </c>
      <c r="I64" s="30">
        <f t="shared" si="5"/>
        <v>1.1808039830352202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92">
        <f>E74/10</f>
        <v>85.7</v>
      </c>
      <c r="F65" s="28">
        <f t="shared" si="4"/>
        <v>1.3390625</v>
      </c>
      <c r="G65" s="66">
        <f>D65+'2018SEP'!G65</f>
        <v>640</v>
      </c>
      <c r="H65" s="66">
        <f>E65+'2018SEP'!H65</f>
        <v>665.10000000000014</v>
      </c>
      <c r="I65" s="28">
        <f t="shared" si="5"/>
        <v>1.0392187500000003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92">
        <f>E75/10</f>
        <v>1502.2</v>
      </c>
      <c r="F66" s="28">
        <f t="shared" si="4"/>
        <v>1.5647916666666668</v>
      </c>
      <c r="G66" s="66">
        <f>D66+'2018SEP'!G66</f>
        <v>9600</v>
      </c>
      <c r="H66" s="66">
        <f>E66+'2018SEP'!H66</f>
        <v>12686.2</v>
      </c>
      <c r="I66" s="28">
        <f t="shared" si="5"/>
        <v>1.3214791666666668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01">
        <f>SUM(D65:D66)</f>
        <v>1024</v>
      </c>
      <c r="E67" s="301">
        <f>SUM(E65:E66)</f>
        <v>1587.9</v>
      </c>
      <c r="F67" s="31">
        <f t="shared" si="4"/>
        <v>1.5506835937500001</v>
      </c>
      <c r="G67" s="301">
        <f>SUM(G65:G66)</f>
        <v>10240</v>
      </c>
      <c r="H67" s="301">
        <f>SUM(H65:H66)</f>
        <v>13351.300000000001</v>
      </c>
      <c r="I67" s="31">
        <f t="shared" si="5"/>
        <v>1.3038378906250001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02">
        <f>SUM(D62,D65)</f>
        <v>106</v>
      </c>
      <c r="E68" s="302">
        <f>SUM(E62,E65)</f>
        <v>179.60000000000002</v>
      </c>
      <c r="F68" s="32">
        <f t="shared" si="4"/>
        <v>1.6943396226415097</v>
      </c>
      <c r="G68" s="302">
        <f>SUM(G62,G65)</f>
        <v>1046</v>
      </c>
      <c r="H68" s="302">
        <f>SUM(H62,H65)</f>
        <v>1200.5</v>
      </c>
      <c r="I68" s="32">
        <f t="shared" si="5"/>
        <v>1.1477055449330784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02">
        <f>SUM(D63,D66)</f>
        <v>2004</v>
      </c>
      <c r="E69" s="302">
        <f>SUM(E63,E66)</f>
        <v>2879.6000000000004</v>
      </c>
      <c r="F69" s="32">
        <f t="shared" si="4"/>
        <v>1.4369261477045909</v>
      </c>
      <c r="G69" s="302">
        <f>SUM(G63,G66)</f>
        <v>20040</v>
      </c>
      <c r="H69" s="302">
        <f>SUM(H63,H66)</f>
        <v>24957.8</v>
      </c>
      <c r="I69" s="32">
        <f t="shared" si="5"/>
        <v>1.2453992015968063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03">
        <f>SUM(D68:D69)</f>
        <v>2110</v>
      </c>
      <c r="E70" s="303">
        <f>SUM(E68:E69)</f>
        <v>3059.2000000000003</v>
      </c>
      <c r="F70" s="34">
        <f t="shared" si="4"/>
        <v>1.4498578199052135</v>
      </c>
      <c r="G70" s="303">
        <f>SUM(G68:G69)</f>
        <v>21086</v>
      </c>
      <c r="H70" s="303">
        <f>SUM(H68:H69)</f>
        <v>26158.3</v>
      </c>
      <c r="I70" s="34">
        <f t="shared" si="5"/>
        <v>1.2405529735369438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4036.7999999999993</v>
      </c>
      <c r="E71" s="295">
        <v>939</v>
      </c>
      <c r="F71" s="28">
        <f t="shared" si="4"/>
        <v>0.23260998810939362</v>
      </c>
      <c r="G71" s="179">
        <f>D71+'2018SEP'!G71</f>
        <v>21575.8</v>
      </c>
      <c r="H71" s="66">
        <f>E71+'2018SEP'!H71</f>
        <v>5354</v>
      </c>
      <c r="I71" s="28">
        <f t="shared" si="5"/>
        <v>0.24814838847226986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09">
        <f>E23-E71</f>
        <v>13774</v>
      </c>
      <c r="F72" s="28">
        <f t="shared" si="4"/>
        <v>1.3193486590038315</v>
      </c>
      <c r="G72" s="248">
        <f>D72+'2018SEP'!G72</f>
        <v>104400</v>
      </c>
      <c r="H72" s="66">
        <f>E72+'2018SEP'!H72</f>
        <v>122716</v>
      </c>
      <c r="I72" s="28">
        <f t="shared" si="5"/>
        <v>1.17544061302682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96">
        <f>SUM(D71:D72)</f>
        <v>14476.8</v>
      </c>
      <c r="E73" s="296">
        <f>SUM(E71:E72)</f>
        <v>14713</v>
      </c>
      <c r="F73" s="30">
        <f t="shared" si="4"/>
        <v>1.0163157603890363</v>
      </c>
      <c r="G73" s="296">
        <f>SUM(G71:G72)</f>
        <v>125975.8</v>
      </c>
      <c r="H73" s="296">
        <f>SUM(H71:H72)</f>
        <v>128070</v>
      </c>
      <c r="I73" s="30">
        <f t="shared" si="5"/>
        <v>1.0166238277510442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6400</v>
      </c>
      <c r="E74" s="295">
        <v>857</v>
      </c>
      <c r="F74" s="28">
        <f t="shared" si="4"/>
        <v>0.13390625</v>
      </c>
      <c r="G74" s="179">
        <f>D74+'2018SEP'!G74</f>
        <v>35200</v>
      </c>
      <c r="H74" s="66">
        <f>E74+'2018SEP'!H74</f>
        <v>6651</v>
      </c>
      <c r="I74" s="28">
        <f t="shared" si="5"/>
        <v>0.18894886363636362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09">
        <f>E25-E74</f>
        <v>15022</v>
      </c>
      <c r="F75" s="28">
        <f t="shared" si="4"/>
        <v>1.5647916666666666</v>
      </c>
      <c r="G75" s="248">
        <f>D75+'2018SEP'!G75</f>
        <v>96000</v>
      </c>
      <c r="H75" s="66">
        <f>E75+'2018SEP'!H75</f>
        <v>126862</v>
      </c>
      <c r="I75" s="28">
        <f t="shared" si="5"/>
        <v>1.3214791666666668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01">
        <f>SUM(D74:D75)</f>
        <v>16000</v>
      </c>
      <c r="E76" s="301">
        <f>SUM(E74:E75)</f>
        <v>15879</v>
      </c>
      <c r="F76" s="31">
        <f t="shared" si="4"/>
        <v>0.99243749999999997</v>
      </c>
      <c r="G76" s="301">
        <f>SUM(G74:G75)</f>
        <v>131200</v>
      </c>
      <c r="H76" s="301">
        <f>SUM(H74:H75)</f>
        <v>133513</v>
      </c>
      <c r="I76" s="31">
        <f t="shared" si="5"/>
        <v>1.0176295731707317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02">
        <f>SUM(D71,D74)</f>
        <v>10436.799999999999</v>
      </c>
      <c r="E77" s="302">
        <f>SUM(E71,E74)</f>
        <v>1796</v>
      </c>
      <c r="F77" s="32">
        <f t="shared" si="4"/>
        <v>0.17208339720987276</v>
      </c>
      <c r="G77" s="302">
        <f>SUM(G71,G74)</f>
        <v>56775.8</v>
      </c>
      <c r="H77" s="302">
        <f>SUM(H71,H74)</f>
        <v>12005</v>
      </c>
      <c r="I77" s="32">
        <f t="shared" si="5"/>
        <v>0.21144572159265038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02">
        <f>SUM(D72,D75)</f>
        <v>20040</v>
      </c>
      <c r="E78" s="302">
        <f>SUM(E72,E75)</f>
        <v>28796</v>
      </c>
      <c r="F78" s="32">
        <f t="shared" si="4"/>
        <v>1.4369261477045909</v>
      </c>
      <c r="G78" s="302">
        <f>SUM(G72,G75)</f>
        <v>200400</v>
      </c>
      <c r="H78" s="302">
        <f>SUM(H72,H75)</f>
        <v>249578</v>
      </c>
      <c r="I78" s="32">
        <f t="shared" si="5"/>
        <v>1.2453992015968063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03">
        <f>SUM(D77:D78)</f>
        <v>30476.799999999999</v>
      </c>
      <c r="E79" s="303">
        <f>SUM(E77:E78)</f>
        <v>30592</v>
      </c>
      <c r="F79" s="34">
        <f t="shared" si="4"/>
        <v>1.003779924401512</v>
      </c>
      <c r="G79" s="303">
        <f>SUM(G77:G78)</f>
        <v>257175.8</v>
      </c>
      <c r="H79" s="303">
        <f>SUM(H77:H78)</f>
        <v>261583</v>
      </c>
      <c r="I79" s="34">
        <f t="shared" si="5"/>
        <v>1.0171369156818022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423</v>
      </c>
      <c r="E87" s="130"/>
      <c r="F87" s="134">
        <f>D87+'2018SEP'!F87</f>
        <v>3682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27</v>
      </c>
      <c r="E88" s="128"/>
      <c r="F88" s="134">
        <f>D88+'2018SEP'!F88</f>
        <v>154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D89+'2018SEP'!F89</f>
        <v>12</v>
      </c>
      <c r="G89" s="128">
        <f>F89/F87</f>
        <v>3.2590983161325366E-3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</v>
      </c>
      <c r="E90" s="128">
        <f>D90/D92</f>
        <v>2.4875621890547265E-2</v>
      </c>
      <c r="F90" s="134">
        <f>D90+'2018SEP'!F90</f>
        <v>185</v>
      </c>
      <c r="G90" s="128">
        <f>F90/F92</f>
        <v>8.8643986583612847E-2</v>
      </c>
      <c r="H90" s="128"/>
    </row>
    <row r="91" spans="1:13" ht="15" customHeight="1">
      <c r="A91" s="775"/>
      <c r="B91" s="776" t="s">
        <v>202</v>
      </c>
      <c r="C91" s="776"/>
      <c r="D91" s="131">
        <v>223</v>
      </c>
      <c r="E91" s="128">
        <f>D91/D92</f>
        <v>1.1094527363184079</v>
      </c>
      <c r="F91" s="134">
        <f>D91+'2018SEP'!F91</f>
        <v>2069</v>
      </c>
      <c r="G91" s="128">
        <f>F91/F92</f>
        <v>0.99137517968375655</v>
      </c>
      <c r="H91" s="128"/>
    </row>
    <row r="92" spans="1:13" ht="15" customHeight="1">
      <c r="A92" s="775"/>
      <c r="B92" s="776" t="s">
        <v>203</v>
      </c>
      <c r="C92" s="776"/>
      <c r="D92" s="131">
        <v>201</v>
      </c>
      <c r="E92" s="130"/>
      <c r="F92" s="134">
        <f>D92+'2018SEP'!F92</f>
        <v>2087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97" t="s">
        <v>23</v>
      </c>
      <c r="E97" s="297" t="s">
        <v>24</v>
      </c>
      <c r="F97" s="297" t="s">
        <v>25</v>
      </c>
      <c r="G97" s="297" t="s">
        <v>23</v>
      </c>
      <c r="H97" s="297" t="s">
        <v>24</v>
      </c>
      <c r="I97" s="29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95">
        <v>0</v>
      </c>
      <c r="F98" s="37" t="e">
        <f>E98/D98</f>
        <v>#DIV/0!</v>
      </c>
      <c r="G98" s="66">
        <f>D98+'2018SEP'!G98</f>
        <v>0</v>
      </c>
      <c r="H98" s="66">
        <f>E98+'2018SEP'!H98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95">
        <v>39</v>
      </c>
      <c r="F99" s="28">
        <f t="shared" ref="F99:F115" si="6">E99/D99</f>
        <v>0.95121951219512191</v>
      </c>
      <c r="G99" s="66">
        <f>D99+'2018SEP'!G99</f>
        <v>410</v>
      </c>
      <c r="H99" s="66">
        <f>E99+'2018SEP'!H99</f>
        <v>402</v>
      </c>
      <c r="I99" s="28">
        <f t="shared" ref="I99:I115" si="7">H99/G99</f>
        <v>0.98048780487804876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96">
        <f>SUM(D98:D99)</f>
        <v>41</v>
      </c>
      <c r="E100" s="296">
        <f>SUM(E98:E99)</f>
        <v>39</v>
      </c>
      <c r="F100" s="30">
        <f t="shared" si="6"/>
        <v>0.95121951219512191</v>
      </c>
      <c r="G100" s="296">
        <f>SUM(G98:G99)</f>
        <v>410</v>
      </c>
      <c r="H100" s="296">
        <f>SUM(H98:H99)</f>
        <v>403</v>
      </c>
      <c r="I100" s="30">
        <f t="shared" si="7"/>
        <v>0.98292682926829267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95">
        <v>0</v>
      </c>
      <c r="F101" s="28" t="e">
        <f t="shared" si="6"/>
        <v>#DIV/0!</v>
      </c>
      <c r="G101" s="66">
        <f>D101+'2018SEP'!G101</f>
        <v>0</v>
      </c>
      <c r="H101" s="66">
        <f>E101+'2018SEP'!H101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95">
        <v>9</v>
      </c>
      <c r="F102" s="28">
        <f t="shared" si="6"/>
        <v>0.81818181818181823</v>
      </c>
      <c r="G102" s="66">
        <f>D102+'2018SEP'!G102</f>
        <v>110</v>
      </c>
      <c r="H102" s="66">
        <f>E102+'2018SEP'!H102</f>
        <v>96</v>
      </c>
      <c r="I102" s="28">
        <f t="shared" si="7"/>
        <v>0.87272727272727268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96">
        <f>SUM(D101:D102)</f>
        <v>11</v>
      </c>
      <c r="E103" s="296">
        <f>SUM(E101:E102)</f>
        <v>9</v>
      </c>
      <c r="F103" s="30">
        <f t="shared" si="6"/>
        <v>0.81818181818181823</v>
      </c>
      <c r="G103" s="296">
        <f>SUM(G101:G102)</f>
        <v>110</v>
      </c>
      <c r="H103" s="296">
        <f>SUM(H101:H102)</f>
        <v>96</v>
      </c>
      <c r="I103" s="30">
        <f t="shared" si="7"/>
        <v>0.87272727272727268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95">
        <v>3</v>
      </c>
      <c r="F104" s="28" t="e">
        <f t="shared" si="6"/>
        <v>#DIV/0!</v>
      </c>
      <c r="G104" s="66">
        <f>D104+'2018SEP'!G104</f>
        <v>0</v>
      </c>
      <c r="H104" s="66">
        <f>E104+'2018SEP'!H104</f>
        <v>12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95">
        <v>65</v>
      </c>
      <c r="F105" s="28">
        <f t="shared" si="6"/>
        <v>1.0317460317460319</v>
      </c>
      <c r="G105" s="66">
        <f>D105+'2018SEP'!G105</f>
        <v>630</v>
      </c>
      <c r="H105" s="66">
        <f>E105+'2018SEP'!H105</f>
        <v>603</v>
      </c>
      <c r="I105" s="28">
        <f t="shared" si="7"/>
        <v>0.95714285714285718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96">
        <f>SUM(D104:D105)</f>
        <v>63</v>
      </c>
      <c r="E106" s="296">
        <f>SUM(E104:E105)</f>
        <v>68</v>
      </c>
      <c r="F106" s="30">
        <f t="shared" si="6"/>
        <v>1.0793650793650793</v>
      </c>
      <c r="G106" s="296">
        <f>SUM(G104:G105)</f>
        <v>630</v>
      </c>
      <c r="H106" s="296">
        <f>SUM(H104:H105)</f>
        <v>615</v>
      </c>
      <c r="I106" s="30">
        <f t="shared" si="7"/>
        <v>0.97619047619047616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95">
        <v>2</v>
      </c>
      <c r="F107" s="28">
        <f>E107/D107</f>
        <v>1</v>
      </c>
      <c r="G107" s="66">
        <f>D107+'2018SEP'!G107</f>
        <v>18</v>
      </c>
      <c r="H107" s="66">
        <f>E107+'2018SEP'!H107</f>
        <v>43</v>
      </c>
      <c r="I107" s="28">
        <f>H107/G107</f>
        <v>2.3888888888888888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116</v>
      </c>
      <c r="E108" s="295">
        <v>130</v>
      </c>
      <c r="F108" s="28">
        <f>E108/D108</f>
        <v>1.1206896551724137</v>
      </c>
      <c r="G108" s="66">
        <f>D108+'2018SEP'!G108</f>
        <v>1072</v>
      </c>
      <c r="H108" s="66">
        <f>E108+'2018SEP'!H108</f>
        <v>1076</v>
      </c>
      <c r="I108" s="28">
        <f t="shared" si="7"/>
        <v>1.0037313432835822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96">
        <f>SUM(D107:D108)</f>
        <v>118</v>
      </c>
      <c r="E109" s="296">
        <f>SUM(E107:E108)</f>
        <v>132</v>
      </c>
      <c r="F109" s="30">
        <f t="shared" si="6"/>
        <v>1.1186440677966101</v>
      </c>
      <c r="G109" s="296">
        <f>SUM(G107:G108)</f>
        <v>1090</v>
      </c>
      <c r="H109" s="296">
        <f>SUM(H107:H108)</f>
        <v>1119</v>
      </c>
      <c r="I109" s="30">
        <f t="shared" si="7"/>
        <v>1.026605504587156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95">
        <v>11</v>
      </c>
      <c r="F110" s="30">
        <f>E110/D110</f>
        <v>1.375</v>
      </c>
      <c r="G110" s="66">
        <f>D110+'2018SEP'!G110</f>
        <v>80</v>
      </c>
      <c r="H110" s="66">
        <f>E110+'2018SEP'!H110</f>
        <v>57</v>
      </c>
      <c r="I110" s="30">
        <f>H110/G110</f>
        <v>0.71250000000000002</v>
      </c>
      <c r="J110" s="298"/>
      <c r="K110" s="299"/>
      <c r="L110" s="299"/>
      <c r="M110" s="300"/>
    </row>
    <row r="111" spans="1:13">
      <c r="A111" s="553"/>
      <c r="B111" s="803"/>
      <c r="C111" s="27" t="s">
        <v>70</v>
      </c>
      <c r="D111" s="65">
        <v>72</v>
      </c>
      <c r="E111" s="295">
        <v>48</v>
      </c>
      <c r="F111" s="30">
        <f t="shared" ref="F111:F112" si="8">E111/D111</f>
        <v>0.66666666666666663</v>
      </c>
      <c r="G111" s="66">
        <f>D111+'2018SEP'!G111</f>
        <v>360</v>
      </c>
      <c r="H111" s="66">
        <f>E111+'2018SEP'!H111</f>
        <v>328</v>
      </c>
      <c r="I111" s="30">
        <f t="shared" ref="I111:I112" si="9">H111/G111</f>
        <v>0.91111111111111109</v>
      </c>
      <c r="J111" s="298"/>
      <c r="K111" s="299"/>
      <c r="L111" s="299"/>
      <c r="M111" s="300"/>
    </row>
    <row r="112" spans="1:13">
      <c r="A112" s="553"/>
      <c r="B112" s="804"/>
      <c r="C112" s="38" t="s">
        <v>166</v>
      </c>
      <c r="D112" s="296">
        <f>SUM(D110:D111)</f>
        <v>80</v>
      </c>
      <c r="E112" s="296">
        <f>SUM(E110:E111)</f>
        <v>59</v>
      </c>
      <c r="F112" s="30">
        <f t="shared" si="8"/>
        <v>0.73750000000000004</v>
      </c>
      <c r="G112" s="296">
        <f>SUM(G110:G111)</f>
        <v>440</v>
      </c>
      <c r="H112" s="296">
        <f>SUM(H110:H111)</f>
        <v>385</v>
      </c>
      <c r="I112" s="30">
        <f t="shared" si="9"/>
        <v>0.875</v>
      </c>
      <c r="J112" s="298"/>
      <c r="K112" s="299"/>
      <c r="L112" s="299"/>
      <c r="M112" s="300"/>
    </row>
    <row r="113" spans="1:13">
      <c r="A113" s="553"/>
      <c r="B113" s="611" t="s">
        <v>46</v>
      </c>
      <c r="C113" s="39" t="s">
        <v>69</v>
      </c>
      <c r="D113" s="301">
        <f>SUM(D98,D101,D104,D107,D110)</f>
        <v>10</v>
      </c>
      <c r="E113" s="301">
        <f>SUM(E98,E101,E104,E107,E110)</f>
        <v>16</v>
      </c>
      <c r="F113" s="31">
        <f t="shared" si="6"/>
        <v>1.6</v>
      </c>
      <c r="G113" s="301">
        <f>SUM(G98,G101,G104,G107,G110)</f>
        <v>98</v>
      </c>
      <c r="H113" s="301">
        <f>SUM(H98,H101,H104,H107,H110)</f>
        <v>113</v>
      </c>
      <c r="I113" s="31">
        <f t="shared" si="7"/>
        <v>1.153061224489796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01">
        <f>SUM(D99,D102,D105,D108,D111)</f>
        <v>303</v>
      </c>
      <c r="E114" s="301">
        <f>SUM(E99,E102,E105,E108,E111)</f>
        <v>291</v>
      </c>
      <c r="F114" s="31">
        <f t="shared" si="6"/>
        <v>0.96039603960396036</v>
      </c>
      <c r="G114" s="301">
        <f>SUM(G99,G102,G105,G108,G111)</f>
        <v>2582</v>
      </c>
      <c r="H114" s="301">
        <f>SUM(H99,H102,H105,H108,H111)</f>
        <v>2505</v>
      </c>
      <c r="I114" s="31">
        <f t="shared" si="7"/>
        <v>0.97017815646785432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04">
        <f>SUM(D113:D114)</f>
        <v>313</v>
      </c>
      <c r="E115" s="304">
        <f>SUM(E113:E114)</f>
        <v>307</v>
      </c>
      <c r="F115" s="41">
        <f t="shared" si="6"/>
        <v>0.98083067092651754</v>
      </c>
      <c r="G115" s="304">
        <f>SUM(G113:G114)</f>
        <v>2680</v>
      </c>
      <c r="H115" s="304">
        <f>SUM(H113:H114)</f>
        <v>2618</v>
      </c>
      <c r="I115" s="41">
        <f t="shared" si="7"/>
        <v>0.97686567164179106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4</v>
      </c>
      <c r="F116" s="43">
        <f>E116/D116</f>
        <v>2</v>
      </c>
      <c r="G116" s="70">
        <f>D116+'2018SEP'!G116</f>
        <v>18</v>
      </c>
      <c r="H116" s="70">
        <f>E116+'2018SEP'!H116</f>
        <v>22</v>
      </c>
      <c r="I116" s="43">
        <f>H116/G116</f>
        <v>1.2222222222222223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64</v>
      </c>
      <c r="E117" s="295">
        <v>64</v>
      </c>
      <c r="F117" s="28">
        <f t="shared" ref="F117:F126" si="10">E117/D117</f>
        <v>1</v>
      </c>
      <c r="G117" s="71">
        <f>D117+'2018SEP'!G117</f>
        <v>552</v>
      </c>
      <c r="H117" s="71">
        <f>E117+'2018SEP'!H117</f>
        <v>576</v>
      </c>
      <c r="I117" s="28">
        <f t="shared" ref="I117:I126" si="11">H117/G117</f>
        <v>1.0434782608695652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96">
        <f>SUM(D116:D117)</f>
        <v>66</v>
      </c>
      <c r="E118" s="296">
        <f>SUM(E116:E117)</f>
        <v>68</v>
      </c>
      <c r="F118" s="30">
        <f t="shared" si="10"/>
        <v>1.0303030303030303</v>
      </c>
      <c r="G118" s="296">
        <f>SUM(G116:G117)</f>
        <v>570</v>
      </c>
      <c r="H118" s="296">
        <f>SUM(H116:H117)</f>
        <v>598</v>
      </c>
      <c r="I118" s="30">
        <f t="shared" si="11"/>
        <v>1.0491228070175438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95">
        <v>2</v>
      </c>
      <c r="F119" s="28" t="e">
        <f t="shared" si="10"/>
        <v>#DIV/0!</v>
      </c>
      <c r="G119" s="66">
        <f>D119+'2018SEP'!G119</f>
        <v>0</v>
      </c>
      <c r="H119" s="66">
        <f>E119+'2018SEP'!H119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95">
        <v>46</v>
      </c>
      <c r="F120" s="28">
        <f t="shared" si="10"/>
        <v>1.2432432432432432</v>
      </c>
      <c r="G120" s="66">
        <f>D120+'2018SEP'!G120</f>
        <v>370</v>
      </c>
      <c r="H120" s="66">
        <f>E120+'2018SEP'!H120</f>
        <v>459</v>
      </c>
      <c r="I120" s="28">
        <f t="shared" si="11"/>
        <v>1.2405405405405405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96">
        <f>SUM(D119:D120)</f>
        <v>37</v>
      </c>
      <c r="E121" s="296">
        <f>SUM(E119:E120)</f>
        <v>48</v>
      </c>
      <c r="F121" s="30">
        <f t="shared" si="10"/>
        <v>1.2972972972972974</v>
      </c>
      <c r="G121" s="296">
        <f>SUM(G119:G120)</f>
        <v>370</v>
      </c>
      <c r="H121" s="296">
        <f>SUM(H119:H120)</f>
        <v>466</v>
      </c>
      <c r="I121" s="30">
        <f t="shared" si="11"/>
        <v>1.2594594594594595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01">
        <f>SUM(D116,D119)</f>
        <v>2</v>
      </c>
      <c r="E122" s="301">
        <f>SUM(E116,E119)</f>
        <v>6</v>
      </c>
      <c r="F122" s="30">
        <f t="shared" si="10"/>
        <v>3</v>
      </c>
      <c r="G122" s="301">
        <f>SUM(G116,G119)</f>
        <v>18</v>
      </c>
      <c r="H122" s="301">
        <f>SUM(H116,H119)</f>
        <v>29</v>
      </c>
      <c r="I122" s="30">
        <f t="shared" si="11"/>
        <v>1.6111111111111112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01">
        <f>SUM(D117,D120)</f>
        <v>101</v>
      </c>
      <c r="E123" s="301">
        <f>SUM(E117,E120)</f>
        <v>110</v>
      </c>
      <c r="F123" s="30">
        <f t="shared" si="10"/>
        <v>1.0891089108910892</v>
      </c>
      <c r="G123" s="301">
        <f>SUM(G117,G120)</f>
        <v>922</v>
      </c>
      <c r="H123" s="301">
        <f>SUM(H117,H120)</f>
        <v>1035</v>
      </c>
      <c r="I123" s="30">
        <f t="shared" si="11"/>
        <v>1.1225596529284165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04">
        <f>SUM(D122:D123)</f>
        <v>103</v>
      </c>
      <c r="E124" s="304">
        <f>SUM(E122:E123)</f>
        <v>116</v>
      </c>
      <c r="F124" s="41">
        <f t="shared" si="10"/>
        <v>1.1262135922330097</v>
      </c>
      <c r="G124" s="304">
        <f>SUM(G122:G123)</f>
        <v>940</v>
      </c>
      <c r="H124" s="304">
        <f>SUM(H122:H123)</f>
        <v>1064</v>
      </c>
      <c r="I124" s="41">
        <f t="shared" si="11"/>
        <v>1.1319148936170214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06">
        <f>SUM(D113,D122)</f>
        <v>12</v>
      </c>
      <c r="E125" s="306">
        <f>SUM(E113,E122)</f>
        <v>22</v>
      </c>
      <c r="F125" s="45">
        <f t="shared" si="10"/>
        <v>1.8333333333333333</v>
      </c>
      <c r="G125" s="46">
        <f>SUM(G113,G122)</f>
        <v>116</v>
      </c>
      <c r="H125" s="46">
        <f>SUM(H113,H122)</f>
        <v>142</v>
      </c>
      <c r="I125" s="45">
        <f t="shared" si="11"/>
        <v>1.2241379310344827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02">
        <f>SUM(D114,D123)</f>
        <v>404</v>
      </c>
      <c r="E126" s="302">
        <f>SUM(E114,E123)</f>
        <v>401</v>
      </c>
      <c r="F126" s="32">
        <f t="shared" si="10"/>
        <v>0.99257425742574257</v>
      </c>
      <c r="G126" s="302">
        <f>SUM(G114,G123)</f>
        <v>3504</v>
      </c>
      <c r="H126" s="302">
        <f>SUM(H114,H123)</f>
        <v>3540</v>
      </c>
      <c r="I126" s="32">
        <f t="shared" si="11"/>
        <v>1.0102739726027397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02">
        <f>SUM(D125:D126)</f>
        <v>416</v>
      </c>
      <c r="E127" s="302">
        <f>SUM(E125:E126)</f>
        <v>423</v>
      </c>
      <c r="F127" s="49">
        <f>E127/D127</f>
        <v>1.0168269230769231</v>
      </c>
      <c r="G127" s="306">
        <f>SUM(G125:G126)</f>
        <v>3620</v>
      </c>
      <c r="H127" s="306">
        <f>SUM(H125:H126)</f>
        <v>3682</v>
      </c>
      <c r="I127" s="49">
        <f>H127/G127</f>
        <v>1.0171270718232044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113</v>
      </c>
      <c r="D135" s="592"/>
      <c r="E135" s="591">
        <v>5</v>
      </c>
      <c r="F135" s="592"/>
      <c r="G135" s="591">
        <v>0</v>
      </c>
      <c r="H135" s="592"/>
      <c r="I135" s="591">
        <v>12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0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0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0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05" t="s">
        <v>99</v>
      </c>
      <c r="C140" s="590">
        <v>108</v>
      </c>
      <c r="D140" s="590"/>
      <c r="E140" s="590">
        <v>69</v>
      </c>
      <c r="F140" s="590"/>
      <c r="G140" s="590">
        <v>0</v>
      </c>
      <c r="H140" s="590"/>
      <c r="I140" s="772">
        <v>14018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146</v>
      </c>
      <c r="D145" s="563"/>
      <c r="E145" s="564"/>
      <c r="F145" s="562" t="s">
        <v>149</v>
      </c>
      <c r="G145" s="563"/>
      <c r="H145" s="563"/>
      <c r="I145" s="564"/>
      <c r="J145" s="563" t="s">
        <v>150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255</v>
      </c>
      <c r="D146" s="736"/>
      <c r="E146" s="737"/>
      <c r="F146" s="750" t="s">
        <v>254</v>
      </c>
      <c r="G146" s="754"/>
      <c r="H146" s="754"/>
      <c r="I146" s="755"/>
      <c r="J146" s="751" t="s">
        <v>256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08" t="s">
        <v>109</v>
      </c>
      <c r="C154" s="308" t="s">
        <v>110</v>
      </c>
      <c r="D154" s="30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291">
        <f>'2018SEP'!H155</f>
        <v>27632</v>
      </c>
      <c r="C155" s="63">
        <f>E45-E44</f>
        <v>227036</v>
      </c>
      <c r="D155" s="73">
        <f>84421+173269+80000</f>
        <v>337690</v>
      </c>
      <c r="E155" s="531" t="s">
        <v>114</v>
      </c>
      <c r="F155" s="531"/>
      <c r="G155" s="531"/>
      <c r="H155" s="72">
        <f>C155+A155+B155-D155</f>
        <v>16978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19471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0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18615</v>
      </c>
      <c r="H165" s="778"/>
      <c r="I165" s="779"/>
      <c r="J165" s="779"/>
      <c r="K165" s="780"/>
    </row>
    <row r="166" spans="1:11" ht="14">
      <c r="A166" s="307" t="s">
        <v>126</v>
      </c>
      <c r="B166" s="777" t="s">
        <v>127</v>
      </c>
      <c r="C166" s="777"/>
      <c r="D166" s="777"/>
      <c r="E166" s="777"/>
      <c r="F166" s="777"/>
      <c r="G166" s="295">
        <v>1902</v>
      </c>
      <c r="H166" s="778"/>
      <c r="I166" s="779"/>
      <c r="J166" s="779"/>
      <c r="K166" s="780"/>
    </row>
    <row r="167" spans="1:11" ht="14">
      <c r="A167" s="307" t="s">
        <v>128</v>
      </c>
      <c r="B167" s="777" t="s">
        <v>129</v>
      </c>
      <c r="C167" s="777"/>
      <c r="D167" s="777"/>
      <c r="E167" s="777"/>
      <c r="F167" s="777"/>
      <c r="G167" s="30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F8018C15-4716-4CCA-9853-57E83B5A70A8}">
      <formula1>"Jan, Feb, March, April, May, June, July, Aug, Sep, Oct, Nov, Dec"</formula1>
    </dataValidation>
    <dataValidation type="list" allowBlank="1" showInputMessage="1" showErrorMessage="1" sqref="L3" xr:uid="{171278A7-2B58-45A3-915E-E0BA7775940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DAC97-D363-4B7F-B0E4-E63E94D6CAE3}">
  <sheetPr codeName="Sheet24">
    <pageSetUpPr fitToPage="1"/>
  </sheetPr>
  <dimension ref="A1:N167"/>
  <sheetViews>
    <sheetView topLeftCell="A115" zoomScale="90" zoomScaleNormal="90" zoomScaleSheetLayoutView="85" workbookViewId="0">
      <selection activeCell="C135" sqref="C135:D13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152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/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43452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1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21" t="s">
        <v>176</v>
      </c>
      <c r="C10" s="61">
        <v>2</v>
      </c>
      <c r="D10" s="326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21" t="s">
        <v>177</v>
      </c>
      <c r="C11" s="61">
        <v>2</v>
      </c>
      <c r="D11" s="32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21" t="s">
        <v>179</v>
      </c>
      <c r="C12" s="61">
        <v>2</v>
      </c>
      <c r="D12" s="326">
        <v>4</v>
      </c>
      <c r="E12" s="810" t="s">
        <v>257</v>
      </c>
      <c r="F12" s="811"/>
      <c r="G12" s="811"/>
      <c r="H12" s="811"/>
      <c r="I12" s="812"/>
    </row>
    <row r="13" spans="1:13">
      <c r="A13" s="690"/>
      <c r="B13" s="321" t="s">
        <v>180</v>
      </c>
      <c r="C13" s="61">
        <v>3</v>
      </c>
      <c r="D13" s="326">
        <v>1</v>
      </c>
      <c r="E13" s="691" t="s">
        <v>258</v>
      </c>
      <c r="F13" s="691"/>
      <c r="G13" s="691"/>
      <c r="H13" s="691"/>
      <c r="I13" s="692"/>
    </row>
    <row r="14" spans="1:13">
      <c r="A14" s="690"/>
      <c r="B14" s="321" t="s">
        <v>12</v>
      </c>
      <c r="C14" s="61">
        <v>0</v>
      </c>
      <c r="D14" s="326">
        <v>0</v>
      </c>
      <c r="E14" s="693"/>
      <c r="F14" s="694"/>
      <c r="G14" s="694"/>
      <c r="H14" s="694"/>
      <c r="I14" s="695"/>
    </row>
    <row r="15" spans="1:13">
      <c r="A15" s="690"/>
      <c r="B15" s="321" t="s">
        <v>13</v>
      </c>
      <c r="C15" s="61">
        <v>2</v>
      </c>
      <c r="D15" s="326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24" t="s">
        <v>23</v>
      </c>
      <c r="E21" s="324" t="s">
        <v>24</v>
      </c>
      <c r="F21" s="324" t="s">
        <v>25</v>
      </c>
      <c r="G21" s="324" t="s">
        <v>23</v>
      </c>
      <c r="H21" s="324" t="s">
        <v>24</v>
      </c>
      <c r="I21" s="324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14894.4</v>
      </c>
      <c r="E23" s="329">
        <v>15235</v>
      </c>
      <c r="F23" s="14">
        <f t="shared" ref="F23:F28" si="0">E23/D23</f>
        <v>1.0228676549575679</v>
      </c>
      <c r="G23" s="332">
        <f>D23+'2018OCT'!G23</f>
        <v>140870.19999999998</v>
      </c>
      <c r="H23" s="332">
        <f>E23+'2018OCT'!H23</f>
        <v>143305</v>
      </c>
      <c r="I23" s="14">
        <f t="shared" ref="I23:I28" si="1">H23/G23</f>
        <v>1.0172839961894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14894.4</v>
      </c>
      <c r="E24" s="330">
        <f>SUM(E23:E23)</f>
        <v>15235</v>
      </c>
      <c r="F24" s="16">
        <f t="shared" si="0"/>
        <v>1.0228676549575679</v>
      </c>
      <c r="G24" s="330">
        <f>SUM(G23:G23)</f>
        <v>140870.19999999998</v>
      </c>
      <c r="H24" s="330">
        <f>SUM(H23:H23)</f>
        <v>143305</v>
      </c>
      <c r="I24" s="16">
        <f t="shared" si="1"/>
        <v>1.0172839961894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16640</v>
      </c>
      <c r="E25" s="329">
        <v>16575</v>
      </c>
      <c r="F25" s="14">
        <f t="shared" si="0"/>
        <v>0.99609375</v>
      </c>
      <c r="G25" s="332">
        <f>D25+'2018OCT'!G25</f>
        <v>147840</v>
      </c>
      <c r="H25" s="332">
        <f>E25+'2018OCT'!H25</f>
        <v>150088</v>
      </c>
      <c r="I25" s="14">
        <f t="shared" si="1"/>
        <v>1.0152056277056276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16640</v>
      </c>
      <c r="E27" s="330">
        <f>SUM(E25:E26)</f>
        <v>16575</v>
      </c>
      <c r="F27" s="16">
        <f t="shared" si="0"/>
        <v>0.99609375</v>
      </c>
      <c r="G27" s="330">
        <f>SUM(G25:G26)</f>
        <v>147840</v>
      </c>
      <c r="H27" s="330">
        <f>SUM(H25:H26)</f>
        <v>150088</v>
      </c>
      <c r="I27" s="16">
        <f t="shared" si="1"/>
        <v>1.0152056277056276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31534.400000000001</v>
      </c>
      <c r="E28" s="331">
        <f>SUM(E24,E27)</f>
        <v>31810</v>
      </c>
      <c r="F28" s="17">
        <f t="shared" si="0"/>
        <v>1.0087396620833122</v>
      </c>
      <c r="G28" s="331">
        <f>SUM(G24,G27)</f>
        <v>288710.19999999995</v>
      </c>
      <c r="H28" s="331">
        <f>SUM(H24,H27)</f>
        <v>293393</v>
      </c>
      <c r="I28" s="17">
        <f t="shared" si="1"/>
        <v>1.0162197248313363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8736</v>
      </c>
      <c r="F30" s="14">
        <f>E30/D30</f>
        <v>8.7360000000000007</v>
      </c>
      <c r="G30" s="332">
        <f>D30+'2018OCT'!G30</f>
        <v>11000</v>
      </c>
      <c r="H30" s="332">
        <f>E30+'2018OCT'!H30</f>
        <v>39514</v>
      </c>
      <c r="I30" s="14">
        <f>H30/G30</f>
        <v>3.5921818181818184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742</v>
      </c>
      <c r="F31" s="14" t="e">
        <f t="shared" ref="F31:F47" si="2">E31/D31</f>
        <v>#DIV/0!</v>
      </c>
      <c r="G31" s="332">
        <f>D31+'2018OCT'!G31</f>
        <v>0</v>
      </c>
      <c r="H31" s="332">
        <f>E31+'2018OCT'!H31</f>
        <v>44623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9478</v>
      </c>
      <c r="F32" s="14">
        <f t="shared" si="2"/>
        <v>9.4779999999999998</v>
      </c>
      <c r="G32" s="330">
        <f>SUM(G30:G31)</f>
        <v>11000</v>
      </c>
      <c r="H32" s="330">
        <f>SUM(H30:H31)</f>
        <v>84137</v>
      </c>
      <c r="I32" s="14">
        <f t="shared" si="3"/>
        <v>7.6488181818181822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650</v>
      </c>
      <c r="E33" s="329">
        <v>452</v>
      </c>
      <c r="F33" s="14">
        <f t="shared" si="2"/>
        <v>0.69538461538461538</v>
      </c>
      <c r="G33" s="332">
        <f>D33+'2018OCT'!G33</f>
        <v>7150</v>
      </c>
      <c r="H33" s="332">
        <f>E33+'2018OCT'!H33</f>
        <v>6752</v>
      </c>
      <c r="I33" s="14">
        <f t="shared" si="3"/>
        <v>0.94433566433566429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1650</v>
      </c>
      <c r="E34" s="334">
        <f>SUM(E32,E33)</f>
        <v>9930</v>
      </c>
      <c r="F34" s="14">
        <f t="shared" si="2"/>
        <v>6.0181818181818185</v>
      </c>
      <c r="G34" s="334">
        <f>SUM(G32,G33)</f>
        <v>18150</v>
      </c>
      <c r="H34" s="334">
        <f>SUM(H32,H33)</f>
        <v>90889</v>
      </c>
      <c r="I34" s="14">
        <f t="shared" si="3"/>
        <v>5.0076584022038571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D35+'2018OCT'!G35</f>
        <v>398552</v>
      </c>
      <c r="H35" s="332">
        <f>E35+'2018OCT'!H35</f>
        <v>451801</v>
      </c>
      <c r="I35" s="14">
        <f t="shared" si="3"/>
        <v>1.1336061542784881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398552</v>
      </c>
      <c r="H37" s="341">
        <f>SUM(H35:H36)</f>
        <v>451801</v>
      </c>
      <c r="I37" s="16">
        <f t="shared" si="3"/>
        <v>1.1336061542784881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D38+'2018OCT'!G38</f>
        <v>12100</v>
      </c>
      <c r="H38" s="332">
        <f>E38+'2018OCT'!H38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12100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410652</v>
      </c>
      <c r="H41" s="334">
        <f>SUM(H37,H40)</f>
        <v>451801</v>
      </c>
      <c r="I41" s="19">
        <f t="shared" si="3"/>
        <v>1.1002040657296202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15832</v>
      </c>
      <c r="F42" s="21">
        <f t="shared" si="2"/>
        <v>1.2665599999999999</v>
      </c>
      <c r="G42" s="342">
        <f>D42+'2018OCT'!G42</f>
        <v>128500</v>
      </c>
      <c r="H42" s="342">
        <f>E42+'2018OCT'!H42</f>
        <v>176395</v>
      </c>
      <c r="I42" s="21">
        <f t="shared" si="3"/>
        <v>1.3727237354085604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16000</v>
      </c>
      <c r="E43" s="338">
        <v>321</v>
      </c>
      <c r="F43" s="21">
        <f t="shared" si="2"/>
        <v>2.00625E-2</v>
      </c>
      <c r="G43" s="342">
        <f>D43+'2018OCT'!G43</f>
        <v>70000</v>
      </c>
      <c r="H43" s="342">
        <f>E43+'2018OCT'!H43</f>
        <v>2411</v>
      </c>
      <c r="I43" s="21">
        <f t="shared" si="3"/>
        <v>3.4442857142857143E-2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33500</v>
      </c>
      <c r="E44" s="338">
        <v>0</v>
      </c>
      <c r="F44" s="21">
        <f t="shared" si="2"/>
        <v>0</v>
      </c>
      <c r="G44" s="342">
        <f>D44+'2018OCT'!G44</f>
        <v>368500</v>
      </c>
      <c r="H44" s="342">
        <f>E44+'2018OCT'!H44</f>
        <v>399970</v>
      </c>
      <c r="I44" s="21">
        <f t="shared" si="3"/>
        <v>1.0854002713704207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132516.4</v>
      </c>
      <c r="E45" s="339">
        <f>SUM(E28,E34,E41,E42:E44)</f>
        <v>57893</v>
      </c>
      <c r="F45" s="22">
        <f t="shared" si="2"/>
        <v>0.43687422839739082</v>
      </c>
      <c r="G45" s="339">
        <f>SUM(G28,G34,G41,G42:G44)</f>
        <v>1284512.2</v>
      </c>
      <c r="H45" s="339">
        <f>SUM(H28,H34,H41,H42:H44)</f>
        <v>1414859</v>
      </c>
      <c r="I45" s="22">
        <f t="shared" si="3"/>
        <v>1.1014757197323624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120016.4</v>
      </c>
      <c r="E46" s="339">
        <f>E45-E42</f>
        <v>42061</v>
      </c>
      <c r="F46" s="22">
        <f t="shared" si="2"/>
        <v>0.35046043707359997</v>
      </c>
      <c r="G46" s="339">
        <f>G45-G42</f>
        <v>1156012.2</v>
      </c>
      <c r="H46" s="339">
        <f>H45-H42</f>
        <v>1238464</v>
      </c>
      <c r="I46" s="22">
        <f t="shared" si="3"/>
        <v>1.0713243337743321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86516.4</v>
      </c>
      <c r="E47" s="340">
        <f>E46-E44</f>
        <v>42061</v>
      </c>
      <c r="F47" s="23">
        <f t="shared" si="2"/>
        <v>0.48616216116250793</v>
      </c>
      <c r="G47" s="340">
        <f>G46-G44</f>
        <v>787512.2</v>
      </c>
      <c r="H47" s="340">
        <f>H46-H44</f>
        <v>838494</v>
      </c>
      <c r="I47" s="23">
        <f t="shared" si="3"/>
        <v>1.0647377907288293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22" t="s">
        <v>23</v>
      </c>
      <c r="E52" s="322" t="s">
        <v>24</v>
      </c>
      <c r="F52" s="322" t="s">
        <v>25</v>
      </c>
      <c r="G52" s="322" t="s">
        <v>23</v>
      </c>
      <c r="H52" s="322" t="s">
        <v>24</v>
      </c>
      <c r="I52" s="322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326">
        <v>37</v>
      </c>
      <c r="F53" s="28">
        <f t="shared" ref="F53:F79" si="4">E53/D53</f>
        <v>3.0833333333333335</v>
      </c>
      <c r="G53" s="66">
        <f>D53+'2018OCT'!G53</f>
        <v>128</v>
      </c>
      <c r="H53" s="66">
        <f>E53+'2018OCT'!H53</f>
        <v>191</v>
      </c>
      <c r="I53" s="28">
        <f t="shared" ref="I53:I79" si="5">H53/G53</f>
        <v>1.4921875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326">
        <v>401</v>
      </c>
      <c r="F54" s="28">
        <f t="shared" si="4"/>
        <v>1.3366666666666667</v>
      </c>
      <c r="G54" s="66">
        <f>D54+'2018OCT'!G54</f>
        <v>3300</v>
      </c>
      <c r="H54" s="66">
        <f>E54+'2018OCT'!H54</f>
        <v>3929</v>
      </c>
      <c r="I54" s="28">
        <f t="shared" si="5"/>
        <v>1.1906060606060607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25">
        <f>SUM(D53:D54)</f>
        <v>312</v>
      </c>
      <c r="E55" s="325">
        <f>SUM(E53:E54)</f>
        <v>438</v>
      </c>
      <c r="F55" s="30">
        <f t="shared" si="4"/>
        <v>1.4038461538461537</v>
      </c>
      <c r="G55" s="325">
        <f>SUM(G53:G54)</f>
        <v>3428</v>
      </c>
      <c r="H55" s="325">
        <f>SUM(H53:H54)</f>
        <v>4120</v>
      </c>
      <c r="I55" s="30">
        <f t="shared" si="5"/>
        <v>1.2018669778296382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326">
        <v>66</v>
      </c>
      <c r="F56" s="28">
        <f t="shared" si="4"/>
        <v>1.65</v>
      </c>
      <c r="G56" s="66">
        <f>D56+'2018OCT'!G56</f>
        <v>440</v>
      </c>
      <c r="H56" s="66">
        <f>E56+'2018OCT'!H56</f>
        <v>580</v>
      </c>
      <c r="I56" s="28">
        <f t="shared" si="5"/>
        <v>1.3181818181818181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326">
        <v>1057</v>
      </c>
      <c r="F57" s="28">
        <f t="shared" si="4"/>
        <v>1.7616666666666667</v>
      </c>
      <c r="G57" s="66">
        <f>D57+'2018OCT'!G57</f>
        <v>6600</v>
      </c>
      <c r="H57" s="66">
        <f>E57+'2018OCT'!H57</f>
        <v>9287</v>
      </c>
      <c r="I57" s="28">
        <f t="shared" si="5"/>
        <v>1.4071212121212122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19">
        <f>SUM(D56:D57)</f>
        <v>640</v>
      </c>
      <c r="E58" s="319">
        <f>SUM(E56:E57)</f>
        <v>1123</v>
      </c>
      <c r="F58" s="28">
        <f t="shared" si="4"/>
        <v>1.7546875</v>
      </c>
      <c r="G58" s="319">
        <f>SUM(G56:G57)</f>
        <v>7040</v>
      </c>
      <c r="H58" s="319">
        <f>SUM(H56:H57)</f>
        <v>9867</v>
      </c>
      <c r="I58" s="31">
        <f t="shared" si="5"/>
        <v>1.4015625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15">
        <f>SUM(D53,D56)</f>
        <v>52</v>
      </c>
      <c r="E59" s="315">
        <f>SUM(E53,E56)</f>
        <v>103</v>
      </c>
      <c r="F59" s="32">
        <f t="shared" si="4"/>
        <v>1.9807692307692308</v>
      </c>
      <c r="G59" s="315">
        <f>SUM(G53,G56)</f>
        <v>568</v>
      </c>
      <c r="H59" s="315">
        <f>SUM(H53,H56)</f>
        <v>771</v>
      </c>
      <c r="I59" s="32">
        <f t="shared" si="5"/>
        <v>1.357394366197183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15">
        <f>SUM(D54,D57)</f>
        <v>900</v>
      </c>
      <c r="E60" s="315">
        <f>SUM(E54,E57)</f>
        <v>1458</v>
      </c>
      <c r="F60" s="32">
        <f t="shared" si="4"/>
        <v>1.62</v>
      </c>
      <c r="G60" s="315">
        <f>SUM(G54,G57)</f>
        <v>9900</v>
      </c>
      <c r="H60" s="315">
        <f>SUM(H54,H57)</f>
        <v>13216</v>
      </c>
      <c r="I60" s="32">
        <f t="shared" si="5"/>
        <v>1.3349494949494949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23">
        <f>SUM(D59:D60)</f>
        <v>952</v>
      </c>
      <c r="E61" s="323">
        <f>SUM(E59:E60)</f>
        <v>1561</v>
      </c>
      <c r="F61" s="33">
        <f t="shared" si="4"/>
        <v>1.6397058823529411</v>
      </c>
      <c r="G61" s="323">
        <f>SUM(G59:G60)</f>
        <v>10468</v>
      </c>
      <c r="H61" s="323">
        <f>SUM(H59:H60)</f>
        <v>13987</v>
      </c>
      <c r="I61" s="33">
        <f t="shared" si="5"/>
        <v>1.3361673672143677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321">
        <f>E71/10</f>
        <v>128.69999999999999</v>
      </c>
      <c r="F62" s="28">
        <f t="shared" si="4"/>
        <v>3.0642857142857141</v>
      </c>
      <c r="G62" s="66">
        <f>D62+'2018OCT'!G62</f>
        <v>448</v>
      </c>
      <c r="H62" s="66">
        <f>E62+'2018OCT'!H62</f>
        <v>664.09999999999991</v>
      </c>
      <c r="I62" s="28">
        <f t="shared" si="5"/>
        <v>1.4823660714285711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321">
        <f>E72/10</f>
        <v>1394.8</v>
      </c>
      <c r="F63" s="28">
        <f t="shared" si="4"/>
        <v>1.3360153256704981</v>
      </c>
      <c r="G63" s="248">
        <f>D63+'2018OCT'!G63</f>
        <v>11484</v>
      </c>
      <c r="H63" s="66">
        <f>E63+'2018OCT'!H63</f>
        <v>13666.399999999998</v>
      </c>
      <c r="I63" s="28">
        <f t="shared" si="5"/>
        <v>1.1900383141762449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325">
        <f>SUM(E62:E63)</f>
        <v>1523.5</v>
      </c>
      <c r="F64" s="30">
        <f t="shared" si="4"/>
        <v>1.402854511970534</v>
      </c>
      <c r="G64" s="325">
        <f>SUM(G62:G63)</f>
        <v>11932</v>
      </c>
      <c r="H64" s="325">
        <f>SUM(H62:H63)</f>
        <v>14330.499999999998</v>
      </c>
      <c r="I64" s="30">
        <f t="shared" si="5"/>
        <v>1.2010140797854507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321">
        <f>E74/10</f>
        <v>87.8</v>
      </c>
      <c r="F65" s="28">
        <f t="shared" si="4"/>
        <v>1.371875</v>
      </c>
      <c r="G65" s="66">
        <f>D65+'2018OCT'!G65</f>
        <v>704</v>
      </c>
      <c r="H65" s="66">
        <f>E65+'2018OCT'!H65</f>
        <v>752.90000000000009</v>
      </c>
      <c r="I65" s="28">
        <f t="shared" si="5"/>
        <v>1.0694602272727274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321">
        <f>E75/10</f>
        <v>1569.7</v>
      </c>
      <c r="F66" s="28">
        <f t="shared" si="4"/>
        <v>1.6351041666666668</v>
      </c>
      <c r="G66" s="66">
        <f>D66+'2018OCT'!G66</f>
        <v>10560</v>
      </c>
      <c r="H66" s="66">
        <f>E66+'2018OCT'!H66</f>
        <v>14255.900000000001</v>
      </c>
      <c r="I66" s="28">
        <f t="shared" si="5"/>
        <v>1.3499905303030304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19">
        <f>SUM(D65:D66)</f>
        <v>1024</v>
      </c>
      <c r="E67" s="319">
        <f>SUM(E65:E66)</f>
        <v>1657.5</v>
      </c>
      <c r="F67" s="31">
        <f t="shared" si="4"/>
        <v>1.61865234375</v>
      </c>
      <c r="G67" s="319">
        <f>SUM(G65:G66)</f>
        <v>11264</v>
      </c>
      <c r="H67" s="319">
        <f>SUM(H65:H66)</f>
        <v>15008.800000000001</v>
      </c>
      <c r="I67" s="31">
        <f t="shared" si="5"/>
        <v>1.3324573863636364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15">
        <f>SUM(D62,D65)</f>
        <v>106</v>
      </c>
      <c r="E68" s="315">
        <f>SUM(E62,E65)</f>
        <v>216.5</v>
      </c>
      <c r="F68" s="32">
        <f t="shared" si="4"/>
        <v>2.0424528301886791</v>
      </c>
      <c r="G68" s="315">
        <f>SUM(G62,G65)</f>
        <v>1152</v>
      </c>
      <c r="H68" s="315">
        <f>SUM(H62,H65)</f>
        <v>1417</v>
      </c>
      <c r="I68" s="32">
        <f t="shared" si="5"/>
        <v>1.2300347222222223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15">
        <f>SUM(D63,D66)</f>
        <v>2004</v>
      </c>
      <c r="E69" s="315">
        <f>SUM(E63,E66)</f>
        <v>2964.5</v>
      </c>
      <c r="F69" s="32">
        <f t="shared" si="4"/>
        <v>1.4792914171656686</v>
      </c>
      <c r="G69" s="315">
        <f>SUM(G63,G66)</f>
        <v>22044</v>
      </c>
      <c r="H69" s="315">
        <f>SUM(H63,H66)</f>
        <v>27922.3</v>
      </c>
      <c r="I69" s="32">
        <f t="shared" si="5"/>
        <v>1.2666621302848848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23">
        <f>SUM(D68:D69)</f>
        <v>2110</v>
      </c>
      <c r="E70" s="323">
        <f>SUM(E68:E69)</f>
        <v>3181</v>
      </c>
      <c r="F70" s="34">
        <f t="shared" si="4"/>
        <v>1.5075829383886257</v>
      </c>
      <c r="G70" s="323">
        <f>SUM(G68:G69)</f>
        <v>23196</v>
      </c>
      <c r="H70" s="323">
        <f>SUM(H68:H69)</f>
        <v>29339.3</v>
      </c>
      <c r="I70" s="34">
        <f t="shared" si="5"/>
        <v>1.2648430763924814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4454.3999999999996</v>
      </c>
      <c r="E71" s="326">
        <v>1287</v>
      </c>
      <c r="F71" s="28">
        <f t="shared" si="4"/>
        <v>0.28892780172413796</v>
      </c>
      <c r="G71" s="179">
        <f>D71+'2018OCT'!G71</f>
        <v>26030.199999999997</v>
      </c>
      <c r="H71" s="66">
        <f>E71+'2018OCT'!H71</f>
        <v>6641</v>
      </c>
      <c r="I71" s="28">
        <f t="shared" si="5"/>
        <v>0.25512673740501418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27">
        <f>E23-E71</f>
        <v>13948</v>
      </c>
      <c r="F72" s="28">
        <f t="shared" si="4"/>
        <v>1.3360153256704981</v>
      </c>
      <c r="G72" s="248">
        <f>D72+'2018OCT'!G72</f>
        <v>114840</v>
      </c>
      <c r="H72" s="66">
        <f>E72+'2018OCT'!H72</f>
        <v>136664</v>
      </c>
      <c r="I72" s="28">
        <f t="shared" si="5"/>
        <v>1.1900383141762452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25">
        <f>SUM(D71:D72)</f>
        <v>14894.4</v>
      </c>
      <c r="E73" s="325">
        <f>SUM(E71:E72)</f>
        <v>15235</v>
      </c>
      <c r="F73" s="30">
        <f t="shared" si="4"/>
        <v>1.0228676549575679</v>
      </c>
      <c r="G73" s="325">
        <f>SUM(G71:G72)</f>
        <v>140870.20000000001</v>
      </c>
      <c r="H73" s="325">
        <f>SUM(H71:H72)</f>
        <v>143305</v>
      </c>
      <c r="I73" s="30">
        <f t="shared" si="5"/>
        <v>1.0172839961893998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7040</v>
      </c>
      <c r="E74" s="326">
        <v>878</v>
      </c>
      <c r="F74" s="28">
        <f t="shared" si="4"/>
        <v>0.12471590909090909</v>
      </c>
      <c r="G74" s="179">
        <f>D74+'2018OCT'!G74</f>
        <v>42240</v>
      </c>
      <c r="H74" s="66">
        <f>E74+'2018OCT'!H74</f>
        <v>7529</v>
      </c>
      <c r="I74" s="28">
        <f t="shared" si="5"/>
        <v>0.17824337121212122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27">
        <f>E25-E74</f>
        <v>15697</v>
      </c>
      <c r="F75" s="28">
        <f t="shared" si="4"/>
        <v>1.6351041666666666</v>
      </c>
      <c r="G75" s="248">
        <f>D75+'2018OCT'!G75</f>
        <v>105600</v>
      </c>
      <c r="H75" s="66">
        <f>E75+'2018OCT'!H75</f>
        <v>142559</v>
      </c>
      <c r="I75" s="28">
        <f t="shared" si="5"/>
        <v>1.3499905303030304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19">
        <f>SUM(D74:D75)</f>
        <v>16640</v>
      </c>
      <c r="E76" s="319">
        <f>SUM(E74:E75)</f>
        <v>16575</v>
      </c>
      <c r="F76" s="31">
        <f t="shared" si="4"/>
        <v>0.99609375</v>
      </c>
      <c r="G76" s="319">
        <f>SUM(G74:G75)</f>
        <v>147840</v>
      </c>
      <c r="H76" s="319">
        <f>SUM(H74:H75)</f>
        <v>150088</v>
      </c>
      <c r="I76" s="31">
        <f t="shared" si="5"/>
        <v>1.0152056277056276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15">
        <f>SUM(D71,D74)</f>
        <v>11494.4</v>
      </c>
      <c r="E77" s="315">
        <f>SUM(E71,E74)</f>
        <v>2165</v>
      </c>
      <c r="F77" s="32">
        <f t="shared" si="4"/>
        <v>0.1883525890868597</v>
      </c>
      <c r="G77" s="315">
        <f>SUM(G71,G74)</f>
        <v>68270.2</v>
      </c>
      <c r="H77" s="315">
        <f>SUM(H71,H74)</f>
        <v>14170</v>
      </c>
      <c r="I77" s="32">
        <f t="shared" si="5"/>
        <v>0.20755761664679465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15">
        <f>SUM(D72,D75)</f>
        <v>20040</v>
      </c>
      <c r="E78" s="315">
        <f>SUM(E72,E75)</f>
        <v>29645</v>
      </c>
      <c r="F78" s="32">
        <f t="shared" si="4"/>
        <v>1.4792914171656686</v>
      </c>
      <c r="G78" s="315">
        <f>SUM(G72,G75)</f>
        <v>220440</v>
      </c>
      <c r="H78" s="315">
        <f>SUM(H72,H75)</f>
        <v>279223</v>
      </c>
      <c r="I78" s="32">
        <f t="shared" si="5"/>
        <v>1.2666621302848848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23">
        <f>SUM(D77:D78)</f>
        <v>31534.400000000001</v>
      </c>
      <c r="E79" s="323">
        <f>SUM(E77:E78)</f>
        <v>31810</v>
      </c>
      <c r="F79" s="34">
        <f t="shared" si="4"/>
        <v>1.0087396620833122</v>
      </c>
      <c r="G79" s="323">
        <f>SUM(G77:G78)</f>
        <v>288710.2</v>
      </c>
      <c r="H79" s="323">
        <f>SUM(H77:H78)</f>
        <v>293393</v>
      </c>
      <c r="I79" s="34">
        <f t="shared" si="5"/>
        <v>1.016219724831336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438</v>
      </c>
      <c r="E87" s="130"/>
      <c r="F87" s="134">
        <f>D87+'2018OCT'!F87</f>
        <v>4120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37</v>
      </c>
      <c r="E88" s="128"/>
      <c r="F88" s="134">
        <f>D88+'2018OCT'!F88</f>
        <v>191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43</v>
      </c>
      <c r="E89" s="128">
        <f>D89/D87</f>
        <v>9.8173515981735154E-2</v>
      </c>
      <c r="F89" s="134">
        <f>D89+'2018OCT'!F89</f>
        <v>55</v>
      </c>
      <c r="G89" s="128">
        <f>F89/F87</f>
        <v>1.3349514563106795E-2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22</v>
      </c>
      <c r="E90" s="128">
        <f>D90/D92</f>
        <v>0.15384615384615385</v>
      </c>
      <c r="F90" s="134">
        <f>D90+'2018OCT'!F90</f>
        <v>207</v>
      </c>
      <c r="G90" s="128">
        <f>F90/F92</f>
        <v>9.2825112107623314E-2</v>
      </c>
      <c r="H90" s="128"/>
    </row>
    <row r="91" spans="1:13" ht="15" customHeight="1">
      <c r="A91" s="775"/>
      <c r="B91" s="776" t="s">
        <v>202</v>
      </c>
      <c r="C91" s="776"/>
      <c r="D91" s="131">
        <v>201</v>
      </c>
      <c r="E91" s="128">
        <f>D91/D92</f>
        <v>1.4055944055944056</v>
      </c>
      <c r="F91" s="134">
        <f>D91+'2018OCT'!F91</f>
        <v>2270</v>
      </c>
      <c r="G91" s="128">
        <f>F91/F92</f>
        <v>1.0179372197309418</v>
      </c>
      <c r="H91" s="128"/>
    </row>
    <row r="92" spans="1:13" ht="15" customHeight="1">
      <c r="A92" s="775"/>
      <c r="B92" s="776" t="s">
        <v>203</v>
      </c>
      <c r="C92" s="776"/>
      <c r="D92" s="131">
        <v>143</v>
      </c>
      <c r="E92" s="130"/>
      <c r="F92" s="134">
        <f>D92+'2018OCT'!F92</f>
        <v>2230</v>
      </c>
      <c r="G92" s="130"/>
      <c r="H92" s="128"/>
    </row>
    <row r="93" spans="1:13">
      <c r="C93" s="126" t="s">
        <v>210</v>
      </c>
      <c r="D93" s="132">
        <v>581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22" t="s">
        <v>23</v>
      </c>
      <c r="E97" s="322" t="s">
        <v>24</v>
      </c>
      <c r="F97" s="322" t="s">
        <v>25</v>
      </c>
      <c r="G97" s="322" t="s">
        <v>23</v>
      </c>
      <c r="H97" s="322" t="s">
        <v>24</v>
      </c>
      <c r="I97" s="322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26">
        <v>1</v>
      </c>
      <c r="F98" s="37" t="e">
        <f>E98/D98</f>
        <v>#DIV/0!</v>
      </c>
      <c r="G98" s="66">
        <f>D98+'2018OCT'!G98</f>
        <v>0</v>
      </c>
      <c r="H98" s="66">
        <f>E98+'2018OCT'!H98</f>
        <v>2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326">
        <v>20</v>
      </c>
      <c r="F99" s="28">
        <f t="shared" ref="F99:F115" si="6">E99/D99</f>
        <v>0.48780487804878048</v>
      </c>
      <c r="G99" s="66">
        <f>D99+'2018OCT'!G99</f>
        <v>451</v>
      </c>
      <c r="H99" s="66">
        <f>E99+'2018OCT'!H99</f>
        <v>422</v>
      </c>
      <c r="I99" s="28">
        <f t="shared" ref="I99:I115" si="7">H99/G99</f>
        <v>0.93569844789356982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25">
        <f>SUM(D98:D99)</f>
        <v>41</v>
      </c>
      <c r="E100" s="325">
        <f>SUM(E98:E99)</f>
        <v>21</v>
      </c>
      <c r="F100" s="30">
        <f t="shared" si="6"/>
        <v>0.51219512195121952</v>
      </c>
      <c r="G100" s="325">
        <f>SUM(G98:G99)</f>
        <v>451</v>
      </c>
      <c r="H100" s="325">
        <f>SUM(H98:H99)</f>
        <v>424</v>
      </c>
      <c r="I100" s="30">
        <f t="shared" si="7"/>
        <v>0.94013303769401335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26">
        <v>0</v>
      </c>
      <c r="F101" s="28" t="e">
        <f t="shared" si="6"/>
        <v>#DIV/0!</v>
      </c>
      <c r="G101" s="66">
        <f>D101+'2018OCT'!G101</f>
        <v>0</v>
      </c>
      <c r="H101" s="66">
        <f>E101+'2018OCT'!H101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326">
        <v>8</v>
      </c>
      <c r="F102" s="28">
        <f t="shared" si="6"/>
        <v>0.72727272727272729</v>
      </c>
      <c r="G102" s="66">
        <f>D102+'2018OCT'!G102</f>
        <v>121</v>
      </c>
      <c r="H102" s="66">
        <f>E102+'2018OCT'!H102</f>
        <v>104</v>
      </c>
      <c r="I102" s="28">
        <f t="shared" si="7"/>
        <v>0.85950413223140498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25">
        <f>SUM(D101:D102)</f>
        <v>11</v>
      </c>
      <c r="E103" s="325">
        <f>SUM(E101:E102)</f>
        <v>8</v>
      </c>
      <c r="F103" s="30">
        <f t="shared" si="6"/>
        <v>0.72727272727272729</v>
      </c>
      <c r="G103" s="325">
        <f>SUM(G101:G102)</f>
        <v>121</v>
      </c>
      <c r="H103" s="325">
        <f>SUM(H101:H102)</f>
        <v>104</v>
      </c>
      <c r="I103" s="30">
        <f t="shared" si="7"/>
        <v>0.85950413223140498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326">
        <v>6</v>
      </c>
      <c r="F104" s="28" t="e">
        <f t="shared" si="6"/>
        <v>#DIV/0!</v>
      </c>
      <c r="G104" s="66">
        <f>D104+'2018OCT'!G104</f>
        <v>0</v>
      </c>
      <c r="H104" s="66">
        <f>E104+'2018OCT'!H104</f>
        <v>18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326">
        <v>68</v>
      </c>
      <c r="F105" s="28">
        <f t="shared" si="6"/>
        <v>1.0793650793650793</v>
      </c>
      <c r="G105" s="66">
        <f>D105+'2018OCT'!G105</f>
        <v>693</v>
      </c>
      <c r="H105" s="66">
        <f>E105+'2018OCT'!H105</f>
        <v>671</v>
      </c>
      <c r="I105" s="28">
        <f t="shared" si="7"/>
        <v>0.96825396825396826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25">
        <f>SUM(D104:D105)</f>
        <v>63</v>
      </c>
      <c r="E106" s="325">
        <f>SUM(E104:E105)</f>
        <v>74</v>
      </c>
      <c r="F106" s="30">
        <f t="shared" si="6"/>
        <v>1.1746031746031746</v>
      </c>
      <c r="G106" s="325">
        <f>SUM(G104:G105)</f>
        <v>693</v>
      </c>
      <c r="H106" s="325">
        <f>SUM(H104:H105)</f>
        <v>689</v>
      </c>
      <c r="I106" s="30">
        <f t="shared" si="7"/>
        <v>0.99422799422799424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26">
        <v>5</v>
      </c>
      <c r="F107" s="28">
        <f>E107/D107</f>
        <v>2.5</v>
      </c>
      <c r="G107" s="66">
        <f>D107+'2018OCT'!G107</f>
        <v>20</v>
      </c>
      <c r="H107" s="66">
        <f>E107+'2018OCT'!H107</f>
        <v>48</v>
      </c>
      <c r="I107" s="28">
        <f>H107/G107</f>
        <v>2.4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118</v>
      </c>
      <c r="E108" s="326">
        <v>131</v>
      </c>
      <c r="F108" s="28">
        <f>E108/D108</f>
        <v>1.1101694915254237</v>
      </c>
      <c r="G108" s="66">
        <f>D108+'2018OCT'!G108</f>
        <v>1190</v>
      </c>
      <c r="H108" s="66">
        <f>E108+'2018OCT'!H108</f>
        <v>1207</v>
      </c>
      <c r="I108" s="28">
        <f t="shared" si="7"/>
        <v>1.0142857142857142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25">
        <f>SUM(D107:D108)</f>
        <v>120</v>
      </c>
      <c r="E109" s="325">
        <f>SUM(E107:E108)</f>
        <v>136</v>
      </c>
      <c r="F109" s="30">
        <f t="shared" si="6"/>
        <v>1.1333333333333333</v>
      </c>
      <c r="G109" s="325">
        <f>SUM(G107:G108)</f>
        <v>1210</v>
      </c>
      <c r="H109" s="325">
        <f>SUM(H107:H108)</f>
        <v>1255</v>
      </c>
      <c r="I109" s="30">
        <f t="shared" si="7"/>
        <v>1.0371900826446281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326">
        <v>14</v>
      </c>
      <c r="F110" s="30">
        <f>E110/D110</f>
        <v>1.75</v>
      </c>
      <c r="G110" s="66">
        <f>D110+'2018OCT'!G110</f>
        <v>88</v>
      </c>
      <c r="H110" s="66">
        <f>E110+'2018OCT'!H110</f>
        <v>71</v>
      </c>
      <c r="I110" s="30">
        <f>H110/G110</f>
        <v>0.80681818181818177</v>
      </c>
      <c r="J110" s="316"/>
      <c r="K110" s="317"/>
      <c r="L110" s="317"/>
      <c r="M110" s="318"/>
    </row>
    <row r="111" spans="1:13">
      <c r="A111" s="553"/>
      <c r="B111" s="803"/>
      <c r="C111" s="27" t="s">
        <v>70</v>
      </c>
      <c r="D111" s="65">
        <v>80</v>
      </c>
      <c r="E111" s="326">
        <v>58</v>
      </c>
      <c r="F111" s="30">
        <f t="shared" ref="F111:F112" si="8">E111/D111</f>
        <v>0.72499999999999998</v>
      </c>
      <c r="G111" s="66">
        <f>D111+'2018OCT'!G111</f>
        <v>440</v>
      </c>
      <c r="H111" s="66">
        <f>E111+'2018OCT'!H111</f>
        <v>386</v>
      </c>
      <c r="I111" s="30">
        <f t="shared" ref="I111:I112" si="9">H111/G111</f>
        <v>0.87727272727272732</v>
      </c>
      <c r="J111" s="316"/>
      <c r="K111" s="317"/>
      <c r="L111" s="317"/>
      <c r="M111" s="318"/>
    </row>
    <row r="112" spans="1:13">
      <c r="A112" s="553"/>
      <c r="B112" s="804"/>
      <c r="C112" s="38" t="s">
        <v>166</v>
      </c>
      <c r="D112" s="325">
        <f>SUM(D110:D111)</f>
        <v>88</v>
      </c>
      <c r="E112" s="325">
        <f>SUM(E110:E111)</f>
        <v>72</v>
      </c>
      <c r="F112" s="30">
        <f t="shared" si="8"/>
        <v>0.81818181818181823</v>
      </c>
      <c r="G112" s="325">
        <f>SUM(G110:G111)</f>
        <v>528</v>
      </c>
      <c r="H112" s="325">
        <f>SUM(H110:H111)</f>
        <v>457</v>
      </c>
      <c r="I112" s="30">
        <f t="shared" si="9"/>
        <v>0.86553030303030298</v>
      </c>
      <c r="J112" s="316"/>
      <c r="K112" s="317"/>
      <c r="L112" s="317"/>
      <c r="M112" s="318"/>
    </row>
    <row r="113" spans="1:13">
      <c r="A113" s="553"/>
      <c r="B113" s="611" t="s">
        <v>46</v>
      </c>
      <c r="C113" s="39" t="s">
        <v>69</v>
      </c>
      <c r="D113" s="319">
        <f>SUM(D98,D101,D104,D107,D110)</f>
        <v>10</v>
      </c>
      <c r="E113" s="319">
        <f>SUM(E98,E101,E104,E107,E110)</f>
        <v>26</v>
      </c>
      <c r="F113" s="31">
        <f t="shared" si="6"/>
        <v>2.6</v>
      </c>
      <c r="G113" s="319">
        <f>SUM(G98,G101,G104,G107,G110)</f>
        <v>108</v>
      </c>
      <c r="H113" s="319">
        <f>SUM(H98,H101,H104,H107,H110)</f>
        <v>139</v>
      </c>
      <c r="I113" s="31">
        <f t="shared" si="7"/>
        <v>1.287037037037037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19">
        <f>SUM(D99,D102,D105,D108,D111)</f>
        <v>313</v>
      </c>
      <c r="E114" s="319">
        <f>SUM(E99,E102,E105,E108,E111)</f>
        <v>285</v>
      </c>
      <c r="F114" s="31">
        <f t="shared" si="6"/>
        <v>0.91054313099041528</v>
      </c>
      <c r="G114" s="319">
        <f>SUM(G99,G102,G105,G108,G111)</f>
        <v>2895</v>
      </c>
      <c r="H114" s="319">
        <f>SUM(H99,H102,H105,H108,H111)</f>
        <v>2790</v>
      </c>
      <c r="I114" s="31">
        <f t="shared" si="7"/>
        <v>0.96373056994818651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20">
        <f>SUM(D113:D114)</f>
        <v>323</v>
      </c>
      <c r="E115" s="320">
        <f>SUM(E113:E114)</f>
        <v>311</v>
      </c>
      <c r="F115" s="41">
        <f t="shared" si="6"/>
        <v>0.96284829721362231</v>
      </c>
      <c r="G115" s="320">
        <f>SUM(G113:G114)</f>
        <v>3003</v>
      </c>
      <c r="H115" s="320">
        <f>SUM(H113:H114)</f>
        <v>2929</v>
      </c>
      <c r="I115" s="41">
        <f t="shared" si="7"/>
        <v>0.9753579753579753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11</v>
      </c>
      <c r="F116" s="43">
        <f>E116/D116</f>
        <v>5.5</v>
      </c>
      <c r="G116" s="70">
        <f>D116+'2018OCT'!G116</f>
        <v>20</v>
      </c>
      <c r="H116" s="70">
        <f>E116+'2018OCT'!H116</f>
        <v>33</v>
      </c>
      <c r="I116" s="43">
        <f>H116/G116</f>
        <v>1.65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66</v>
      </c>
      <c r="E117" s="326">
        <v>68</v>
      </c>
      <c r="F117" s="28">
        <f t="shared" ref="F117:F126" si="10">E117/D117</f>
        <v>1.0303030303030303</v>
      </c>
      <c r="G117" s="71">
        <f>D117+'2018OCT'!G117</f>
        <v>618</v>
      </c>
      <c r="H117" s="71">
        <f>E117+'2018OCT'!H117</f>
        <v>644</v>
      </c>
      <c r="I117" s="28">
        <f t="shared" ref="I117:I126" si="11">H117/G117</f>
        <v>1.0420711974110033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25">
        <f>SUM(D116:D117)</f>
        <v>68</v>
      </c>
      <c r="E118" s="325">
        <f>SUM(E116:E117)</f>
        <v>79</v>
      </c>
      <c r="F118" s="30">
        <f t="shared" si="10"/>
        <v>1.161764705882353</v>
      </c>
      <c r="G118" s="325">
        <f>SUM(G116:G117)</f>
        <v>638</v>
      </c>
      <c r="H118" s="325">
        <f>SUM(H116:H117)</f>
        <v>677</v>
      </c>
      <c r="I118" s="30">
        <f t="shared" si="11"/>
        <v>1.061128526645768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26">
        <v>0</v>
      </c>
      <c r="F119" s="28" t="e">
        <f t="shared" si="10"/>
        <v>#DIV/0!</v>
      </c>
      <c r="G119" s="66">
        <f>D119+'2018OCT'!G119</f>
        <v>0</v>
      </c>
      <c r="H119" s="66">
        <f>E119+'2018OCT'!H119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326">
        <v>48</v>
      </c>
      <c r="F120" s="28">
        <f t="shared" si="10"/>
        <v>1.2972972972972974</v>
      </c>
      <c r="G120" s="66">
        <f>D120+'2018OCT'!G120</f>
        <v>407</v>
      </c>
      <c r="H120" s="66">
        <f>E120+'2018OCT'!H120</f>
        <v>507</v>
      </c>
      <c r="I120" s="28">
        <f t="shared" si="11"/>
        <v>1.2457002457002457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25">
        <f>SUM(D119:D120)</f>
        <v>37</v>
      </c>
      <c r="E121" s="325">
        <f>SUM(E119:E120)</f>
        <v>48</v>
      </c>
      <c r="F121" s="30">
        <f t="shared" si="10"/>
        <v>1.2972972972972974</v>
      </c>
      <c r="G121" s="325">
        <f>SUM(G119:G120)</f>
        <v>407</v>
      </c>
      <c r="H121" s="325">
        <f>SUM(H119:H120)</f>
        <v>514</v>
      </c>
      <c r="I121" s="30">
        <f t="shared" si="11"/>
        <v>1.2628992628992628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19">
        <f>SUM(D116,D119)</f>
        <v>2</v>
      </c>
      <c r="E122" s="319">
        <f>SUM(E116,E119)</f>
        <v>11</v>
      </c>
      <c r="F122" s="30">
        <f t="shared" si="10"/>
        <v>5.5</v>
      </c>
      <c r="G122" s="319">
        <f>SUM(G116,G119)</f>
        <v>20</v>
      </c>
      <c r="H122" s="319">
        <f>SUM(H116,H119)</f>
        <v>40</v>
      </c>
      <c r="I122" s="30">
        <f t="shared" si="11"/>
        <v>2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19">
        <f>SUM(D117,D120)</f>
        <v>103</v>
      </c>
      <c r="E123" s="319">
        <f>SUM(E117,E120)</f>
        <v>116</v>
      </c>
      <c r="F123" s="30">
        <f t="shared" si="10"/>
        <v>1.1262135922330097</v>
      </c>
      <c r="G123" s="319">
        <f>SUM(G117,G120)</f>
        <v>1025</v>
      </c>
      <c r="H123" s="319">
        <f>SUM(H117,H120)</f>
        <v>1151</v>
      </c>
      <c r="I123" s="30">
        <f t="shared" si="11"/>
        <v>1.1229268292682928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20">
        <f>SUM(D122:D123)</f>
        <v>105</v>
      </c>
      <c r="E124" s="320">
        <f>SUM(E122:E123)</f>
        <v>127</v>
      </c>
      <c r="F124" s="41">
        <f t="shared" si="10"/>
        <v>1.2095238095238094</v>
      </c>
      <c r="G124" s="320">
        <f>SUM(G122:G123)</f>
        <v>1045</v>
      </c>
      <c r="H124" s="320">
        <f>SUM(H122:H123)</f>
        <v>1191</v>
      </c>
      <c r="I124" s="41">
        <f t="shared" si="11"/>
        <v>1.139712918660287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14">
        <f>SUM(D113,D122)</f>
        <v>12</v>
      </c>
      <c r="E125" s="314">
        <f>SUM(E113,E122)</f>
        <v>37</v>
      </c>
      <c r="F125" s="45">
        <f t="shared" si="10"/>
        <v>3.0833333333333335</v>
      </c>
      <c r="G125" s="46">
        <f>SUM(G113,G122)</f>
        <v>128</v>
      </c>
      <c r="H125" s="46">
        <f>SUM(H113,H122)</f>
        <v>179</v>
      </c>
      <c r="I125" s="45">
        <f t="shared" si="11"/>
        <v>1.3984375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15">
        <f>SUM(D114,D123)</f>
        <v>416</v>
      </c>
      <c r="E126" s="315">
        <f>SUM(E114,E123)</f>
        <v>401</v>
      </c>
      <c r="F126" s="32">
        <f t="shared" si="10"/>
        <v>0.96394230769230771</v>
      </c>
      <c r="G126" s="315">
        <f>SUM(G114,G123)</f>
        <v>3920</v>
      </c>
      <c r="H126" s="315">
        <f>SUM(H114,H123)</f>
        <v>3941</v>
      </c>
      <c r="I126" s="32">
        <f t="shared" si="11"/>
        <v>1.0053571428571428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15">
        <f>SUM(D125:D126)</f>
        <v>428</v>
      </c>
      <c r="E127" s="315">
        <f>SUM(E125:E126)</f>
        <v>438</v>
      </c>
      <c r="F127" s="49">
        <f>E127/D127</f>
        <v>1.0233644859813085</v>
      </c>
      <c r="G127" s="314">
        <f>SUM(G125:G126)</f>
        <v>4048</v>
      </c>
      <c r="H127" s="314">
        <f>SUM(H125:H126)</f>
        <v>4120</v>
      </c>
      <c r="I127" s="49">
        <f>H127/G127</f>
        <v>1.017786561264822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34</v>
      </c>
      <c r="D135" s="592"/>
      <c r="E135" s="591">
        <v>4</v>
      </c>
      <c r="F135" s="592"/>
      <c r="G135" s="591">
        <v>1</v>
      </c>
      <c r="H135" s="592"/>
      <c r="I135" s="591">
        <v>10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13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13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13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13" t="s">
        <v>99</v>
      </c>
      <c r="C140" s="590">
        <v>92</v>
      </c>
      <c r="D140" s="590"/>
      <c r="E140" s="590">
        <v>34</v>
      </c>
      <c r="F140" s="590"/>
      <c r="G140" s="590">
        <v>0</v>
      </c>
      <c r="H140" s="590"/>
      <c r="I140" s="772">
        <v>15706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259</v>
      </c>
      <c r="D145" s="563"/>
      <c r="E145" s="564"/>
      <c r="F145" s="562" t="s">
        <v>150</v>
      </c>
      <c r="G145" s="563"/>
      <c r="H145" s="563"/>
      <c r="I145" s="564"/>
      <c r="J145" s="563" t="s">
        <v>173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260</v>
      </c>
      <c r="D146" s="736"/>
      <c r="E146" s="737"/>
      <c r="F146" s="750" t="s">
        <v>261</v>
      </c>
      <c r="G146" s="754"/>
      <c r="H146" s="754"/>
      <c r="I146" s="755"/>
      <c r="J146" s="751" t="s">
        <v>262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11" t="s">
        <v>109</v>
      </c>
      <c r="C154" s="311" t="s">
        <v>110</v>
      </c>
      <c r="D154" s="311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f>'2018OCT'!H155</f>
        <v>16978</v>
      </c>
      <c r="C155" s="63">
        <f>E45-E44</f>
        <v>57893</v>
      </c>
      <c r="D155" s="73">
        <f>72452</f>
        <v>72452</v>
      </c>
      <c r="E155" s="531" t="s">
        <v>114</v>
      </c>
      <c r="F155" s="531"/>
      <c r="G155" s="531"/>
      <c r="H155" s="72">
        <f>C155+A155+B155-D155</f>
        <v>2419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27239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27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18659</v>
      </c>
      <c r="H165" s="778"/>
      <c r="I165" s="779"/>
      <c r="J165" s="779"/>
      <c r="K165" s="780"/>
    </row>
    <row r="166" spans="1:11" ht="14">
      <c r="A166" s="310" t="s">
        <v>126</v>
      </c>
      <c r="B166" s="777" t="s">
        <v>127</v>
      </c>
      <c r="C166" s="777"/>
      <c r="D166" s="777"/>
      <c r="E166" s="777"/>
      <c r="F166" s="777"/>
      <c r="G166" s="326">
        <v>1895</v>
      </c>
      <c r="H166" s="778"/>
      <c r="I166" s="779"/>
      <c r="J166" s="779"/>
      <c r="K166" s="780"/>
    </row>
    <row r="167" spans="1:11" ht="14">
      <c r="A167" s="310" t="s">
        <v>128</v>
      </c>
      <c r="B167" s="777" t="s">
        <v>129</v>
      </c>
      <c r="C167" s="777"/>
      <c r="D167" s="777"/>
      <c r="E167" s="777"/>
      <c r="F167" s="777"/>
      <c r="G167" s="327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98788713-676F-40DF-8590-96D7A8C67B99}">
      <formula1>"USA, JAPAN"</formula1>
    </dataValidation>
    <dataValidation type="list" allowBlank="1" showInputMessage="1" showErrorMessage="1" sqref="G1" xr:uid="{6E4CB02F-B946-4C1A-B2F5-178A7AD8362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AA263-DEDE-45B9-89D8-D67664F4C72A}">
  <sheetPr codeName="Sheet25">
    <pageSetUpPr fitToPage="1"/>
  </sheetPr>
  <dimension ref="A1:N167"/>
  <sheetViews>
    <sheetView topLeftCell="A131" zoomScale="90" zoomScaleNormal="90" zoomScaleSheetLayoutView="85" workbookViewId="0">
      <selection activeCell="F87" sqref="F8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153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/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 t="s">
        <v>266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44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43" t="s">
        <v>176</v>
      </c>
      <c r="C10" s="61">
        <v>2</v>
      </c>
      <c r="D10" s="346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43" t="s">
        <v>177</v>
      </c>
      <c r="C11" s="61">
        <v>2</v>
      </c>
      <c r="D11" s="34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43" t="s">
        <v>179</v>
      </c>
      <c r="C12" s="61">
        <v>2</v>
      </c>
      <c r="D12" s="346">
        <v>4</v>
      </c>
      <c r="E12" s="810" t="s">
        <v>257</v>
      </c>
      <c r="F12" s="811"/>
      <c r="G12" s="811"/>
      <c r="H12" s="811"/>
      <c r="I12" s="812"/>
    </row>
    <row r="13" spans="1:13">
      <c r="A13" s="690"/>
      <c r="B13" s="343" t="s">
        <v>180</v>
      </c>
      <c r="C13" s="61">
        <v>3</v>
      </c>
      <c r="D13" s="346">
        <v>1</v>
      </c>
      <c r="E13" s="691" t="s">
        <v>258</v>
      </c>
      <c r="F13" s="691"/>
      <c r="G13" s="691"/>
      <c r="H13" s="691"/>
      <c r="I13" s="692"/>
    </row>
    <row r="14" spans="1:13">
      <c r="A14" s="690"/>
      <c r="B14" s="343" t="s">
        <v>12</v>
      </c>
      <c r="C14" s="61">
        <v>0</v>
      </c>
      <c r="D14" s="346">
        <v>0</v>
      </c>
      <c r="E14" s="693"/>
      <c r="F14" s="694"/>
      <c r="G14" s="694"/>
      <c r="H14" s="694"/>
      <c r="I14" s="695"/>
    </row>
    <row r="15" spans="1:13">
      <c r="A15" s="690"/>
      <c r="B15" s="343" t="s">
        <v>13</v>
      </c>
      <c r="C15" s="61">
        <v>2</v>
      </c>
      <c r="D15" s="346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45" t="s">
        <v>23</v>
      </c>
      <c r="E21" s="345" t="s">
        <v>24</v>
      </c>
      <c r="F21" s="345" t="s">
        <v>25</v>
      </c>
      <c r="G21" s="345" t="s">
        <v>23</v>
      </c>
      <c r="H21" s="345" t="s">
        <v>24</v>
      </c>
      <c r="I21" s="345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15312</v>
      </c>
      <c r="E23" s="329">
        <v>15791</v>
      </c>
      <c r="F23" s="14">
        <f t="shared" ref="F23:F28" si="0">E23/D23</f>
        <v>1.0312826541274818</v>
      </c>
      <c r="G23" s="332">
        <f>D23+'2018NOV'!G23</f>
        <v>156182.19999999998</v>
      </c>
      <c r="H23" s="332">
        <f>E23+'2018NOV'!H23</f>
        <v>159096</v>
      </c>
      <c r="I23" s="14">
        <f t="shared" ref="I23:I28" si="1">H23/G23</f>
        <v>1.018656415391767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15312</v>
      </c>
      <c r="E24" s="330">
        <f>SUM(E23:E23)</f>
        <v>15791</v>
      </c>
      <c r="F24" s="16">
        <f t="shared" si="0"/>
        <v>1.0312826541274818</v>
      </c>
      <c r="G24" s="330">
        <f>SUM(G23:G23)</f>
        <v>156182.19999999998</v>
      </c>
      <c r="H24" s="330">
        <f>SUM(H23:H23)</f>
        <v>159096</v>
      </c>
      <c r="I24" s="16">
        <f t="shared" si="1"/>
        <v>1.018656415391767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17280</v>
      </c>
      <c r="E25" s="329">
        <v>17983</v>
      </c>
      <c r="F25" s="14">
        <f t="shared" si="0"/>
        <v>1.0406828703703703</v>
      </c>
      <c r="G25" s="332">
        <f>D25+'2018NOV'!G25</f>
        <v>165120</v>
      </c>
      <c r="H25" s="332">
        <f>E25+'2018NOV'!H25</f>
        <v>168071</v>
      </c>
      <c r="I25" s="14">
        <f t="shared" si="1"/>
        <v>1.0178718507751938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17280</v>
      </c>
      <c r="E27" s="330">
        <f>SUM(E25:E26)</f>
        <v>17983</v>
      </c>
      <c r="F27" s="16">
        <f t="shared" si="0"/>
        <v>1.0406828703703703</v>
      </c>
      <c r="G27" s="330">
        <f>SUM(G25:G26)</f>
        <v>165120</v>
      </c>
      <c r="H27" s="330">
        <f>SUM(H25:H26)</f>
        <v>168071</v>
      </c>
      <c r="I27" s="16">
        <f t="shared" si="1"/>
        <v>1.0178718507751938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32592</v>
      </c>
      <c r="E28" s="331">
        <f>SUM(E24,E27)</f>
        <v>33774</v>
      </c>
      <c r="F28" s="17">
        <f t="shared" si="0"/>
        <v>1.0362665684830634</v>
      </c>
      <c r="G28" s="331">
        <f>SUM(G24,G27)</f>
        <v>321302.19999999995</v>
      </c>
      <c r="H28" s="331">
        <f>SUM(H24,H27)</f>
        <v>327167</v>
      </c>
      <c r="I28" s="17">
        <f t="shared" si="1"/>
        <v>1.0182532207996087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3590</v>
      </c>
      <c r="F30" s="14">
        <f>E30/D30</f>
        <v>3.59</v>
      </c>
      <c r="G30" s="332">
        <f>D30+'2018NOV'!G30</f>
        <v>12000</v>
      </c>
      <c r="H30" s="332">
        <f>E30+'2018NOV'!H30</f>
        <v>43104</v>
      </c>
      <c r="I30" s="14">
        <f>H30/G30</f>
        <v>3.5920000000000001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9455</v>
      </c>
      <c r="F31" s="14" t="e">
        <f t="shared" ref="F31:F47" si="2">E31/D31</f>
        <v>#DIV/0!</v>
      </c>
      <c r="G31" s="332">
        <f>D31+'2018NOV'!G31</f>
        <v>0</v>
      </c>
      <c r="H31" s="332">
        <f>E31+'2018NOV'!H31</f>
        <v>54078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13045</v>
      </c>
      <c r="F32" s="14">
        <f t="shared" si="2"/>
        <v>13.045</v>
      </c>
      <c r="G32" s="330">
        <f>SUM(G30:G31)</f>
        <v>12000</v>
      </c>
      <c r="H32" s="330">
        <f>SUM(H30:H31)</f>
        <v>97182</v>
      </c>
      <c r="I32" s="14">
        <f t="shared" si="3"/>
        <v>8.0984999999999996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5100</v>
      </c>
      <c r="E33" s="329">
        <v>786</v>
      </c>
      <c r="F33" s="14">
        <f t="shared" si="2"/>
        <v>0.15411764705882353</v>
      </c>
      <c r="G33" s="332">
        <f>D33+'2018NOV'!G33</f>
        <v>12250</v>
      </c>
      <c r="H33" s="332">
        <f>E33+'2018NOV'!H33</f>
        <v>7538</v>
      </c>
      <c r="I33" s="14">
        <f t="shared" si="3"/>
        <v>0.61534693877551017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6100</v>
      </c>
      <c r="E34" s="334">
        <f>SUM(E32,E33)</f>
        <v>13831</v>
      </c>
      <c r="F34" s="14">
        <f t="shared" si="2"/>
        <v>2.267377049180328</v>
      </c>
      <c r="G34" s="334">
        <f>SUM(G32,G33)</f>
        <v>24250</v>
      </c>
      <c r="H34" s="334">
        <f>SUM(H32,H33)</f>
        <v>104720</v>
      </c>
      <c r="I34" s="14">
        <f t="shared" si="3"/>
        <v>4.3183505154639175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D35+'2018NOV'!G35</f>
        <v>434784</v>
      </c>
      <c r="H35" s="332">
        <f>E35+'2018NOV'!H35</f>
        <v>451801</v>
      </c>
      <c r="I35" s="14">
        <f t="shared" si="3"/>
        <v>1.0391389747552808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434784</v>
      </c>
      <c r="H37" s="341">
        <f>SUM(H35:H36)</f>
        <v>451801</v>
      </c>
      <c r="I37" s="16">
        <f t="shared" si="3"/>
        <v>1.0391389747552808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D38+'2018NOV'!G38</f>
        <v>13200</v>
      </c>
      <c r="H38" s="332">
        <f>E38+'2018NOV'!H38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13200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447984</v>
      </c>
      <c r="H41" s="334">
        <f>SUM(H37,H40)</f>
        <v>451801</v>
      </c>
      <c r="I41" s="19">
        <f t="shared" si="3"/>
        <v>1.0085203935854852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26909</v>
      </c>
      <c r="F42" s="21">
        <f t="shared" si="2"/>
        <v>2.15272</v>
      </c>
      <c r="G42" s="342">
        <f>D42+'2018NOV'!G42</f>
        <v>141000</v>
      </c>
      <c r="H42" s="342">
        <f>E42+'2018NOV'!H42</f>
        <v>203304</v>
      </c>
      <c r="I42" s="21">
        <f t="shared" si="3"/>
        <v>1.4418723404255318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20000</v>
      </c>
      <c r="E43" s="338">
        <v>451</v>
      </c>
      <c r="F43" s="21">
        <f t="shared" si="2"/>
        <v>2.2550000000000001E-2</v>
      </c>
      <c r="G43" s="342">
        <f>D43+'2018NOV'!G43</f>
        <v>90000</v>
      </c>
      <c r="H43" s="342">
        <f>E43+'2018NOV'!H43</f>
        <v>2862</v>
      </c>
      <c r="I43" s="21">
        <f t="shared" si="3"/>
        <v>3.1800000000000002E-2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31500</v>
      </c>
      <c r="E44" s="338">
        <v>0</v>
      </c>
      <c r="F44" s="21">
        <f t="shared" si="2"/>
        <v>0</v>
      </c>
      <c r="G44" s="342">
        <f>D44+'2018NOV'!G44</f>
        <v>400000</v>
      </c>
      <c r="H44" s="342">
        <f>E44+'2018NOV'!H44</f>
        <v>399970</v>
      </c>
      <c r="I44" s="21">
        <f t="shared" si="3"/>
        <v>0.99992499999999995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140024</v>
      </c>
      <c r="E45" s="339">
        <f>SUM(E28,E34,E41,E42:E44)</f>
        <v>74965</v>
      </c>
      <c r="F45" s="22">
        <f t="shared" si="2"/>
        <v>0.53537250757013088</v>
      </c>
      <c r="G45" s="339">
        <f>SUM(G28,G34,G41,G42:G44)</f>
        <v>1424536.2</v>
      </c>
      <c r="H45" s="339">
        <f>SUM(H28,H34,H41,H42:H44)</f>
        <v>1489824</v>
      </c>
      <c r="I45" s="22">
        <f t="shared" si="3"/>
        <v>1.0458309167573279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127524</v>
      </c>
      <c r="E46" s="339">
        <f>E45-E42</f>
        <v>48056</v>
      </c>
      <c r="F46" s="22">
        <f t="shared" si="2"/>
        <v>0.37683886954612467</v>
      </c>
      <c r="G46" s="339">
        <f>G45-G42</f>
        <v>1283536.2</v>
      </c>
      <c r="H46" s="339">
        <f>H45-H42</f>
        <v>1286520</v>
      </c>
      <c r="I46" s="22">
        <f t="shared" si="3"/>
        <v>1.0023246714818017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96024</v>
      </c>
      <c r="E47" s="340">
        <f>E46-E44</f>
        <v>48056</v>
      </c>
      <c r="F47" s="23">
        <f t="shared" si="2"/>
        <v>0.50045821877863872</v>
      </c>
      <c r="G47" s="340">
        <f>G46-G44</f>
        <v>883536.2</v>
      </c>
      <c r="H47" s="340">
        <f>H46-H44</f>
        <v>886550</v>
      </c>
      <c r="I47" s="23">
        <f t="shared" si="3"/>
        <v>1.0034110656699748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48" t="s">
        <v>23</v>
      </c>
      <c r="E52" s="348" t="s">
        <v>24</v>
      </c>
      <c r="F52" s="348" t="s">
        <v>25</v>
      </c>
      <c r="G52" s="348" t="s">
        <v>23</v>
      </c>
      <c r="H52" s="348" t="s">
        <v>24</v>
      </c>
      <c r="I52" s="348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346">
        <v>31</v>
      </c>
      <c r="F53" s="28">
        <f t="shared" ref="F53:F79" si="4">E53/D53</f>
        <v>2.5833333333333335</v>
      </c>
      <c r="G53" s="66">
        <f>D53+'2018NOV'!G53</f>
        <v>140</v>
      </c>
      <c r="H53" s="66">
        <f>E53+'2018NOV'!H53</f>
        <v>222</v>
      </c>
      <c r="I53" s="28">
        <f t="shared" ref="I53:I79" si="5">H53/G53</f>
        <v>1.5857142857142856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346">
        <v>423</v>
      </c>
      <c r="F54" s="28">
        <f t="shared" si="4"/>
        <v>1.41</v>
      </c>
      <c r="G54" s="66">
        <f>D54+'2018NOV'!G54</f>
        <v>3600</v>
      </c>
      <c r="H54" s="66">
        <f>E54+'2018NOV'!H54</f>
        <v>4352</v>
      </c>
      <c r="I54" s="28">
        <f t="shared" si="5"/>
        <v>1.2088888888888889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47">
        <f>SUM(D53:D54)</f>
        <v>312</v>
      </c>
      <c r="E55" s="347">
        <f>SUM(E53:E54)</f>
        <v>454</v>
      </c>
      <c r="F55" s="30">
        <f t="shared" si="4"/>
        <v>1.4551282051282051</v>
      </c>
      <c r="G55" s="347">
        <f>SUM(G53:G54)</f>
        <v>3740</v>
      </c>
      <c r="H55" s="347">
        <f>SUM(H53:H54)</f>
        <v>4574</v>
      </c>
      <c r="I55" s="30">
        <f t="shared" si="5"/>
        <v>1.222994652406417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346">
        <v>121</v>
      </c>
      <c r="F56" s="28">
        <f t="shared" si="4"/>
        <v>3.0249999999999999</v>
      </c>
      <c r="G56" s="66">
        <f>D56+'2018NOV'!G56</f>
        <v>480</v>
      </c>
      <c r="H56" s="66">
        <f>E56+'2018NOV'!H56</f>
        <v>701</v>
      </c>
      <c r="I56" s="28">
        <f t="shared" si="5"/>
        <v>1.4604166666666667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346">
        <v>1110</v>
      </c>
      <c r="F57" s="28">
        <f t="shared" si="4"/>
        <v>1.85</v>
      </c>
      <c r="G57" s="66">
        <f>D57+'2018NOV'!G57</f>
        <v>7200</v>
      </c>
      <c r="H57" s="66">
        <f>E57+'2018NOV'!H57</f>
        <v>10397</v>
      </c>
      <c r="I57" s="28">
        <f t="shared" si="5"/>
        <v>1.4440277777777777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52">
        <f>SUM(D56:D57)</f>
        <v>640</v>
      </c>
      <c r="E58" s="352">
        <f>SUM(E56:E57)</f>
        <v>1231</v>
      </c>
      <c r="F58" s="28">
        <f t="shared" si="4"/>
        <v>1.9234374999999999</v>
      </c>
      <c r="G58" s="352">
        <f>SUM(G56:G57)</f>
        <v>7680</v>
      </c>
      <c r="H58" s="352">
        <f>SUM(H56:H57)</f>
        <v>11098</v>
      </c>
      <c r="I58" s="31">
        <f t="shared" si="5"/>
        <v>1.4450520833333333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53">
        <f>SUM(D53,D56)</f>
        <v>52</v>
      </c>
      <c r="E59" s="353">
        <f>SUM(E53,E56)</f>
        <v>152</v>
      </c>
      <c r="F59" s="32">
        <f t="shared" si="4"/>
        <v>2.9230769230769229</v>
      </c>
      <c r="G59" s="353">
        <f>SUM(G53,G56)</f>
        <v>620</v>
      </c>
      <c r="H59" s="353">
        <f>SUM(H53,H56)</f>
        <v>923</v>
      </c>
      <c r="I59" s="32">
        <f t="shared" si="5"/>
        <v>1.4887096774193549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53">
        <f>SUM(D54,D57)</f>
        <v>900</v>
      </c>
      <c r="E60" s="353">
        <f>SUM(E54,E57)</f>
        <v>1533</v>
      </c>
      <c r="F60" s="32">
        <f t="shared" si="4"/>
        <v>1.7033333333333334</v>
      </c>
      <c r="G60" s="353">
        <f>SUM(G54,G57)</f>
        <v>10800</v>
      </c>
      <c r="H60" s="353">
        <f>SUM(H54,H57)</f>
        <v>14749</v>
      </c>
      <c r="I60" s="32">
        <f t="shared" si="5"/>
        <v>1.3656481481481482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54">
        <f>SUM(D59:D60)</f>
        <v>952</v>
      </c>
      <c r="E61" s="354">
        <f>SUM(E59:E60)</f>
        <v>1685</v>
      </c>
      <c r="F61" s="33">
        <f t="shared" si="4"/>
        <v>1.7699579831932772</v>
      </c>
      <c r="G61" s="354">
        <f>SUM(G59:G60)</f>
        <v>11420</v>
      </c>
      <c r="H61" s="354">
        <f>SUM(H59:H60)</f>
        <v>15672</v>
      </c>
      <c r="I61" s="33">
        <f t="shared" si="5"/>
        <v>1.3723292469352013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343">
        <f>E71/10</f>
        <v>107.8</v>
      </c>
      <c r="F62" s="28">
        <f t="shared" si="4"/>
        <v>2.5666666666666664</v>
      </c>
      <c r="G62" s="66">
        <f>D62+'2018NOV'!G62</f>
        <v>490</v>
      </c>
      <c r="H62" s="66">
        <f>E62+'2018NOV'!H62</f>
        <v>771.89999999999986</v>
      </c>
      <c r="I62" s="28">
        <f t="shared" si="5"/>
        <v>1.5753061224489793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343">
        <f>E72/10</f>
        <v>1471.3</v>
      </c>
      <c r="F63" s="28">
        <f t="shared" si="4"/>
        <v>1.4092911877394636</v>
      </c>
      <c r="G63" s="248">
        <f>D63+'2018NOV'!G63</f>
        <v>12528</v>
      </c>
      <c r="H63" s="66">
        <f>E63+'2018NOV'!H63</f>
        <v>15137.699999999997</v>
      </c>
      <c r="I63" s="28">
        <f t="shared" si="5"/>
        <v>1.2083093869731798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347">
        <f>SUM(E62:E63)</f>
        <v>1579.1</v>
      </c>
      <c r="F64" s="30">
        <f t="shared" si="4"/>
        <v>1.4540515653775321</v>
      </c>
      <c r="G64" s="347">
        <f>SUM(G62:G63)</f>
        <v>13018</v>
      </c>
      <c r="H64" s="347">
        <f>SUM(H62:H63)</f>
        <v>15909.599999999997</v>
      </c>
      <c r="I64" s="30">
        <f t="shared" si="5"/>
        <v>1.2221232140113687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343">
        <f>E74/10</f>
        <v>157.4</v>
      </c>
      <c r="F65" s="28">
        <f t="shared" si="4"/>
        <v>2.4593750000000001</v>
      </c>
      <c r="G65" s="66">
        <f>D65+'2018NOV'!G65</f>
        <v>768</v>
      </c>
      <c r="H65" s="66">
        <f>E65+'2018NOV'!H65</f>
        <v>910.30000000000007</v>
      </c>
      <c r="I65" s="28">
        <f t="shared" si="5"/>
        <v>1.1852864583333333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343">
        <f>E75/10</f>
        <v>1640.9</v>
      </c>
      <c r="F66" s="28">
        <f t="shared" si="4"/>
        <v>1.7092708333333335</v>
      </c>
      <c r="G66" s="66">
        <f>D66+'2018NOV'!G66</f>
        <v>11520</v>
      </c>
      <c r="H66" s="66">
        <f>E66+'2018NOV'!H66</f>
        <v>15896.800000000001</v>
      </c>
      <c r="I66" s="28">
        <f t="shared" si="5"/>
        <v>1.3799305555555557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52">
        <f>SUM(D65:D66)</f>
        <v>1024</v>
      </c>
      <c r="E67" s="352">
        <f>SUM(E65:E66)</f>
        <v>1798.3000000000002</v>
      </c>
      <c r="F67" s="31">
        <f t="shared" si="4"/>
        <v>1.7561523437500002</v>
      </c>
      <c r="G67" s="352">
        <f>SUM(G65:G66)</f>
        <v>12288</v>
      </c>
      <c r="H67" s="352">
        <f>SUM(H65:H66)</f>
        <v>16807.100000000002</v>
      </c>
      <c r="I67" s="31">
        <f t="shared" si="5"/>
        <v>1.3677652994791669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53">
        <f>SUM(D62,D65)</f>
        <v>106</v>
      </c>
      <c r="E68" s="353">
        <f>SUM(E62,E65)</f>
        <v>265.2</v>
      </c>
      <c r="F68" s="32">
        <f t="shared" si="4"/>
        <v>2.5018867924528303</v>
      </c>
      <c r="G68" s="353">
        <f>SUM(G62,G65)</f>
        <v>1258</v>
      </c>
      <c r="H68" s="353">
        <f>SUM(H62,H65)</f>
        <v>1682.1999999999998</v>
      </c>
      <c r="I68" s="32">
        <f t="shared" si="5"/>
        <v>1.3372019077901429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53">
        <f>SUM(D63,D66)</f>
        <v>2004</v>
      </c>
      <c r="E69" s="353">
        <f>SUM(E63,E66)</f>
        <v>3112.2</v>
      </c>
      <c r="F69" s="32">
        <f t="shared" si="4"/>
        <v>1.5529940119760479</v>
      </c>
      <c r="G69" s="353">
        <f>SUM(G63,G66)</f>
        <v>24048</v>
      </c>
      <c r="H69" s="353">
        <f>SUM(H63,H66)</f>
        <v>31034.5</v>
      </c>
      <c r="I69" s="32">
        <f t="shared" si="5"/>
        <v>1.290523120425815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54">
        <f>SUM(D68:D69)</f>
        <v>2110</v>
      </c>
      <c r="E70" s="354">
        <f>SUM(E68:E69)</f>
        <v>3377.3999999999996</v>
      </c>
      <c r="F70" s="34">
        <f t="shared" si="4"/>
        <v>1.6006635071090045</v>
      </c>
      <c r="G70" s="354">
        <f>SUM(G68:G69)</f>
        <v>25306</v>
      </c>
      <c r="H70" s="354">
        <f>SUM(H68:H69)</f>
        <v>32716.7</v>
      </c>
      <c r="I70" s="34">
        <f t="shared" si="5"/>
        <v>1.2928435944044891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4872</v>
      </c>
      <c r="E71" s="346">
        <v>1078</v>
      </c>
      <c r="F71" s="28">
        <f t="shared" si="4"/>
        <v>0.22126436781609196</v>
      </c>
      <c r="G71" s="179">
        <f>D71+'2018NOV'!G71</f>
        <v>30902.199999999997</v>
      </c>
      <c r="H71" s="66">
        <f>E71+'2018NOV'!H71</f>
        <v>7719</v>
      </c>
      <c r="I71" s="28">
        <f t="shared" si="5"/>
        <v>0.24978804098090107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60">
        <f>E23-E71</f>
        <v>14713</v>
      </c>
      <c r="F72" s="28">
        <f t="shared" si="4"/>
        <v>1.4092911877394636</v>
      </c>
      <c r="G72" s="248">
        <f>D72+'2018NOV'!G72</f>
        <v>125280</v>
      </c>
      <c r="H72" s="66">
        <f>E72+'2018NOV'!H72</f>
        <v>151377</v>
      </c>
      <c r="I72" s="28">
        <f t="shared" si="5"/>
        <v>1.20830938697318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47">
        <f>SUM(D71:D72)</f>
        <v>15312</v>
      </c>
      <c r="E73" s="347">
        <f>SUM(E71:E72)</f>
        <v>15791</v>
      </c>
      <c r="F73" s="30">
        <f t="shared" si="4"/>
        <v>1.0312826541274818</v>
      </c>
      <c r="G73" s="347">
        <f>SUM(G71:G72)</f>
        <v>156182.20000000001</v>
      </c>
      <c r="H73" s="347">
        <f>SUM(H71:H72)</f>
        <v>159096</v>
      </c>
      <c r="I73" s="30">
        <f t="shared" si="5"/>
        <v>1.0186564153917668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7680</v>
      </c>
      <c r="E74" s="346">
        <v>1574</v>
      </c>
      <c r="F74" s="28">
        <f t="shared" si="4"/>
        <v>0.20494791666666667</v>
      </c>
      <c r="G74" s="179">
        <f>D74+'2018NOV'!G74</f>
        <v>49920</v>
      </c>
      <c r="H74" s="66">
        <f>E74+'2018NOV'!H74</f>
        <v>9103</v>
      </c>
      <c r="I74" s="28">
        <f t="shared" si="5"/>
        <v>0.18235176282051282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60">
        <f>E25-E74</f>
        <v>16409</v>
      </c>
      <c r="F75" s="28">
        <f t="shared" si="4"/>
        <v>1.7092708333333333</v>
      </c>
      <c r="G75" s="248">
        <f>D75+'2018NOV'!G75</f>
        <v>115200</v>
      </c>
      <c r="H75" s="66">
        <f>E75+'2018NOV'!H75</f>
        <v>158968</v>
      </c>
      <c r="I75" s="28">
        <f t="shared" si="5"/>
        <v>1.3799305555555557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52">
        <f>SUM(D74:D75)</f>
        <v>17280</v>
      </c>
      <c r="E76" s="352">
        <f>SUM(E74:E75)</f>
        <v>17983</v>
      </c>
      <c r="F76" s="31">
        <f t="shared" si="4"/>
        <v>1.0406828703703703</v>
      </c>
      <c r="G76" s="352">
        <f>SUM(G74:G75)</f>
        <v>165120</v>
      </c>
      <c r="H76" s="352">
        <f>SUM(H74:H75)</f>
        <v>168071</v>
      </c>
      <c r="I76" s="31">
        <f t="shared" si="5"/>
        <v>1.0178718507751938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53">
        <f>SUM(D71,D74)</f>
        <v>12552</v>
      </c>
      <c r="E77" s="353">
        <f>SUM(E71,E74)</f>
        <v>2652</v>
      </c>
      <c r="F77" s="32">
        <f t="shared" si="4"/>
        <v>0.21128107074569791</v>
      </c>
      <c r="G77" s="353">
        <f>SUM(G71,G74)</f>
        <v>80822.2</v>
      </c>
      <c r="H77" s="353">
        <f>SUM(H71,H74)</f>
        <v>16822</v>
      </c>
      <c r="I77" s="32">
        <f t="shared" si="5"/>
        <v>0.20813588345776285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53">
        <f>SUM(D72,D75)</f>
        <v>20040</v>
      </c>
      <c r="E78" s="353">
        <f>SUM(E72,E75)</f>
        <v>31122</v>
      </c>
      <c r="F78" s="32">
        <f t="shared" si="4"/>
        <v>1.5529940119760479</v>
      </c>
      <c r="G78" s="353">
        <f>SUM(G72,G75)</f>
        <v>240480</v>
      </c>
      <c r="H78" s="353">
        <f>SUM(H72,H75)</f>
        <v>310345</v>
      </c>
      <c r="I78" s="32">
        <f t="shared" si="5"/>
        <v>1.290523120425815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54">
        <f>SUM(D77:D78)</f>
        <v>32592</v>
      </c>
      <c r="E79" s="354">
        <f>SUM(E77:E78)</f>
        <v>33774</v>
      </c>
      <c r="F79" s="34">
        <f t="shared" si="4"/>
        <v>1.0362665684830634</v>
      </c>
      <c r="G79" s="354">
        <f>SUM(G77:G78)</f>
        <v>321302.2</v>
      </c>
      <c r="H79" s="354">
        <f>SUM(H77:H78)</f>
        <v>327167</v>
      </c>
      <c r="I79" s="34">
        <f t="shared" si="5"/>
        <v>1.0182532207996084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454</v>
      </c>
      <c r="E87" s="130"/>
      <c r="F87" s="134">
        <f>D87+'2018NOV'!F87</f>
        <v>4574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31</v>
      </c>
      <c r="E88" s="128"/>
      <c r="F88" s="134">
        <f>D88+'2018NOV'!F88</f>
        <v>222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12</v>
      </c>
      <c r="E89" s="128">
        <f>D89/D87</f>
        <v>2.643171806167401E-2</v>
      </c>
      <c r="F89" s="134">
        <f>D89+'2018NOV'!F89</f>
        <v>67</v>
      </c>
      <c r="G89" s="128">
        <f>F89/F87</f>
        <v>1.464801049409707E-2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16</v>
      </c>
      <c r="E90" s="128">
        <f>D90/D92</f>
        <v>0.13793103448275862</v>
      </c>
      <c r="F90" s="134">
        <f>D90+'2018NOV'!F90</f>
        <v>223</v>
      </c>
      <c r="G90" s="128">
        <f>F90/F92</f>
        <v>9.5055413469735714E-2</v>
      </c>
      <c r="H90" s="128"/>
    </row>
    <row r="91" spans="1:13" ht="15" customHeight="1">
      <c r="A91" s="775"/>
      <c r="B91" s="776" t="s">
        <v>202</v>
      </c>
      <c r="C91" s="776"/>
      <c r="D91" s="131">
        <v>143</v>
      </c>
      <c r="E91" s="128">
        <f>D91/D92</f>
        <v>1.2327586206896552</v>
      </c>
      <c r="F91" s="134">
        <f>D91+'2018NOV'!F91</f>
        <v>2413</v>
      </c>
      <c r="G91" s="128">
        <f>F91/F92</f>
        <v>1.0285592497868712</v>
      </c>
      <c r="H91" s="128"/>
    </row>
    <row r="92" spans="1:13" ht="15" customHeight="1">
      <c r="A92" s="775"/>
      <c r="B92" s="776" t="s">
        <v>203</v>
      </c>
      <c r="C92" s="776"/>
      <c r="D92" s="131">
        <v>116</v>
      </c>
      <c r="E92" s="130"/>
      <c r="F92" s="134">
        <f>D92+'2018NOV'!F92</f>
        <v>2346</v>
      </c>
      <c r="G92" s="130"/>
      <c r="H92" s="128"/>
    </row>
    <row r="93" spans="1:13">
      <c r="C93" s="126" t="s">
        <v>210</v>
      </c>
      <c r="D93" s="132">
        <v>570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48" t="s">
        <v>23</v>
      </c>
      <c r="E97" s="348" t="s">
        <v>24</v>
      </c>
      <c r="F97" s="348" t="s">
        <v>25</v>
      </c>
      <c r="G97" s="348" t="s">
        <v>23</v>
      </c>
      <c r="H97" s="348" t="s">
        <v>24</v>
      </c>
      <c r="I97" s="348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46">
        <v>0</v>
      </c>
      <c r="F98" s="37" t="e">
        <f>E98/D98</f>
        <v>#DIV/0!</v>
      </c>
      <c r="G98" s="66">
        <f>D98+'2018NOV'!G98</f>
        <v>0</v>
      </c>
      <c r="H98" s="66">
        <f>E98+'2018NOV'!H98</f>
        <v>2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346">
        <v>21</v>
      </c>
      <c r="F99" s="28">
        <f t="shared" ref="F99:F115" si="6">E99/D99</f>
        <v>0.51219512195121952</v>
      </c>
      <c r="G99" s="66">
        <f>D99+'2018NOV'!G99</f>
        <v>492</v>
      </c>
      <c r="H99" s="66">
        <f>E99+'2018NOV'!H99</f>
        <v>443</v>
      </c>
      <c r="I99" s="28">
        <f t="shared" ref="I99:I115" si="7">H99/G99</f>
        <v>0.90040650406504064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47">
        <f>SUM(D98:D99)</f>
        <v>41</v>
      </c>
      <c r="E100" s="347">
        <f>SUM(E98:E99)</f>
        <v>21</v>
      </c>
      <c r="F100" s="30">
        <f t="shared" si="6"/>
        <v>0.51219512195121952</v>
      </c>
      <c r="G100" s="347">
        <f>SUM(G98:G99)</f>
        <v>492</v>
      </c>
      <c r="H100" s="347">
        <f>SUM(H98:H99)</f>
        <v>445</v>
      </c>
      <c r="I100" s="30">
        <f t="shared" si="7"/>
        <v>0.90447154471544711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46">
        <v>1</v>
      </c>
      <c r="F101" s="28" t="e">
        <f t="shared" si="6"/>
        <v>#DIV/0!</v>
      </c>
      <c r="G101" s="66">
        <f>D101+'2018NOV'!G101</f>
        <v>0</v>
      </c>
      <c r="H101" s="66">
        <f>E101+'2018NOV'!H101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346">
        <v>8</v>
      </c>
      <c r="F102" s="28">
        <f t="shared" si="6"/>
        <v>0.72727272727272729</v>
      </c>
      <c r="G102" s="66">
        <f>D102+'2018NOV'!G102</f>
        <v>132</v>
      </c>
      <c r="H102" s="66">
        <f>E102+'2018NOV'!H102</f>
        <v>112</v>
      </c>
      <c r="I102" s="28">
        <f t="shared" si="7"/>
        <v>0.84848484848484851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47">
        <f>SUM(D101:D102)</f>
        <v>11</v>
      </c>
      <c r="E103" s="347">
        <f>SUM(E101:E102)</f>
        <v>9</v>
      </c>
      <c r="F103" s="30">
        <f t="shared" si="6"/>
        <v>0.81818181818181823</v>
      </c>
      <c r="G103" s="347">
        <f>SUM(G101:G102)</f>
        <v>132</v>
      </c>
      <c r="H103" s="347">
        <f>SUM(H101:H102)</f>
        <v>113</v>
      </c>
      <c r="I103" s="30">
        <f t="shared" si="7"/>
        <v>0.85606060606060608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346">
        <v>0</v>
      </c>
      <c r="F104" s="28" t="e">
        <f t="shared" si="6"/>
        <v>#DIV/0!</v>
      </c>
      <c r="G104" s="66">
        <f>D104+'2018NOV'!G104</f>
        <v>0</v>
      </c>
      <c r="H104" s="66">
        <f>E104+'2018NOV'!H104</f>
        <v>18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346">
        <v>73</v>
      </c>
      <c r="F105" s="28">
        <f t="shared" si="6"/>
        <v>1.1587301587301588</v>
      </c>
      <c r="G105" s="66">
        <f>D105+'2018NOV'!G105</f>
        <v>756</v>
      </c>
      <c r="H105" s="66">
        <f>E105+'2018NOV'!H105</f>
        <v>744</v>
      </c>
      <c r="I105" s="28">
        <f t="shared" si="7"/>
        <v>0.98412698412698407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47">
        <f>SUM(D104:D105)</f>
        <v>63</v>
      </c>
      <c r="E106" s="347">
        <f>SUM(E104:E105)</f>
        <v>73</v>
      </c>
      <c r="F106" s="30">
        <f t="shared" si="6"/>
        <v>1.1587301587301588</v>
      </c>
      <c r="G106" s="347">
        <f>SUM(G104:G105)</f>
        <v>756</v>
      </c>
      <c r="H106" s="347">
        <f>SUM(H104:H105)</f>
        <v>762</v>
      </c>
      <c r="I106" s="30">
        <f t="shared" si="7"/>
        <v>1.0079365079365079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46">
        <v>6</v>
      </c>
      <c r="F107" s="28">
        <f>E107/D107</f>
        <v>3</v>
      </c>
      <c r="G107" s="66">
        <f>D107+'2018NOV'!G107</f>
        <v>22</v>
      </c>
      <c r="H107" s="66">
        <f>E107+'2018NOV'!H107</f>
        <v>54</v>
      </c>
      <c r="I107" s="28">
        <f>H107/G107</f>
        <v>2.4545454545454546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120</v>
      </c>
      <c r="E108" s="346">
        <v>133</v>
      </c>
      <c r="F108" s="28">
        <f>E108/D108</f>
        <v>1.1083333333333334</v>
      </c>
      <c r="G108" s="66">
        <f>D108+'2018NOV'!G108</f>
        <v>1310</v>
      </c>
      <c r="H108" s="66">
        <f>E108+'2018NOV'!H108</f>
        <v>1340</v>
      </c>
      <c r="I108" s="28">
        <f t="shared" si="7"/>
        <v>1.0229007633587786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47">
        <f>SUM(D107:D108)</f>
        <v>122</v>
      </c>
      <c r="E109" s="347">
        <f>SUM(E107:E108)</f>
        <v>139</v>
      </c>
      <c r="F109" s="30">
        <f t="shared" si="6"/>
        <v>1.139344262295082</v>
      </c>
      <c r="G109" s="347">
        <f>SUM(G107:G108)</f>
        <v>1332</v>
      </c>
      <c r="H109" s="347">
        <f>SUM(H107:H108)</f>
        <v>1394</v>
      </c>
      <c r="I109" s="30">
        <f t="shared" si="7"/>
        <v>1.0465465465465464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346">
        <v>14</v>
      </c>
      <c r="F110" s="30">
        <f>E110/D110</f>
        <v>1.75</v>
      </c>
      <c r="G110" s="66">
        <f>D110+'2018NOV'!G110</f>
        <v>96</v>
      </c>
      <c r="H110" s="66">
        <f>E110+'2018NOV'!H110</f>
        <v>85</v>
      </c>
      <c r="I110" s="30">
        <f>H110/G110</f>
        <v>0.88541666666666663</v>
      </c>
      <c r="J110" s="349"/>
      <c r="K110" s="350"/>
      <c r="L110" s="350"/>
      <c r="M110" s="351"/>
    </row>
    <row r="111" spans="1:13">
      <c r="A111" s="553"/>
      <c r="B111" s="803"/>
      <c r="C111" s="27" t="s">
        <v>70</v>
      </c>
      <c r="D111" s="65">
        <v>88</v>
      </c>
      <c r="E111" s="346">
        <v>72</v>
      </c>
      <c r="F111" s="30">
        <f t="shared" ref="F111:F112" si="8">E111/D111</f>
        <v>0.81818181818181823</v>
      </c>
      <c r="G111" s="66">
        <f>D111+'2018NOV'!G111</f>
        <v>528</v>
      </c>
      <c r="H111" s="66">
        <f>E111+'2018NOV'!H111</f>
        <v>458</v>
      </c>
      <c r="I111" s="30">
        <f t="shared" ref="I111:I112" si="9">H111/G111</f>
        <v>0.86742424242424243</v>
      </c>
      <c r="J111" s="349"/>
      <c r="K111" s="350"/>
      <c r="L111" s="350"/>
      <c r="M111" s="351"/>
    </row>
    <row r="112" spans="1:13">
      <c r="A112" s="553"/>
      <c r="B112" s="804"/>
      <c r="C112" s="38" t="s">
        <v>166</v>
      </c>
      <c r="D112" s="347">
        <f>SUM(D110:D111)</f>
        <v>96</v>
      </c>
      <c r="E112" s="347">
        <f>SUM(E110:E111)</f>
        <v>86</v>
      </c>
      <c r="F112" s="30">
        <f t="shared" si="8"/>
        <v>0.89583333333333337</v>
      </c>
      <c r="G112" s="347">
        <f>SUM(G110:G111)</f>
        <v>624</v>
      </c>
      <c r="H112" s="347">
        <f>SUM(H110:H111)</f>
        <v>543</v>
      </c>
      <c r="I112" s="30">
        <f t="shared" si="9"/>
        <v>0.87019230769230771</v>
      </c>
      <c r="J112" s="349"/>
      <c r="K112" s="350"/>
      <c r="L112" s="350"/>
      <c r="M112" s="351"/>
    </row>
    <row r="113" spans="1:13">
      <c r="A113" s="553"/>
      <c r="B113" s="611" t="s">
        <v>46</v>
      </c>
      <c r="C113" s="39" t="s">
        <v>69</v>
      </c>
      <c r="D113" s="352">
        <f>SUM(D98,D101,D104,D107,D110)</f>
        <v>10</v>
      </c>
      <c r="E113" s="352">
        <f>SUM(E98,E101,E104,E107,E110)</f>
        <v>21</v>
      </c>
      <c r="F113" s="31">
        <f t="shared" si="6"/>
        <v>2.1</v>
      </c>
      <c r="G113" s="352">
        <f>SUM(G98,G101,G104,G107,G110)</f>
        <v>118</v>
      </c>
      <c r="H113" s="352">
        <f>SUM(H98,H101,H104,H107,H110)</f>
        <v>160</v>
      </c>
      <c r="I113" s="31">
        <f t="shared" si="7"/>
        <v>1.3559322033898304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52">
        <f>SUM(D99,D102,D105,D108,D111)</f>
        <v>323</v>
      </c>
      <c r="E114" s="352">
        <f>SUM(E99,E102,E105,E108,E111)</f>
        <v>307</v>
      </c>
      <c r="F114" s="31">
        <f t="shared" si="6"/>
        <v>0.9504643962848297</v>
      </c>
      <c r="G114" s="352">
        <f>SUM(G99,G102,G105,G108,G111)</f>
        <v>3218</v>
      </c>
      <c r="H114" s="352">
        <f>SUM(H99,H102,H105,H108,H111)</f>
        <v>3097</v>
      </c>
      <c r="I114" s="31">
        <f t="shared" si="7"/>
        <v>0.96239900559353631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55">
        <f>SUM(D113:D114)</f>
        <v>333</v>
      </c>
      <c r="E115" s="355">
        <f>SUM(E113:E114)</f>
        <v>328</v>
      </c>
      <c r="F115" s="41">
        <f t="shared" si="6"/>
        <v>0.98498498498498499</v>
      </c>
      <c r="G115" s="355">
        <f>SUM(G113:G114)</f>
        <v>3336</v>
      </c>
      <c r="H115" s="355">
        <f>SUM(H113:H114)</f>
        <v>3257</v>
      </c>
      <c r="I115" s="41">
        <f t="shared" si="7"/>
        <v>0.97631894484412474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D116+'2018NOV'!G116</f>
        <v>22</v>
      </c>
      <c r="H116" s="70">
        <f>E116+'2018NOV'!H116</f>
        <v>34</v>
      </c>
      <c r="I116" s="43">
        <f>H116/G116</f>
        <v>1.5454545454545454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68</v>
      </c>
      <c r="E117" s="346">
        <v>79</v>
      </c>
      <c r="F117" s="28">
        <f t="shared" ref="F117:F126" si="10">E117/D117</f>
        <v>1.161764705882353</v>
      </c>
      <c r="G117" s="71">
        <f>D117+'2018NOV'!G117</f>
        <v>686</v>
      </c>
      <c r="H117" s="71">
        <f>E117+'2018NOV'!H117</f>
        <v>723</v>
      </c>
      <c r="I117" s="28">
        <f t="shared" ref="I117:I126" si="11">H117/G117</f>
        <v>1.0539358600583091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47">
        <f>SUM(D116:D117)</f>
        <v>70</v>
      </c>
      <c r="E118" s="347">
        <f>SUM(E116:E117)</f>
        <v>80</v>
      </c>
      <c r="F118" s="30">
        <f t="shared" si="10"/>
        <v>1.1428571428571428</v>
      </c>
      <c r="G118" s="347">
        <f>SUM(G116:G117)</f>
        <v>708</v>
      </c>
      <c r="H118" s="347">
        <f>SUM(H116:H117)</f>
        <v>757</v>
      </c>
      <c r="I118" s="30">
        <f t="shared" si="11"/>
        <v>1.0692090395480225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46">
        <v>0</v>
      </c>
      <c r="F119" s="28" t="e">
        <f t="shared" si="10"/>
        <v>#DIV/0!</v>
      </c>
      <c r="G119" s="66">
        <f>D119+'2018NOV'!G119</f>
        <v>0</v>
      </c>
      <c r="H119" s="66">
        <f>E119+'2018NOV'!H119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346">
        <v>46</v>
      </c>
      <c r="F120" s="28">
        <f t="shared" si="10"/>
        <v>1.2432432432432432</v>
      </c>
      <c r="G120" s="66">
        <f>D120+'2018NOV'!G120</f>
        <v>444</v>
      </c>
      <c r="H120" s="66">
        <f>E120+'2018NOV'!H120</f>
        <v>553</v>
      </c>
      <c r="I120" s="28">
        <f t="shared" si="11"/>
        <v>1.2454954954954955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47">
        <f>SUM(D119:D120)</f>
        <v>37</v>
      </c>
      <c r="E121" s="347">
        <f>SUM(E119:E120)</f>
        <v>46</v>
      </c>
      <c r="F121" s="30">
        <f t="shared" si="10"/>
        <v>1.2432432432432432</v>
      </c>
      <c r="G121" s="347">
        <f>SUM(G119:G120)</f>
        <v>444</v>
      </c>
      <c r="H121" s="347">
        <f>SUM(H119:H120)</f>
        <v>560</v>
      </c>
      <c r="I121" s="30">
        <f t="shared" si="11"/>
        <v>1.2612612612612613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52">
        <f>SUM(D116,D119)</f>
        <v>2</v>
      </c>
      <c r="E122" s="352">
        <f>SUM(E116,E119)</f>
        <v>1</v>
      </c>
      <c r="F122" s="30">
        <f t="shared" si="10"/>
        <v>0.5</v>
      </c>
      <c r="G122" s="352">
        <f>SUM(G116,G119)</f>
        <v>22</v>
      </c>
      <c r="H122" s="352">
        <f>SUM(H116,H119)</f>
        <v>41</v>
      </c>
      <c r="I122" s="30">
        <f t="shared" si="11"/>
        <v>1.8636363636363635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52">
        <f>SUM(D117,D120)</f>
        <v>105</v>
      </c>
      <c r="E123" s="352">
        <f>SUM(E117,E120)</f>
        <v>125</v>
      </c>
      <c r="F123" s="30">
        <f t="shared" si="10"/>
        <v>1.1904761904761905</v>
      </c>
      <c r="G123" s="352">
        <f>SUM(G117,G120)</f>
        <v>1130</v>
      </c>
      <c r="H123" s="352">
        <f>SUM(H117,H120)</f>
        <v>1276</v>
      </c>
      <c r="I123" s="30">
        <f t="shared" si="11"/>
        <v>1.1292035398230089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55">
        <f>SUM(D122:D123)</f>
        <v>107</v>
      </c>
      <c r="E124" s="355">
        <f>SUM(E122:E123)</f>
        <v>126</v>
      </c>
      <c r="F124" s="41">
        <f t="shared" si="10"/>
        <v>1.1775700934579438</v>
      </c>
      <c r="G124" s="355">
        <f>SUM(G122:G123)</f>
        <v>1152</v>
      </c>
      <c r="H124" s="355">
        <f>SUM(H122:H123)</f>
        <v>1317</v>
      </c>
      <c r="I124" s="41">
        <f t="shared" si="11"/>
        <v>1.1432291666666667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57">
        <f>SUM(D113,D122)</f>
        <v>12</v>
      </c>
      <c r="E125" s="357">
        <f>SUM(E113,E122)</f>
        <v>22</v>
      </c>
      <c r="F125" s="45">
        <f t="shared" si="10"/>
        <v>1.8333333333333333</v>
      </c>
      <c r="G125" s="46">
        <f>SUM(G113,G122)</f>
        <v>140</v>
      </c>
      <c r="H125" s="46">
        <f>SUM(H113,H122)</f>
        <v>201</v>
      </c>
      <c r="I125" s="45">
        <f t="shared" si="11"/>
        <v>1.4357142857142857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53">
        <f>SUM(D114,D123)</f>
        <v>428</v>
      </c>
      <c r="E126" s="353">
        <f>SUM(E114,E123)</f>
        <v>432</v>
      </c>
      <c r="F126" s="32">
        <f t="shared" si="10"/>
        <v>1.0093457943925233</v>
      </c>
      <c r="G126" s="353">
        <f>SUM(G114,G123)</f>
        <v>4348</v>
      </c>
      <c r="H126" s="353">
        <f>SUM(H114,H123)</f>
        <v>4373</v>
      </c>
      <c r="I126" s="32">
        <f t="shared" si="11"/>
        <v>1.0057497700091997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53">
        <f>SUM(D125:D126)</f>
        <v>440</v>
      </c>
      <c r="E127" s="353">
        <f>SUM(E125:E126)</f>
        <v>454</v>
      </c>
      <c r="F127" s="49">
        <f>E127/D127</f>
        <v>1.0318181818181817</v>
      </c>
      <c r="G127" s="357">
        <f>SUM(G125:G126)</f>
        <v>4488</v>
      </c>
      <c r="H127" s="357">
        <f>SUM(H125:H126)</f>
        <v>4574</v>
      </c>
      <c r="I127" s="49">
        <f>H127/G127</f>
        <v>1.0191622103386808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35</v>
      </c>
      <c r="D135" s="592"/>
      <c r="E135" s="591">
        <v>2</v>
      </c>
      <c r="F135" s="592"/>
      <c r="G135" s="591">
        <v>2</v>
      </c>
      <c r="H135" s="592"/>
      <c r="I135" s="591">
        <v>21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5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5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5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56" t="s">
        <v>99</v>
      </c>
      <c r="C140" s="590">
        <v>104</v>
      </c>
      <c r="D140" s="590"/>
      <c r="E140" s="590">
        <v>24</v>
      </c>
      <c r="F140" s="590"/>
      <c r="G140" s="590">
        <v>32</v>
      </c>
      <c r="H140" s="590"/>
      <c r="I140" s="772">
        <v>26749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172</v>
      </c>
      <c r="D145" s="563"/>
      <c r="E145" s="564"/>
      <c r="F145" s="562" t="s">
        <v>173</v>
      </c>
      <c r="G145" s="563"/>
      <c r="H145" s="563"/>
      <c r="I145" s="564"/>
      <c r="J145" s="563" t="s">
        <v>102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263</v>
      </c>
      <c r="D146" s="736"/>
      <c r="E146" s="737"/>
      <c r="F146" s="750" t="s">
        <v>265</v>
      </c>
      <c r="G146" s="754"/>
      <c r="H146" s="754"/>
      <c r="I146" s="755"/>
      <c r="J146" s="751" t="s">
        <v>264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59" t="s">
        <v>109</v>
      </c>
      <c r="C154" s="359" t="s">
        <v>110</v>
      </c>
      <c r="D154" s="359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f>'2018NOV'!H155</f>
        <v>2419</v>
      </c>
      <c r="C155" s="63">
        <f>E45-E44</f>
        <v>74965</v>
      </c>
      <c r="D155" s="73">
        <f>74452</f>
        <v>74452</v>
      </c>
      <c r="E155" s="531" t="s">
        <v>114</v>
      </c>
      <c r="F155" s="531"/>
      <c r="G155" s="531"/>
      <c r="H155" s="72">
        <f>C155+A155+B155-D155</f>
        <v>2932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25346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60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18782</v>
      </c>
      <c r="H165" s="778"/>
      <c r="I165" s="779"/>
      <c r="J165" s="779"/>
      <c r="K165" s="780"/>
    </row>
    <row r="166" spans="1:11" ht="14">
      <c r="A166" s="358" t="s">
        <v>126</v>
      </c>
      <c r="B166" s="777" t="s">
        <v>127</v>
      </c>
      <c r="C166" s="777"/>
      <c r="D166" s="777"/>
      <c r="E166" s="777"/>
      <c r="F166" s="777"/>
      <c r="G166" s="346">
        <v>1897</v>
      </c>
      <c r="H166" s="778"/>
      <c r="I166" s="779"/>
      <c r="J166" s="779"/>
      <c r="K166" s="780"/>
    </row>
    <row r="167" spans="1:11" ht="14">
      <c r="A167" s="358" t="s">
        <v>128</v>
      </c>
      <c r="B167" s="777" t="s">
        <v>129</v>
      </c>
      <c r="C167" s="777"/>
      <c r="D167" s="777"/>
      <c r="E167" s="777"/>
      <c r="F167" s="777"/>
      <c r="G167" s="360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F5838A3-E230-4F8A-AAA9-03263631D9FA}">
      <formula1>"Jan, Feb, March, April, May, June, July, Aug, Sep, Oct, Nov, Dec"</formula1>
    </dataValidation>
    <dataValidation type="list" allowBlank="1" showInputMessage="1" showErrorMessage="1" sqref="L3" xr:uid="{662C56D2-F8BB-4274-88ED-1AC1B790278D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7F467-5117-4BED-8088-D7D4D104F57F}">
  <sheetPr codeName="Sheet26">
    <pageSetUpPr fitToPage="1"/>
  </sheetPr>
  <dimension ref="A1:N167"/>
  <sheetViews>
    <sheetView topLeftCell="A137" zoomScale="90" zoomScaleNormal="90" zoomScaleSheetLayoutView="85" workbookViewId="0">
      <selection activeCell="D34" sqref="D34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 t="s">
        <v>266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6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61" t="s">
        <v>176</v>
      </c>
      <c r="C10" s="61">
        <v>2</v>
      </c>
      <c r="D10" s="364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61" t="s">
        <v>177</v>
      </c>
      <c r="C11" s="61">
        <v>2</v>
      </c>
      <c r="D11" s="364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61" t="s">
        <v>179</v>
      </c>
      <c r="C12" s="61">
        <v>2</v>
      </c>
      <c r="D12" s="364">
        <v>4</v>
      </c>
      <c r="E12" s="770" t="s">
        <v>267</v>
      </c>
      <c r="F12" s="691"/>
      <c r="G12" s="691"/>
      <c r="H12" s="691"/>
      <c r="I12" s="692"/>
    </row>
    <row r="13" spans="1:13">
      <c r="A13" s="690"/>
      <c r="B13" s="361" t="s">
        <v>180</v>
      </c>
      <c r="C13" s="61">
        <v>3</v>
      </c>
      <c r="D13" s="364">
        <v>1</v>
      </c>
      <c r="E13" s="691" t="s">
        <v>268</v>
      </c>
      <c r="F13" s="691"/>
      <c r="G13" s="691"/>
      <c r="H13" s="691"/>
      <c r="I13" s="692"/>
    </row>
    <row r="14" spans="1:13">
      <c r="A14" s="690"/>
      <c r="B14" s="361" t="s">
        <v>12</v>
      </c>
      <c r="C14" s="61">
        <v>0</v>
      </c>
      <c r="D14" s="364">
        <v>0</v>
      </c>
      <c r="E14" s="693"/>
      <c r="F14" s="694"/>
      <c r="G14" s="694"/>
      <c r="H14" s="694"/>
      <c r="I14" s="695"/>
    </row>
    <row r="15" spans="1:13">
      <c r="A15" s="690"/>
      <c r="B15" s="361" t="s">
        <v>13</v>
      </c>
      <c r="C15" s="61">
        <v>2</v>
      </c>
      <c r="D15" s="364">
        <v>2</v>
      </c>
      <c r="E15" s="770" t="s">
        <v>269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63" t="s">
        <v>23</v>
      </c>
      <c r="E21" s="363" t="s">
        <v>24</v>
      </c>
      <c r="F21" s="363" t="s">
        <v>25</v>
      </c>
      <c r="G21" s="363" t="s">
        <v>23</v>
      </c>
      <c r="H21" s="363" t="s">
        <v>24</v>
      </c>
      <c r="I21" s="36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17017</v>
      </c>
      <c r="E23" s="329">
        <v>16000</v>
      </c>
      <c r="F23" s="14">
        <f t="shared" ref="F23:F28" si="0">E23/D23</f>
        <v>0.94023623435388137</v>
      </c>
      <c r="G23" s="332">
        <f>D23</f>
        <v>17017</v>
      </c>
      <c r="H23" s="332">
        <f>E23</f>
        <v>16000</v>
      </c>
      <c r="I23" s="14">
        <f t="shared" ref="I23:I28" si="1">H23/G23</f>
        <v>0.94023623435388137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17017</v>
      </c>
      <c r="E24" s="330">
        <f>SUM(E23:E23)</f>
        <v>16000</v>
      </c>
      <c r="F24" s="16">
        <f t="shared" si="0"/>
        <v>0.94023623435388137</v>
      </c>
      <c r="G24" s="330">
        <f>SUM(G23:G23)</f>
        <v>17017</v>
      </c>
      <c r="H24" s="330">
        <f>SUM(H23:H23)</f>
        <v>16000</v>
      </c>
      <c r="I24" s="16">
        <f t="shared" si="1"/>
        <v>0.94023623435388137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18923</v>
      </c>
      <c r="E25" s="329">
        <v>18388</v>
      </c>
      <c r="F25" s="14">
        <f t="shared" si="0"/>
        <v>0.97172752734767209</v>
      </c>
      <c r="G25" s="332">
        <f>D25</f>
        <v>18923</v>
      </c>
      <c r="H25" s="332">
        <f>E25</f>
        <v>18388</v>
      </c>
      <c r="I25" s="14">
        <f t="shared" si="1"/>
        <v>0.97172752734767209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18923</v>
      </c>
      <c r="E27" s="330">
        <f>SUM(E25:E26)</f>
        <v>18388</v>
      </c>
      <c r="F27" s="16">
        <f t="shared" si="0"/>
        <v>0.97172752734767209</v>
      </c>
      <c r="G27" s="330">
        <f>SUM(G25:G26)</f>
        <v>18923</v>
      </c>
      <c r="H27" s="330">
        <f>SUM(H25:H26)</f>
        <v>18388</v>
      </c>
      <c r="I27" s="16">
        <f t="shared" si="1"/>
        <v>0.97172752734767209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35940</v>
      </c>
      <c r="E28" s="331">
        <f>SUM(E24,E27)</f>
        <v>34388</v>
      </c>
      <c r="F28" s="17">
        <f t="shared" si="0"/>
        <v>0.95681691708402894</v>
      </c>
      <c r="G28" s="331">
        <f>SUM(G24,G27)</f>
        <v>35940</v>
      </c>
      <c r="H28" s="331">
        <f>SUM(H24,H27)</f>
        <v>34388</v>
      </c>
      <c r="I28" s="17">
        <f t="shared" si="1"/>
        <v>0.95681691708402894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2890</v>
      </c>
      <c r="F30" s="14">
        <f>E30/D30</f>
        <v>0.99655172413793103</v>
      </c>
      <c r="G30" s="332">
        <f>D30</f>
        <v>2900</v>
      </c>
      <c r="H30" s="332">
        <f>E30</f>
        <v>2890</v>
      </c>
      <c r="I30" s="14">
        <f>H30/G30</f>
        <v>0.99655172413793103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4993</v>
      </c>
      <c r="F31" s="14" t="e">
        <f t="shared" ref="F31:F47" si="2">E31/D31</f>
        <v>#DIV/0!</v>
      </c>
      <c r="G31" s="332">
        <f>D31</f>
        <v>0</v>
      </c>
      <c r="H31" s="332">
        <f>E31</f>
        <v>4993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7883</v>
      </c>
      <c r="F32" s="14">
        <f t="shared" si="2"/>
        <v>2.7182758620689653</v>
      </c>
      <c r="G32" s="330">
        <f>SUM(G30:G31)</f>
        <v>2900</v>
      </c>
      <c r="H32" s="330">
        <f>SUM(H30:H31)</f>
        <v>7883</v>
      </c>
      <c r="I32" s="14">
        <f t="shared" si="3"/>
        <v>2.7182758620689653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757</v>
      </c>
      <c r="F33" s="14" t="e">
        <f t="shared" si="2"/>
        <v>#DIV/0!</v>
      </c>
      <c r="G33" s="332">
        <f>D33</f>
        <v>0</v>
      </c>
      <c r="H33" s="332">
        <f>E33</f>
        <v>757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8640</v>
      </c>
      <c r="F34" s="14">
        <f t="shared" si="2"/>
        <v>2.9793103448275864</v>
      </c>
      <c r="G34" s="334">
        <f>SUM(G32,G33)</f>
        <v>2900</v>
      </c>
      <c r="H34" s="334">
        <f>SUM(H32,H33)</f>
        <v>8640</v>
      </c>
      <c r="I34" s="14">
        <f t="shared" si="3"/>
        <v>2.9793103448275864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</f>
        <v>36232</v>
      </c>
      <c r="H35" s="332">
        <f>E35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36232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11478</v>
      </c>
      <c r="F38" s="14" t="e">
        <f t="shared" si="2"/>
        <v>#DIV/0!</v>
      </c>
      <c r="G38" s="332">
        <f>D38</f>
        <v>0</v>
      </c>
      <c r="H38" s="332">
        <f>E38</f>
        <v>11478</v>
      </c>
      <c r="I38" s="14" t="e">
        <f t="shared" si="3"/>
        <v>#DIV/0!</v>
      </c>
      <c r="J38" s="623" t="s">
        <v>271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11478</v>
      </c>
      <c r="F40" s="16" t="e">
        <f t="shared" si="2"/>
        <v>#DIV/0!</v>
      </c>
      <c r="G40" s="330">
        <f>SUM(G38:G39)</f>
        <v>0</v>
      </c>
      <c r="H40" s="330">
        <f>SUM(H38:H39)</f>
        <v>11478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11478</v>
      </c>
      <c r="F41" s="19">
        <f t="shared" si="2"/>
        <v>0.31679178626628396</v>
      </c>
      <c r="G41" s="334">
        <f>SUM(G37,G40)</f>
        <v>36232</v>
      </c>
      <c r="H41" s="334">
        <f>SUM(H37,H40)</f>
        <v>11478</v>
      </c>
      <c r="I41" s="19">
        <f t="shared" si="3"/>
        <v>0.31679178626628396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10209</v>
      </c>
      <c r="F42" s="21">
        <f t="shared" si="2"/>
        <v>0.81672</v>
      </c>
      <c r="G42" s="342">
        <f t="shared" ref="G42:H44" si="4">D42</f>
        <v>12500</v>
      </c>
      <c r="H42" s="342">
        <f t="shared" si="4"/>
        <v>10209</v>
      </c>
      <c r="I42" s="21">
        <f t="shared" si="3"/>
        <v>0.81672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451</v>
      </c>
      <c r="F43" s="21">
        <f t="shared" si="2"/>
        <v>0.22550000000000001</v>
      </c>
      <c r="G43" s="342">
        <f t="shared" si="4"/>
        <v>2000</v>
      </c>
      <c r="H43" s="342">
        <f t="shared" si="4"/>
        <v>451</v>
      </c>
      <c r="I43" s="21">
        <f t="shared" si="3"/>
        <v>0.22550000000000001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 t="shared" si="4"/>
        <v>40000</v>
      </c>
      <c r="H44" s="342">
        <f t="shared" si="4"/>
        <v>0</v>
      </c>
      <c r="I44" s="21">
        <f t="shared" si="3"/>
        <v>0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129572</v>
      </c>
      <c r="E45" s="339">
        <f>SUM(E28,E34,E41,E42:E44)</f>
        <v>65166</v>
      </c>
      <c r="F45" s="22">
        <f t="shared" si="2"/>
        <v>0.50293273238045255</v>
      </c>
      <c r="G45" s="339">
        <f>SUM(G28,G34,G41,G42:G44)</f>
        <v>129572</v>
      </c>
      <c r="H45" s="339">
        <f>SUM(H28,H34,H41,H42:H44)</f>
        <v>65166</v>
      </c>
      <c r="I45" s="22">
        <f t="shared" si="3"/>
        <v>0.50293273238045255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117072</v>
      </c>
      <c r="E46" s="339">
        <f>E45-E42</f>
        <v>54957</v>
      </c>
      <c r="F46" s="22">
        <f t="shared" si="2"/>
        <v>0.46942906929069289</v>
      </c>
      <c r="G46" s="339">
        <f>G45-G42</f>
        <v>117072</v>
      </c>
      <c r="H46" s="339">
        <f>H45-H42</f>
        <v>54957</v>
      </c>
      <c r="I46" s="22">
        <f t="shared" si="3"/>
        <v>0.46942906929069289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77072</v>
      </c>
      <c r="E47" s="340">
        <f>E46-E44</f>
        <v>54957</v>
      </c>
      <c r="F47" s="23">
        <f t="shared" si="2"/>
        <v>0.71306051484326349</v>
      </c>
      <c r="G47" s="340">
        <f>G46-G44</f>
        <v>77072</v>
      </c>
      <c r="H47" s="340">
        <f>H46-H44</f>
        <v>54957</v>
      </c>
      <c r="I47" s="23">
        <f t="shared" si="3"/>
        <v>0.71306051484326349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66" t="s">
        <v>23</v>
      </c>
      <c r="E52" s="366" t="s">
        <v>24</v>
      </c>
      <c r="F52" s="366" t="s">
        <v>25</v>
      </c>
      <c r="G52" s="366" t="s">
        <v>23</v>
      </c>
      <c r="H52" s="366" t="s">
        <v>24</v>
      </c>
      <c r="I52" s="36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364">
        <v>14</v>
      </c>
      <c r="F53" s="28">
        <f t="shared" ref="F53:F79" si="5">E53/D53</f>
        <v>0.7</v>
      </c>
      <c r="G53" s="66">
        <f>D53</f>
        <v>20</v>
      </c>
      <c r="H53" s="66">
        <f>E53</f>
        <v>14</v>
      </c>
      <c r="I53" s="28">
        <f t="shared" ref="I53:I79" si="6">H53/G53</f>
        <v>0.7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469</v>
      </c>
      <c r="E54" s="364">
        <v>446</v>
      </c>
      <c r="F54" s="28">
        <f t="shared" si="5"/>
        <v>0.95095948827292109</v>
      </c>
      <c r="G54" s="66">
        <f>D54</f>
        <v>469</v>
      </c>
      <c r="H54" s="66">
        <f>E54</f>
        <v>446</v>
      </c>
      <c r="I54" s="28">
        <f t="shared" si="6"/>
        <v>0.95095948827292109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65">
        <f>SUM(D53:D54)</f>
        <v>489</v>
      </c>
      <c r="E55" s="365">
        <f>SUM(E53:E54)</f>
        <v>460</v>
      </c>
      <c r="F55" s="30">
        <f t="shared" si="5"/>
        <v>0.94069529652351735</v>
      </c>
      <c r="G55" s="365">
        <f>SUM(G53:G54)</f>
        <v>489</v>
      </c>
      <c r="H55" s="365">
        <f>SUM(H53:H54)</f>
        <v>460</v>
      </c>
      <c r="I55" s="30">
        <f t="shared" si="6"/>
        <v>0.94069529652351735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364">
        <v>47</v>
      </c>
      <c r="F56" s="28">
        <f t="shared" si="5"/>
        <v>0.5662650602409639</v>
      </c>
      <c r="G56" s="66">
        <f>D56</f>
        <v>83</v>
      </c>
      <c r="H56" s="66">
        <f>E56</f>
        <v>47</v>
      </c>
      <c r="I56" s="28">
        <f t="shared" si="6"/>
        <v>0.5662650602409639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1187</v>
      </c>
      <c r="E57" s="364">
        <v>1214</v>
      </c>
      <c r="F57" s="28">
        <f t="shared" si="5"/>
        <v>1.0227464195450715</v>
      </c>
      <c r="G57" s="66">
        <f>D57</f>
        <v>1187</v>
      </c>
      <c r="H57" s="66">
        <f>E57</f>
        <v>1214</v>
      </c>
      <c r="I57" s="28">
        <f t="shared" si="6"/>
        <v>1.0227464195450715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70">
        <f>SUM(D56:D57)</f>
        <v>1270</v>
      </c>
      <c r="E58" s="370">
        <f>SUM(E56:E57)</f>
        <v>1261</v>
      </c>
      <c r="F58" s="28">
        <f t="shared" si="5"/>
        <v>0.99291338582677169</v>
      </c>
      <c r="G58" s="370">
        <f>SUM(G56:G57)</f>
        <v>1270</v>
      </c>
      <c r="H58" s="370">
        <f>SUM(H56:H57)</f>
        <v>1261</v>
      </c>
      <c r="I58" s="31">
        <f t="shared" si="6"/>
        <v>0.99291338582677169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71">
        <f>SUM(D53,D56)</f>
        <v>103</v>
      </c>
      <c r="E59" s="371">
        <f>SUM(E53,E56)</f>
        <v>61</v>
      </c>
      <c r="F59" s="32">
        <f t="shared" si="5"/>
        <v>0.59223300970873782</v>
      </c>
      <c r="G59" s="371">
        <f>SUM(G53,G56)</f>
        <v>103</v>
      </c>
      <c r="H59" s="371">
        <f>SUM(H53,H56)</f>
        <v>61</v>
      </c>
      <c r="I59" s="32">
        <f t="shared" si="6"/>
        <v>0.59223300970873782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71">
        <f>SUM(D54,D57)</f>
        <v>1656</v>
      </c>
      <c r="E60" s="371">
        <f>SUM(E54,E57)</f>
        <v>1660</v>
      </c>
      <c r="F60" s="32">
        <f t="shared" si="5"/>
        <v>1.0024154589371981</v>
      </c>
      <c r="G60" s="371">
        <f>SUM(G54,G57)</f>
        <v>1656</v>
      </c>
      <c r="H60" s="371">
        <f>SUM(H54,H57)</f>
        <v>1660</v>
      </c>
      <c r="I60" s="32">
        <f t="shared" si="6"/>
        <v>1.0024154589371981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72">
        <f>SUM(D59:D60)</f>
        <v>1759</v>
      </c>
      <c r="E61" s="372">
        <f>SUM(E59:E60)</f>
        <v>1721</v>
      </c>
      <c r="F61" s="33">
        <f t="shared" si="5"/>
        <v>0.97839681637293918</v>
      </c>
      <c r="G61" s="372">
        <f>SUM(G59:G60)</f>
        <v>1759</v>
      </c>
      <c r="H61" s="372">
        <f>SUM(H59:H60)</f>
        <v>1721</v>
      </c>
      <c r="I61" s="33">
        <f t="shared" si="6"/>
        <v>0.97839681637293918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361">
        <f>E71/10</f>
        <v>48.7</v>
      </c>
      <c r="F62" s="28">
        <f t="shared" si="5"/>
        <v>0.69571428571428573</v>
      </c>
      <c r="G62" s="66">
        <f>D62</f>
        <v>70</v>
      </c>
      <c r="H62" s="66">
        <f>E62</f>
        <v>48.7</v>
      </c>
      <c r="I62" s="28">
        <f t="shared" si="6"/>
        <v>0.69571428571428573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1632</v>
      </c>
      <c r="E63" s="361">
        <f>E72/10</f>
        <v>1551.3</v>
      </c>
      <c r="F63" s="28">
        <f t="shared" si="5"/>
        <v>0.9505514705882353</v>
      </c>
      <c r="G63" s="248">
        <f>D63</f>
        <v>1632</v>
      </c>
      <c r="H63" s="66">
        <f>E63</f>
        <v>1551.3</v>
      </c>
      <c r="I63" s="28">
        <f t="shared" si="6"/>
        <v>0.9505514705882353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1702</v>
      </c>
      <c r="E64" s="365">
        <f>SUM(E62:E63)</f>
        <v>1600</v>
      </c>
      <c r="F64" s="30">
        <f t="shared" si="5"/>
        <v>0.9400705052878966</v>
      </c>
      <c r="G64" s="365">
        <f>SUM(G62:G63)</f>
        <v>1702</v>
      </c>
      <c r="H64" s="365">
        <f>SUM(H62:H63)</f>
        <v>1600</v>
      </c>
      <c r="I64" s="30">
        <f t="shared" si="6"/>
        <v>0.9400705052878966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361">
        <f>E74/10</f>
        <v>63</v>
      </c>
      <c r="F65" s="28">
        <f t="shared" si="5"/>
        <v>0.50806451612903225</v>
      </c>
      <c r="G65" s="66">
        <f>D65</f>
        <v>124</v>
      </c>
      <c r="H65" s="66">
        <f>E65</f>
        <v>63</v>
      </c>
      <c r="I65" s="28">
        <f t="shared" si="6"/>
        <v>0.50806451612903225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1769</v>
      </c>
      <c r="E66" s="361">
        <f>E75/10</f>
        <v>1775.8</v>
      </c>
      <c r="F66" s="28">
        <f t="shared" si="5"/>
        <v>1.0038439796495195</v>
      </c>
      <c r="G66" s="66">
        <f>D66</f>
        <v>1769</v>
      </c>
      <c r="H66" s="66">
        <f>E66</f>
        <v>1775.8</v>
      </c>
      <c r="I66" s="28">
        <f t="shared" si="6"/>
        <v>1.0038439796495195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70">
        <f>SUM(D65:D66)</f>
        <v>1893</v>
      </c>
      <c r="E67" s="370">
        <f>SUM(E65:E66)</f>
        <v>1838.8</v>
      </c>
      <c r="F67" s="31">
        <f t="shared" si="5"/>
        <v>0.97136819862651869</v>
      </c>
      <c r="G67" s="370">
        <f>SUM(G65:G66)</f>
        <v>1893</v>
      </c>
      <c r="H67" s="370">
        <f>SUM(H65:H66)</f>
        <v>1838.8</v>
      </c>
      <c r="I67" s="31">
        <f t="shared" si="6"/>
        <v>0.97136819862651869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71">
        <f>SUM(D62,D65)</f>
        <v>194</v>
      </c>
      <c r="E68" s="371">
        <f>SUM(E62,E65)</f>
        <v>111.7</v>
      </c>
      <c r="F68" s="32">
        <f t="shared" si="5"/>
        <v>0.57577319587628872</v>
      </c>
      <c r="G68" s="371">
        <f>SUM(G62,G65)</f>
        <v>194</v>
      </c>
      <c r="H68" s="371">
        <f>SUM(H62,H65)</f>
        <v>111.7</v>
      </c>
      <c r="I68" s="32">
        <f t="shared" si="6"/>
        <v>0.57577319587628872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71">
        <f>SUM(D63,D66)</f>
        <v>3401</v>
      </c>
      <c r="E69" s="371">
        <f>SUM(E63,E66)</f>
        <v>3327.1</v>
      </c>
      <c r="F69" s="32">
        <f t="shared" si="5"/>
        <v>0.97827109673625401</v>
      </c>
      <c r="G69" s="371">
        <f>SUM(G63,G66)</f>
        <v>3401</v>
      </c>
      <c r="H69" s="371">
        <f>SUM(H63,H66)</f>
        <v>3327.1</v>
      </c>
      <c r="I69" s="32">
        <f t="shared" si="6"/>
        <v>0.97827109673625401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72">
        <f>SUM(D68:D69)</f>
        <v>3595</v>
      </c>
      <c r="E70" s="372">
        <f>SUM(E68:E69)</f>
        <v>3438.7999999999997</v>
      </c>
      <c r="F70" s="34">
        <f t="shared" si="5"/>
        <v>0.95655076495132119</v>
      </c>
      <c r="G70" s="372">
        <f>SUM(G68:G69)</f>
        <v>3595</v>
      </c>
      <c r="H70" s="372">
        <f>SUM(H68:H69)</f>
        <v>3438.7999999999997</v>
      </c>
      <c r="I70" s="34">
        <f t="shared" si="6"/>
        <v>0.95655076495132119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696</v>
      </c>
      <c r="E71" s="364">
        <v>487</v>
      </c>
      <c r="F71" s="28">
        <f t="shared" si="5"/>
        <v>0.69971264367816088</v>
      </c>
      <c r="G71" s="179">
        <f>D71</f>
        <v>696</v>
      </c>
      <c r="H71" s="66">
        <f>E71</f>
        <v>487</v>
      </c>
      <c r="I71" s="28">
        <f t="shared" si="6"/>
        <v>0.69971264367816088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16321</v>
      </c>
      <c r="E72" s="378">
        <f>E23-E71</f>
        <v>15513</v>
      </c>
      <c r="F72" s="28">
        <f t="shared" si="5"/>
        <v>0.95049322958152072</v>
      </c>
      <c r="G72" s="248">
        <f>D72</f>
        <v>16321</v>
      </c>
      <c r="H72" s="66">
        <f>E72</f>
        <v>15513</v>
      </c>
      <c r="I72" s="28">
        <f t="shared" si="6"/>
        <v>0.95049322958152072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65">
        <f>SUM(D71:D72)</f>
        <v>17017</v>
      </c>
      <c r="E73" s="365">
        <f>SUM(E71:E72)</f>
        <v>16000</v>
      </c>
      <c r="F73" s="30">
        <f t="shared" si="5"/>
        <v>0.94023623435388137</v>
      </c>
      <c r="G73" s="365">
        <f>SUM(G71:G72)</f>
        <v>17017</v>
      </c>
      <c r="H73" s="365">
        <f>SUM(H71:H72)</f>
        <v>16000</v>
      </c>
      <c r="I73" s="30">
        <f t="shared" si="6"/>
        <v>0.94023623435388137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1237</v>
      </c>
      <c r="E74" s="364">
        <v>630</v>
      </c>
      <c r="F74" s="28">
        <f t="shared" si="5"/>
        <v>0.50929668552950691</v>
      </c>
      <c r="G74" s="179">
        <f>D74</f>
        <v>1237</v>
      </c>
      <c r="H74" s="66">
        <f>E74</f>
        <v>630</v>
      </c>
      <c r="I74" s="28">
        <f t="shared" si="6"/>
        <v>0.50929668552950691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17686</v>
      </c>
      <c r="E75" s="378">
        <f>E25-E74</f>
        <v>17758</v>
      </c>
      <c r="F75" s="28">
        <f t="shared" si="5"/>
        <v>1.0040710166233178</v>
      </c>
      <c r="G75" s="248">
        <f>D75</f>
        <v>17686</v>
      </c>
      <c r="H75" s="66">
        <f>E75</f>
        <v>17758</v>
      </c>
      <c r="I75" s="28">
        <f t="shared" si="6"/>
        <v>1.0040710166233178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70">
        <f>SUM(D74:D75)</f>
        <v>18923</v>
      </c>
      <c r="E76" s="370">
        <f>SUM(E74:E75)</f>
        <v>18388</v>
      </c>
      <c r="F76" s="31">
        <f t="shared" si="5"/>
        <v>0.97172752734767209</v>
      </c>
      <c r="G76" s="370">
        <f>SUM(G74:G75)</f>
        <v>18923</v>
      </c>
      <c r="H76" s="370">
        <f>SUM(H74:H75)</f>
        <v>18388</v>
      </c>
      <c r="I76" s="31">
        <f t="shared" si="6"/>
        <v>0.97172752734767209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71">
        <f>SUM(D71,D74)</f>
        <v>1933</v>
      </c>
      <c r="E77" s="371">
        <f>SUM(E71,E74)</f>
        <v>1117</v>
      </c>
      <c r="F77" s="32">
        <f t="shared" si="5"/>
        <v>0.57785825142265912</v>
      </c>
      <c r="G77" s="371">
        <f>SUM(G71,G74)</f>
        <v>1933</v>
      </c>
      <c r="H77" s="371">
        <f>SUM(H71,H74)</f>
        <v>1117</v>
      </c>
      <c r="I77" s="32">
        <f t="shared" si="6"/>
        <v>0.57785825142265912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71">
        <f>SUM(D72,D75)</f>
        <v>34007</v>
      </c>
      <c r="E78" s="371">
        <f>SUM(E72,E75)</f>
        <v>33271</v>
      </c>
      <c r="F78" s="32">
        <f t="shared" si="5"/>
        <v>0.97835739700649871</v>
      </c>
      <c r="G78" s="371">
        <f>SUM(G72,G75)</f>
        <v>34007</v>
      </c>
      <c r="H78" s="371">
        <f>SUM(H72,H75)</f>
        <v>33271</v>
      </c>
      <c r="I78" s="32">
        <f t="shared" si="6"/>
        <v>0.97835739700649871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72">
        <f>SUM(D77:D78)</f>
        <v>35940</v>
      </c>
      <c r="E79" s="372">
        <f>SUM(E77:E78)</f>
        <v>34388</v>
      </c>
      <c r="F79" s="34">
        <f t="shared" si="5"/>
        <v>0.95681691708402894</v>
      </c>
      <c r="G79" s="372">
        <f>SUM(G77:G78)</f>
        <v>35940</v>
      </c>
      <c r="H79" s="372">
        <f>SUM(H77:H78)</f>
        <v>34388</v>
      </c>
      <c r="I79" s="34">
        <f t="shared" si="6"/>
        <v>0.95681691708402894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460</v>
      </c>
      <c r="E87" s="130"/>
      <c r="F87" s="134">
        <f t="shared" ref="F87:F92" si="7">D87</f>
        <v>460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14</v>
      </c>
      <c r="E88" s="128"/>
      <c r="F88" s="134">
        <f t="shared" si="7"/>
        <v>14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 t="shared" si="7"/>
        <v>0</v>
      </c>
      <c r="G89" s="128">
        <f>F89/F87</f>
        <v>0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108</v>
      </c>
      <c r="E90" s="128">
        <f>D90/D92</f>
        <v>0.51428571428571423</v>
      </c>
      <c r="F90" s="134">
        <f t="shared" si="7"/>
        <v>108</v>
      </c>
      <c r="G90" s="128">
        <f>F90/F92</f>
        <v>0.51428571428571423</v>
      </c>
      <c r="H90" s="128"/>
    </row>
    <row r="91" spans="1:13" ht="15" customHeight="1">
      <c r="A91" s="775"/>
      <c r="B91" s="776" t="s">
        <v>202</v>
      </c>
      <c r="C91" s="776"/>
      <c r="D91" s="131">
        <v>116</v>
      </c>
      <c r="E91" s="128">
        <f>D91/D92</f>
        <v>0.55238095238095242</v>
      </c>
      <c r="F91" s="134">
        <f t="shared" si="7"/>
        <v>116</v>
      </c>
      <c r="G91" s="128">
        <f>F91/F92</f>
        <v>0.55238095238095242</v>
      </c>
      <c r="H91" s="128"/>
    </row>
    <row r="92" spans="1:13" ht="15" customHeight="1">
      <c r="A92" s="775"/>
      <c r="B92" s="776" t="s">
        <v>203</v>
      </c>
      <c r="C92" s="776"/>
      <c r="D92" s="131">
        <v>210</v>
      </c>
      <c r="E92" s="130"/>
      <c r="F92" s="134">
        <f t="shared" si="7"/>
        <v>210</v>
      </c>
      <c r="G92" s="130"/>
      <c r="H92" s="128"/>
    </row>
    <row r="93" spans="1:13">
      <c r="C93" s="126" t="s">
        <v>210</v>
      </c>
      <c r="D93" s="132">
        <v>670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66" t="s">
        <v>23</v>
      </c>
      <c r="E97" s="366" t="s">
        <v>24</v>
      </c>
      <c r="F97" s="366" t="s">
        <v>25</v>
      </c>
      <c r="G97" s="366" t="s">
        <v>23</v>
      </c>
      <c r="H97" s="366" t="s">
        <v>24</v>
      </c>
      <c r="I97" s="36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64">
        <v>0</v>
      </c>
      <c r="F98" s="37" t="e">
        <f>E98/D98</f>
        <v>#DIV/0!</v>
      </c>
      <c r="G98" s="66">
        <f>D98</f>
        <v>0</v>
      </c>
      <c r="H98" s="66">
        <f>E98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364">
        <v>21</v>
      </c>
      <c r="F99" s="28">
        <f t="shared" ref="F99:F115" si="8">E99/D99</f>
        <v>0.53846153846153844</v>
      </c>
      <c r="G99" s="66">
        <f>D99</f>
        <v>39</v>
      </c>
      <c r="H99" s="66">
        <f>E99</f>
        <v>21</v>
      </c>
      <c r="I99" s="28">
        <f t="shared" ref="I99:I115" si="9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65">
        <f>SUM(D98:D99)</f>
        <v>39</v>
      </c>
      <c r="E100" s="365">
        <f>SUM(E98:E99)</f>
        <v>21</v>
      </c>
      <c r="F100" s="30">
        <f t="shared" si="8"/>
        <v>0.53846153846153844</v>
      </c>
      <c r="G100" s="365">
        <f>SUM(G98:G99)</f>
        <v>39</v>
      </c>
      <c r="H100" s="365">
        <f>SUM(H98:H99)</f>
        <v>21</v>
      </c>
      <c r="I100" s="30">
        <f t="shared" si="9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64">
        <v>0</v>
      </c>
      <c r="F101" s="28" t="e">
        <f t="shared" si="8"/>
        <v>#DIV/0!</v>
      </c>
      <c r="G101" s="66">
        <f>D101</f>
        <v>0</v>
      </c>
      <c r="H101" s="66">
        <f>E101</f>
        <v>0</v>
      </c>
      <c r="I101" s="28" t="e">
        <f t="shared" si="9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364">
        <v>9</v>
      </c>
      <c r="F102" s="28">
        <f t="shared" si="8"/>
        <v>1</v>
      </c>
      <c r="G102" s="66">
        <f>D102</f>
        <v>9</v>
      </c>
      <c r="H102" s="66">
        <f>E102</f>
        <v>9</v>
      </c>
      <c r="I102" s="28">
        <f t="shared" si="9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65">
        <f>SUM(D101:D102)</f>
        <v>9</v>
      </c>
      <c r="E103" s="365">
        <f>SUM(E101:E102)</f>
        <v>9</v>
      </c>
      <c r="F103" s="30">
        <f t="shared" si="8"/>
        <v>1</v>
      </c>
      <c r="G103" s="365">
        <f>SUM(G101:G102)</f>
        <v>9</v>
      </c>
      <c r="H103" s="365">
        <f>SUM(H101:H102)</f>
        <v>9</v>
      </c>
      <c r="I103" s="30">
        <f t="shared" si="9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10</v>
      </c>
      <c r="E104" s="364">
        <v>2</v>
      </c>
      <c r="F104" s="28">
        <f t="shared" si="8"/>
        <v>0.2</v>
      </c>
      <c r="G104" s="66">
        <f>D104</f>
        <v>10</v>
      </c>
      <c r="H104" s="66">
        <f>E104</f>
        <v>2</v>
      </c>
      <c r="I104" s="28">
        <f t="shared" si="9"/>
        <v>0.2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71</v>
      </c>
      <c r="E105" s="364">
        <v>72</v>
      </c>
      <c r="F105" s="28">
        <f t="shared" si="8"/>
        <v>1.0140845070422535</v>
      </c>
      <c r="G105" s="66">
        <f>D105</f>
        <v>71</v>
      </c>
      <c r="H105" s="66">
        <f>E105</f>
        <v>72</v>
      </c>
      <c r="I105" s="28">
        <f t="shared" si="9"/>
        <v>1.0140845070422535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65">
        <f>SUM(D104:D105)</f>
        <v>81</v>
      </c>
      <c r="E106" s="365">
        <f>SUM(E104:E105)</f>
        <v>74</v>
      </c>
      <c r="F106" s="30">
        <f t="shared" si="8"/>
        <v>0.9135802469135802</v>
      </c>
      <c r="G106" s="365">
        <f>SUM(G104:G105)</f>
        <v>81</v>
      </c>
      <c r="H106" s="365">
        <f>SUM(H104:H105)</f>
        <v>74</v>
      </c>
      <c r="I106" s="30">
        <f t="shared" si="9"/>
        <v>0.9135802469135802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0</v>
      </c>
      <c r="E107" s="364">
        <v>1</v>
      </c>
      <c r="F107" s="28" t="e">
        <f>E107/D107</f>
        <v>#DIV/0!</v>
      </c>
      <c r="G107" s="66">
        <f>D107</f>
        <v>0</v>
      </c>
      <c r="H107" s="66">
        <f>E107</f>
        <v>1</v>
      </c>
      <c r="I107" s="28" t="e">
        <f>H107/G107</f>
        <v>#DIV/0!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139</v>
      </c>
      <c r="E108" s="364">
        <v>136</v>
      </c>
      <c r="F108" s="28">
        <f>E108/D108</f>
        <v>0.97841726618705038</v>
      </c>
      <c r="G108" s="66">
        <f>D108</f>
        <v>139</v>
      </c>
      <c r="H108" s="66">
        <f>E108</f>
        <v>136</v>
      </c>
      <c r="I108" s="28">
        <f t="shared" si="9"/>
        <v>0.97841726618705038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65">
        <f>SUM(D107:D108)</f>
        <v>139</v>
      </c>
      <c r="E109" s="365">
        <f>SUM(E107:E108)</f>
        <v>137</v>
      </c>
      <c r="F109" s="30">
        <f t="shared" si="8"/>
        <v>0.98561151079136688</v>
      </c>
      <c r="G109" s="365">
        <f>SUM(G107:G108)</f>
        <v>139</v>
      </c>
      <c r="H109" s="365">
        <f>SUM(H107:H108)</f>
        <v>137</v>
      </c>
      <c r="I109" s="30">
        <f t="shared" si="9"/>
        <v>0.98561151079136688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10</v>
      </c>
      <c r="E110" s="364">
        <v>8</v>
      </c>
      <c r="F110" s="30">
        <f>E110/D110</f>
        <v>0.8</v>
      </c>
      <c r="G110" s="66">
        <f>D110</f>
        <v>10</v>
      </c>
      <c r="H110" s="66">
        <f>E110</f>
        <v>8</v>
      </c>
      <c r="I110" s="30">
        <f>H110/G110</f>
        <v>0.8</v>
      </c>
      <c r="J110" s="367"/>
      <c r="K110" s="368"/>
      <c r="L110" s="368"/>
      <c r="M110" s="369"/>
    </row>
    <row r="111" spans="1:13">
      <c r="A111" s="553"/>
      <c r="B111" s="803"/>
      <c r="C111" s="27" t="s">
        <v>70</v>
      </c>
      <c r="D111" s="65">
        <v>82</v>
      </c>
      <c r="E111" s="364">
        <v>84</v>
      </c>
      <c r="F111" s="30">
        <f t="shared" ref="F111:F112" si="10">E111/D111</f>
        <v>1.024390243902439</v>
      </c>
      <c r="G111" s="66">
        <f>D111</f>
        <v>82</v>
      </c>
      <c r="H111" s="66">
        <f>E111</f>
        <v>84</v>
      </c>
      <c r="I111" s="30">
        <f t="shared" ref="I111:I112" si="11">H111/G111</f>
        <v>1.024390243902439</v>
      </c>
      <c r="J111" s="367"/>
      <c r="K111" s="368"/>
      <c r="L111" s="368"/>
      <c r="M111" s="369"/>
    </row>
    <row r="112" spans="1:13">
      <c r="A112" s="553"/>
      <c r="B112" s="804"/>
      <c r="C112" s="38" t="s">
        <v>166</v>
      </c>
      <c r="D112" s="365">
        <f>SUM(D110:D111)</f>
        <v>92</v>
      </c>
      <c r="E112" s="365">
        <f>SUM(E110:E111)</f>
        <v>92</v>
      </c>
      <c r="F112" s="30">
        <f t="shared" si="10"/>
        <v>1</v>
      </c>
      <c r="G112" s="365">
        <f>SUM(G110:G111)</f>
        <v>92</v>
      </c>
      <c r="H112" s="365">
        <f>SUM(H110:H111)</f>
        <v>92</v>
      </c>
      <c r="I112" s="30">
        <f t="shared" si="11"/>
        <v>1</v>
      </c>
      <c r="J112" s="367"/>
      <c r="K112" s="368"/>
      <c r="L112" s="368"/>
      <c r="M112" s="369"/>
    </row>
    <row r="113" spans="1:13">
      <c r="A113" s="553"/>
      <c r="B113" s="611" t="s">
        <v>46</v>
      </c>
      <c r="C113" s="39" t="s">
        <v>69</v>
      </c>
      <c r="D113" s="370">
        <f>SUM(D98,D101,D104,D107,D110)</f>
        <v>20</v>
      </c>
      <c r="E113" s="370">
        <f>SUM(E98,E101,E104,E107,E110)</f>
        <v>11</v>
      </c>
      <c r="F113" s="31">
        <f t="shared" si="8"/>
        <v>0.55000000000000004</v>
      </c>
      <c r="G113" s="370">
        <f>SUM(G98,G101,G104,G107,G110)</f>
        <v>20</v>
      </c>
      <c r="H113" s="370">
        <f>SUM(H98,H101,H104,H107,H110)</f>
        <v>11</v>
      </c>
      <c r="I113" s="31">
        <f t="shared" si="9"/>
        <v>0.55000000000000004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70">
        <f>SUM(D99,D102,D105,D108,D111)</f>
        <v>340</v>
      </c>
      <c r="E114" s="370">
        <f>SUM(E99,E102,E105,E108,E111)</f>
        <v>322</v>
      </c>
      <c r="F114" s="31">
        <f t="shared" si="8"/>
        <v>0.94705882352941173</v>
      </c>
      <c r="G114" s="370">
        <f>SUM(G99,G102,G105,G108,G111)</f>
        <v>340</v>
      </c>
      <c r="H114" s="370">
        <f>SUM(H99,H102,H105,H108,H111)</f>
        <v>322</v>
      </c>
      <c r="I114" s="31">
        <f t="shared" si="9"/>
        <v>0.94705882352941173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73">
        <f>SUM(D113:D114)</f>
        <v>360</v>
      </c>
      <c r="E115" s="373">
        <f>SUM(E113:E114)</f>
        <v>333</v>
      </c>
      <c r="F115" s="41">
        <f t="shared" si="8"/>
        <v>0.92500000000000004</v>
      </c>
      <c r="G115" s="373">
        <f>SUM(G113:G114)</f>
        <v>360</v>
      </c>
      <c r="H115" s="373">
        <f>SUM(H113:H114)</f>
        <v>333</v>
      </c>
      <c r="I115" s="41">
        <f t="shared" si="9"/>
        <v>0.92500000000000004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0</v>
      </c>
      <c r="E116" s="64">
        <v>1</v>
      </c>
      <c r="F116" s="43" t="e">
        <f>E116/D116</f>
        <v>#DIV/0!</v>
      </c>
      <c r="G116" s="70">
        <f>D116</f>
        <v>0</v>
      </c>
      <c r="H116" s="70">
        <f>E116</f>
        <v>1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364">
        <v>79</v>
      </c>
      <c r="F117" s="28">
        <f t="shared" ref="F117:F126" si="12">E117/D117</f>
        <v>1.025974025974026</v>
      </c>
      <c r="G117" s="71">
        <f>D117</f>
        <v>77</v>
      </c>
      <c r="H117" s="71">
        <f>E117</f>
        <v>79</v>
      </c>
      <c r="I117" s="28">
        <f t="shared" ref="I117:I126" si="13">H117/G117</f>
        <v>1.025974025974026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65">
        <f>SUM(D116:D117)</f>
        <v>77</v>
      </c>
      <c r="E118" s="365">
        <f>SUM(E116:E117)</f>
        <v>80</v>
      </c>
      <c r="F118" s="30">
        <f t="shared" si="12"/>
        <v>1.0389610389610389</v>
      </c>
      <c r="G118" s="365">
        <f>SUM(G116:G117)</f>
        <v>77</v>
      </c>
      <c r="H118" s="365">
        <f>SUM(H116:H117)</f>
        <v>80</v>
      </c>
      <c r="I118" s="30">
        <f t="shared" si="13"/>
        <v>1.0389610389610389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64">
        <v>2</v>
      </c>
      <c r="F119" s="28" t="e">
        <f t="shared" si="12"/>
        <v>#DIV/0!</v>
      </c>
      <c r="G119" s="66">
        <f>D119</f>
        <v>0</v>
      </c>
      <c r="H119" s="66">
        <f>E119</f>
        <v>2</v>
      </c>
      <c r="I119" s="28" t="e">
        <f t="shared" si="13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364">
        <v>45</v>
      </c>
      <c r="F120" s="28">
        <f t="shared" si="12"/>
        <v>0.86538461538461542</v>
      </c>
      <c r="G120" s="66">
        <f>D120</f>
        <v>52</v>
      </c>
      <c r="H120" s="66">
        <f>E120</f>
        <v>45</v>
      </c>
      <c r="I120" s="28">
        <f t="shared" si="13"/>
        <v>0.86538461538461542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65">
        <f>SUM(D119:D120)</f>
        <v>52</v>
      </c>
      <c r="E121" s="365">
        <f>SUM(E119:E120)</f>
        <v>47</v>
      </c>
      <c r="F121" s="30">
        <f t="shared" si="12"/>
        <v>0.90384615384615385</v>
      </c>
      <c r="G121" s="365">
        <f>SUM(G119:G120)</f>
        <v>52</v>
      </c>
      <c r="H121" s="365">
        <f>SUM(H119:H120)</f>
        <v>47</v>
      </c>
      <c r="I121" s="30">
        <f t="shared" si="13"/>
        <v>0.90384615384615385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70">
        <f>SUM(D116,D119)</f>
        <v>0</v>
      </c>
      <c r="E122" s="370">
        <f>SUM(E116,E119)</f>
        <v>3</v>
      </c>
      <c r="F122" s="30" t="e">
        <f t="shared" si="12"/>
        <v>#DIV/0!</v>
      </c>
      <c r="G122" s="370">
        <f>SUM(G116,G119)</f>
        <v>0</v>
      </c>
      <c r="H122" s="370">
        <f>SUM(H116,H119)</f>
        <v>3</v>
      </c>
      <c r="I122" s="30" t="e">
        <f t="shared" si="13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70">
        <f>SUM(D117,D120)</f>
        <v>129</v>
      </c>
      <c r="E123" s="370">
        <f>SUM(E117,E120)</f>
        <v>124</v>
      </c>
      <c r="F123" s="30">
        <f t="shared" si="12"/>
        <v>0.96124031007751942</v>
      </c>
      <c r="G123" s="370">
        <f>SUM(G117,G120)</f>
        <v>129</v>
      </c>
      <c r="H123" s="370">
        <f>SUM(H117,H120)</f>
        <v>124</v>
      </c>
      <c r="I123" s="30">
        <f t="shared" si="13"/>
        <v>0.96124031007751942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73">
        <f>SUM(D122:D123)</f>
        <v>129</v>
      </c>
      <c r="E124" s="373">
        <f>SUM(E122:E123)</f>
        <v>127</v>
      </c>
      <c r="F124" s="41">
        <f t="shared" si="12"/>
        <v>0.98449612403100772</v>
      </c>
      <c r="G124" s="373">
        <f>SUM(G122:G123)</f>
        <v>129</v>
      </c>
      <c r="H124" s="373">
        <f>SUM(H122:H123)</f>
        <v>127</v>
      </c>
      <c r="I124" s="41">
        <f t="shared" si="13"/>
        <v>0.98449612403100772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75">
        <f>SUM(D113,D122)</f>
        <v>20</v>
      </c>
      <c r="E125" s="375">
        <f>SUM(E113,E122)</f>
        <v>14</v>
      </c>
      <c r="F125" s="45">
        <f t="shared" si="12"/>
        <v>0.7</v>
      </c>
      <c r="G125" s="46">
        <f>SUM(G113,G122)</f>
        <v>20</v>
      </c>
      <c r="H125" s="46">
        <f>SUM(H113,H122)</f>
        <v>14</v>
      </c>
      <c r="I125" s="45">
        <f t="shared" si="13"/>
        <v>0.7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71">
        <f>SUM(D114,D123)</f>
        <v>469</v>
      </c>
      <c r="E126" s="371">
        <f>SUM(E114,E123)</f>
        <v>446</v>
      </c>
      <c r="F126" s="32">
        <f t="shared" si="12"/>
        <v>0.95095948827292109</v>
      </c>
      <c r="G126" s="371">
        <f>SUM(G114,G123)</f>
        <v>469</v>
      </c>
      <c r="H126" s="371">
        <f>SUM(H114,H123)</f>
        <v>446</v>
      </c>
      <c r="I126" s="32">
        <f t="shared" si="13"/>
        <v>0.95095948827292109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71">
        <f>SUM(D125:D126)</f>
        <v>489</v>
      </c>
      <c r="E127" s="371">
        <f>SUM(E125:E126)</f>
        <v>460</v>
      </c>
      <c r="F127" s="49">
        <f>E127/D127</f>
        <v>0.94069529652351735</v>
      </c>
      <c r="G127" s="375">
        <f>SUM(G125:G126)</f>
        <v>489</v>
      </c>
      <c r="H127" s="375">
        <f>SUM(H125:H126)</f>
        <v>460</v>
      </c>
      <c r="I127" s="49">
        <f>H127/G127</f>
        <v>0.94069529652351735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46</v>
      </c>
      <c r="D135" s="592"/>
      <c r="E135" s="591">
        <v>3</v>
      </c>
      <c r="F135" s="592"/>
      <c r="G135" s="591">
        <v>0</v>
      </c>
      <c r="H135" s="592"/>
      <c r="I135" s="591">
        <v>11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74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74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74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74" t="s">
        <v>99</v>
      </c>
      <c r="C140" s="590">
        <v>113</v>
      </c>
      <c r="D140" s="590"/>
      <c r="E140" s="590">
        <v>81</v>
      </c>
      <c r="F140" s="590"/>
      <c r="G140" s="590">
        <v>0</v>
      </c>
      <c r="H140" s="590"/>
      <c r="I140" s="772">
        <v>10015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185</v>
      </c>
      <c r="D145" s="563"/>
      <c r="E145" s="564"/>
      <c r="F145" s="562" t="s">
        <v>133</v>
      </c>
      <c r="G145" s="563"/>
      <c r="H145" s="563"/>
      <c r="I145" s="564"/>
      <c r="J145" s="563" t="s">
        <v>137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272</v>
      </c>
      <c r="D146" s="736"/>
      <c r="E146" s="737"/>
      <c r="F146" s="750" t="s">
        <v>273</v>
      </c>
      <c r="G146" s="754"/>
      <c r="H146" s="754"/>
      <c r="I146" s="755"/>
      <c r="J146" s="751" t="s">
        <v>274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77" t="s">
        <v>109</v>
      </c>
      <c r="C154" s="377" t="s">
        <v>110</v>
      </c>
      <c r="D154" s="377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v>0</v>
      </c>
      <c r="C155" s="63">
        <f>E45-E44</f>
        <v>65166</v>
      </c>
      <c r="D155" s="73">
        <f>135747</f>
        <v>135747</v>
      </c>
      <c r="E155" s="531" t="s">
        <v>114</v>
      </c>
      <c r="F155" s="531"/>
      <c r="G155" s="531"/>
      <c r="H155" s="72">
        <f>C155+A155+B155-D155</f>
        <v>-70581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20257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78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18224</v>
      </c>
      <c r="H165" s="778"/>
      <c r="I165" s="779"/>
      <c r="J165" s="779"/>
      <c r="K165" s="780"/>
    </row>
    <row r="166" spans="1:11" ht="14">
      <c r="A166" s="376" t="s">
        <v>126</v>
      </c>
      <c r="B166" s="777" t="s">
        <v>127</v>
      </c>
      <c r="C166" s="777"/>
      <c r="D166" s="777"/>
      <c r="E166" s="777"/>
      <c r="F166" s="777"/>
      <c r="G166" s="364">
        <v>1900</v>
      </c>
      <c r="H166" s="778"/>
      <c r="I166" s="779"/>
      <c r="J166" s="779"/>
      <c r="K166" s="780"/>
    </row>
    <row r="167" spans="1:11" ht="14">
      <c r="A167" s="376" t="s">
        <v>128</v>
      </c>
      <c r="B167" s="777" t="s">
        <v>129</v>
      </c>
      <c r="C167" s="777"/>
      <c r="D167" s="777"/>
      <c r="E167" s="777"/>
      <c r="F167" s="777"/>
      <c r="G167" s="378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EE8C9E5F-4256-4B34-B292-D2CB21D0B097}">
      <formula1>"USA, JAPAN"</formula1>
    </dataValidation>
    <dataValidation type="list" allowBlank="1" showInputMessage="1" showErrorMessage="1" sqref="G1" xr:uid="{94766E9F-5EB6-460C-AD23-B8E3D4EE247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7272-418F-41D9-BD21-0B2F9D37F294}">
  <sheetPr codeName="Sheet27">
    <pageSetUpPr fitToPage="1"/>
  </sheetPr>
  <dimension ref="A1:N167"/>
  <sheetViews>
    <sheetView topLeftCell="A17" zoomScaleNormal="100" zoomScaleSheetLayoutView="85" workbookViewId="0">
      <selection activeCell="H143" sqref="H143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81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90" t="s">
        <v>176</v>
      </c>
      <c r="C10" s="61">
        <v>2</v>
      </c>
      <c r="D10" s="396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390" t="s">
        <v>177</v>
      </c>
      <c r="C11" s="61">
        <v>2</v>
      </c>
      <c r="D11" s="39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90" t="s">
        <v>179</v>
      </c>
      <c r="C12" s="61">
        <v>2</v>
      </c>
      <c r="D12" s="396">
        <v>3</v>
      </c>
      <c r="E12" s="770" t="s">
        <v>277</v>
      </c>
      <c r="F12" s="691"/>
      <c r="G12" s="691"/>
      <c r="H12" s="691"/>
      <c r="I12" s="692"/>
    </row>
    <row r="13" spans="1:13">
      <c r="A13" s="690"/>
      <c r="B13" s="390" t="s">
        <v>180</v>
      </c>
      <c r="C13" s="61">
        <v>3</v>
      </c>
      <c r="D13" s="396">
        <v>1</v>
      </c>
      <c r="E13" s="691" t="s">
        <v>268</v>
      </c>
      <c r="F13" s="691"/>
      <c r="G13" s="691"/>
      <c r="H13" s="691"/>
      <c r="I13" s="692"/>
    </row>
    <row r="14" spans="1:13">
      <c r="A14" s="690"/>
      <c r="B14" s="390" t="s">
        <v>12</v>
      </c>
      <c r="C14" s="61">
        <v>0</v>
      </c>
      <c r="D14" s="396">
        <v>0</v>
      </c>
      <c r="E14" s="693"/>
      <c r="F14" s="694"/>
      <c r="G14" s="694"/>
      <c r="H14" s="694"/>
      <c r="I14" s="695"/>
    </row>
    <row r="15" spans="1:13">
      <c r="A15" s="690"/>
      <c r="B15" s="390" t="s">
        <v>13</v>
      </c>
      <c r="C15" s="61">
        <v>2</v>
      </c>
      <c r="D15" s="396">
        <v>2</v>
      </c>
      <c r="E15" s="770" t="s">
        <v>269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93" t="s">
        <v>23</v>
      </c>
      <c r="E21" s="393" t="s">
        <v>24</v>
      </c>
      <c r="F21" s="393" t="s">
        <v>25</v>
      </c>
      <c r="G21" s="393" t="s">
        <v>23</v>
      </c>
      <c r="H21" s="393" t="s">
        <v>24</v>
      </c>
      <c r="I21" s="39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17468</v>
      </c>
      <c r="E23" s="329">
        <v>16243</v>
      </c>
      <c r="F23" s="14">
        <f t="shared" ref="F23:F28" si="0">E23/D23</f>
        <v>0.9298717655140829</v>
      </c>
      <c r="G23" s="332">
        <f>D23+'2019JAN'!G23</f>
        <v>34485</v>
      </c>
      <c r="H23" s="332">
        <f>E23+'2019JAN'!H23</f>
        <v>32243</v>
      </c>
      <c r="I23" s="14">
        <f t="shared" ref="I23:I28" si="1">H23/G23</f>
        <v>0.93498622589531677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17468</v>
      </c>
      <c r="E24" s="330">
        <f>SUM(E23:E23)</f>
        <v>16243</v>
      </c>
      <c r="F24" s="16">
        <f t="shared" si="0"/>
        <v>0.9298717655140829</v>
      </c>
      <c r="G24" s="330">
        <f>SUM(G23:G23)</f>
        <v>34485</v>
      </c>
      <c r="H24" s="330">
        <f>SUM(H23:H23)</f>
        <v>32243</v>
      </c>
      <c r="I24" s="16">
        <f t="shared" si="1"/>
        <v>0.93498622589531677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19894</v>
      </c>
      <c r="E25" s="329">
        <v>18470</v>
      </c>
      <c r="F25" s="14">
        <f t="shared" si="0"/>
        <v>0.92842062933547809</v>
      </c>
      <c r="G25" s="332">
        <f>D25+'2019JAN'!G25</f>
        <v>38817</v>
      </c>
      <c r="H25" s="332">
        <f>E25+'2019JAN'!H25</f>
        <v>36858</v>
      </c>
      <c r="I25" s="14">
        <f t="shared" si="1"/>
        <v>0.94953242136177451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19894</v>
      </c>
      <c r="E27" s="330">
        <f>SUM(E25:E26)</f>
        <v>18470</v>
      </c>
      <c r="F27" s="16">
        <f t="shared" si="0"/>
        <v>0.92842062933547809</v>
      </c>
      <c r="G27" s="330">
        <f>SUM(G25:G26)</f>
        <v>38817</v>
      </c>
      <c r="H27" s="330">
        <f>SUM(H25:H26)</f>
        <v>36858</v>
      </c>
      <c r="I27" s="16">
        <f t="shared" si="1"/>
        <v>0.94953242136177451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37362</v>
      </c>
      <c r="E28" s="331">
        <f>SUM(E24,E27)</f>
        <v>34713</v>
      </c>
      <c r="F28" s="17">
        <f t="shared" si="0"/>
        <v>0.92909908463144375</v>
      </c>
      <c r="G28" s="331">
        <f>SUM(G24,G27)</f>
        <v>73302</v>
      </c>
      <c r="H28" s="331">
        <f>SUM(H24,H27)</f>
        <v>69101</v>
      </c>
      <c r="I28" s="17">
        <f t="shared" si="1"/>
        <v>0.94268914900002732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2759</v>
      </c>
      <c r="F30" s="14">
        <f>E30/D30</f>
        <v>0.95137931034482759</v>
      </c>
      <c r="G30" s="332">
        <f>D30+'2019JAN'!G30</f>
        <v>5800</v>
      </c>
      <c r="H30" s="332">
        <f>E30+'2019JAN'!H30</f>
        <v>5649</v>
      </c>
      <c r="I30" s="14">
        <f>H30/G30</f>
        <v>0.97396551724137936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826</v>
      </c>
      <c r="F31" s="14" t="e">
        <f t="shared" ref="F31:F47" si="2">E31/D31</f>
        <v>#DIV/0!</v>
      </c>
      <c r="G31" s="332">
        <f>D31+'2019JAN'!G31</f>
        <v>0</v>
      </c>
      <c r="H31" s="332">
        <f>E31+'2019JAN'!H31</f>
        <v>5819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3585</v>
      </c>
      <c r="F32" s="14">
        <f t="shared" si="2"/>
        <v>1.2362068965517241</v>
      </c>
      <c r="G32" s="330">
        <f>SUM(G30:G31)</f>
        <v>5800</v>
      </c>
      <c r="H32" s="330">
        <f>SUM(H30:H31)</f>
        <v>11468</v>
      </c>
      <c r="I32" s="14">
        <f t="shared" si="3"/>
        <v>1.9772413793103449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452</v>
      </c>
      <c r="F33" s="14" t="e">
        <f t="shared" si="2"/>
        <v>#DIV/0!</v>
      </c>
      <c r="G33" s="332">
        <f>D33+'2019JAN'!G33</f>
        <v>0</v>
      </c>
      <c r="H33" s="332">
        <f>E33+'2019JAN'!H33</f>
        <v>1209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4037</v>
      </c>
      <c r="F34" s="14">
        <f t="shared" si="2"/>
        <v>1.3920689655172414</v>
      </c>
      <c r="G34" s="334">
        <f>SUM(G32,G33)</f>
        <v>5800</v>
      </c>
      <c r="H34" s="334">
        <f>SUM(H32,H33)</f>
        <v>12677</v>
      </c>
      <c r="I34" s="14">
        <f t="shared" si="3"/>
        <v>2.1856896551724136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D35+'2019JAN'!G35</f>
        <v>72464</v>
      </c>
      <c r="H35" s="332">
        <f>E35+'2019JAN'!H35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72464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3739</v>
      </c>
      <c r="F38" s="14" t="e">
        <f t="shared" si="2"/>
        <v>#DIV/0!</v>
      </c>
      <c r="G38" s="332">
        <f>D38+'2019JAN'!G38</f>
        <v>0</v>
      </c>
      <c r="H38" s="332">
        <f>E38+'2019JAN'!H38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3739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3739</v>
      </c>
      <c r="F41" s="19">
        <f t="shared" si="2"/>
        <v>0.10319606977257673</v>
      </c>
      <c r="G41" s="334">
        <f>SUM(G37,G40)</f>
        <v>72464</v>
      </c>
      <c r="H41" s="334">
        <f>SUM(H37,H40)</f>
        <v>15217</v>
      </c>
      <c r="I41" s="19">
        <f t="shared" si="3"/>
        <v>0.20999392801943034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32709</v>
      </c>
      <c r="F42" s="21">
        <f t="shared" si="2"/>
        <v>2.6167199999999999</v>
      </c>
      <c r="G42" s="342">
        <f>D42+'2019JAN'!G42</f>
        <v>25000</v>
      </c>
      <c r="H42" s="342">
        <f>E42+'2019JAN'!H42</f>
        <v>42918</v>
      </c>
      <c r="I42" s="21">
        <f t="shared" si="3"/>
        <v>1.71672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D43+'2019JAN'!G43</f>
        <v>4000</v>
      </c>
      <c r="H43" s="342">
        <f>E43+'2019JAN'!H43</f>
        <v>451</v>
      </c>
      <c r="I43" s="21">
        <f t="shared" si="3"/>
        <v>0.11275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120000</v>
      </c>
      <c r="F44" s="21">
        <f t="shared" si="2"/>
        <v>3</v>
      </c>
      <c r="G44" s="342">
        <f>D44+'2019JAN'!G44</f>
        <v>80000</v>
      </c>
      <c r="H44" s="342">
        <f>E44+'2019JAN'!H44</f>
        <v>120000</v>
      </c>
      <c r="I44" s="21">
        <f t="shared" si="3"/>
        <v>1.5</v>
      </c>
      <c r="J44" s="813" t="s">
        <v>278</v>
      </c>
      <c r="K44" s="813"/>
      <c r="L44" s="813"/>
      <c r="M44" s="814"/>
    </row>
    <row r="45" spans="1:13" s="8" customFormat="1">
      <c r="A45" s="655" t="s">
        <v>46</v>
      </c>
      <c r="B45" s="656"/>
      <c r="C45" s="657"/>
      <c r="D45" s="339">
        <f>SUM(D28,D34,D41,D42:D44)</f>
        <v>130994</v>
      </c>
      <c r="E45" s="339">
        <f>SUM(E28,E34,E41,E42:E44)</f>
        <v>195198</v>
      </c>
      <c r="F45" s="22">
        <f t="shared" si="2"/>
        <v>1.4901293189001024</v>
      </c>
      <c r="G45" s="339">
        <f>SUM(G28,G34,G41,G42:G44)</f>
        <v>260566</v>
      </c>
      <c r="H45" s="339">
        <f>SUM(H28,H34,H41,H42:H44)</f>
        <v>260364</v>
      </c>
      <c r="I45" s="22">
        <f t="shared" si="3"/>
        <v>0.99922476455101583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118494</v>
      </c>
      <c r="E46" s="339">
        <f>E45-E42</f>
        <v>162489</v>
      </c>
      <c r="F46" s="22">
        <f t="shared" si="2"/>
        <v>1.3712846220061776</v>
      </c>
      <c r="G46" s="339">
        <f>G45-G42</f>
        <v>235566</v>
      </c>
      <c r="H46" s="339">
        <f>H45-H42</f>
        <v>217446</v>
      </c>
      <c r="I46" s="22">
        <f t="shared" si="3"/>
        <v>0.92307888235144286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78494</v>
      </c>
      <c r="E47" s="340">
        <f>E46-E44</f>
        <v>42489</v>
      </c>
      <c r="F47" s="23">
        <f t="shared" si="2"/>
        <v>0.54130251993782963</v>
      </c>
      <c r="G47" s="340">
        <f>G46-G44</f>
        <v>155566</v>
      </c>
      <c r="H47" s="340">
        <f>H46-H44</f>
        <v>97446</v>
      </c>
      <c r="I47" s="23">
        <f t="shared" si="3"/>
        <v>0.62639651337695901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91" t="s">
        <v>23</v>
      </c>
      <c r="E52" s="391" t="s">
        <v>24</v>
      </c>
      <c r="F52" s="391" t="s">
        <v>25</v>
      </c>
      <c r="G52" s="391" t="s">
        <v>23</v>
      </c>
      <c r="H52" s="391" t="s">
        <v>24</v>
      </c>
      <c r="I52" s="391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396">
        <v>8</v>
      </c>
      <c r="F53" s="28">
        <f t="shared" ref="F53:F79" si="4">E53/D53</f>
        <v>0.4</v>
      </c>
      <c r="G53" s="66">
        <f>D53+'2019JAN'!G53</f>
        <v>40</v>
      </c>
      <c r="H53" s="66">
        <f>E53+'2019JAN'!H53</f>
        <v>22</v>
      </c>
      <c r="I53" s="28">
        <f t="shared" ref="I53:I79" si="5">H53/G53</f>
        <v>0.55000000000000004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462</v>
      </c>
      <c r="E54" s="396">
        <v>459</v>
      </c>
      <c r="F54" s="28">
        <f t="shared" si="4"/>
        <v>0.99350649350649356</v>
      </c>
      <c r="G54" s="66">
        <f>D54+'2019JAN'!G54</f>
        <v>931</v>
      </c>
      <c r="H54" s="66">
        <f>E54+'2019JAN'!H54</f>
        <v>905</v>
      </c>
      <c r="I54" s="28">
        <f t="shared" si="5"/>
        <v>0.97207303974221271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94">
        <f>SUM(D53:D54)</f>
        <v>482</v>
      </c>
      <c r="E55" s="394">
        <f>SUM(E53:E54)</f>
        <v>467</v>
      </c>
      <c r="F55" s="30">
        <f t="shared" si="4"/>
        <v>0.96887966804979253</v>
      </c>
      <c r="G55" s="394">
        <f>SUM(G53:G54)</f>
        <v>971</v>
      </c>
      <c r="H55" s="394">
        <f>SUM(H53:H54)</f>
        <v>927</v>
      </c>
      <c r="I55" s="30">
        <f t="shared" si="5"/>
        <v>0.95468589083419153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396">
        <v>29</v>
      </c>
      <c r="F56" s="28">
        <f t="shared" si="4"/>
        <v>0.3493975903614458</v>
      </c>
      <c r="G56" s="66">
        <f>D56+'2019JAN'!G56</f>
        <v>166</v>
      </c>
      <c r="H56" s="66">
        <f>E56+'2019JAN'!H56</f>
        <v>76</v>
      </c>
      <c r="I56" s="28">
        <f t="shared" si="5"/>
        <v>0.45783132530120479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1169</v>
      </c>
      <c r="E57" s="396">
        <v>1243</v>
      </c>
      <c r="F57" s="28">
        <f t="shared" si="4"/>
        <v>1.0633019674935842</v>
      </c>
      <c r="G57" s="66">
        <f>D57+'2019JAN'!G57</f>
        <v>2356</v>
      </c>
      <c r="H57" s="66">
        <f>E57+'2019JAN'!H57</f>
        <v>2457</v>
      </c>
      <c r="I57" s="28">
        <f t="shared" si="5"/>
        <v>1.0428692699490663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88">
        <f>SUM(D56:D57)</f>
        <v>1252</v>
      </c>
      <c r="E58" s="388">
        <f>SUM(E56:E57)</f>
        <v>1272</v>
      </c>
      <c r="F58" s="28">
        <f t="shared" si="4"/>
        <v>1.0159744408945688</v>
      </c>
      <c r="G58" s="388">
        <f>SUM(G56:G57)</f>
        <v>2522</v>
      </c>
      <c r="H58" s="388">
        <f>SUM(H56:H57)</f>
        <v>2533</v>
      </c>
      <c r="I58" s="31">
        <f t="shared" si="5"/>
        <v>1.0043616177636796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84">
        <f>SUM(D53,D56)</f>
        <v>103</v>
      </c>
      <c r="E59" s="384">
        <f>SUM(E53,E56)</f>
        <v>37</v>
      </c>
      <c r="F59" s="32">
        <f t="shared" si="4"/>
        <v>0.35922330097087379</v>
      </c>
      <c r="G59" s="384">
        <f>SUM(G53,G56)</f>
        <v>206</v>
      </c>
      <c r="H59" s="384">
        <f>SUM(H53,H56)</f>
        <v>98</v>
      </c>
      <c r="I59" s="32">
        <f t="shared" si="5"/>
        <v>0.47572815533980584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84">
        <f>SUM(D54,D57)</f>
        <v>1631</v>
      </c>
      <c r="E60" s="384">
        <f>SUM(E54,E57)</f>
        <v>1702</v>
      </c>
      <c r="F60" s="32">
        <f t="shared" si="4"/>
        <v>1.0435315757204169</v>
      </c>
      <c r="G60" s="384">
        <f>SUM(G54,G57)</f>
        <v>3287</v>
      </c>
      <c r="H60" s="384">
        <f>SUM(H54,H57)</f>
        <v>3362</v>
      </c>
      <c r="I60" s="32">
        <f t="shared" si="5"/>
        <v>1.0228171585031944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92">
        <f>SUM(D59:D60)</f>
        <v>1734</v>
      </c>
      <c r="E61" s="392">
        <f>SUM(E59:E60)</f>
        <v>1739</v>
      </c>
      <c r="F61" s="33">
        <f t="shared" si="4"/>
        <v>1.002883506343714</v>
      </c>
      <c r="G61" s="392">
        <f>SUM(G59:G60)</f>
        <v>3493</v>
      </c>
      <c r="H61" s="392">
        <f>SUM(H59:H60)</f>
        <v>3460</v>
      </c>
      <c r="I61" s="33">
        <f t="shared" si="5"/>
        <v>0.99055253363870599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390">
        <f>E71/10</f>
        <v>27.8</v>
      </c>
      <c r="F62" s="28">
        <f t="shared" si="4"/>
        <v>0.39714285714285713</v>
      </c>
      <c r="G62" s="66">
        <f>D62+'2019JAN'!G62</f>
        <v>140</v>
      </c>
      <c r="H62" s="66">
        <f>E62+'2019JAN'!H62</f>
        <v>76.5</v>
      </c>
      <c r="I62" s="28">
        <f t="shared" si="5"/>
        <v>0.54642857142857137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1608</v>
      </c>
      <c r="E63" s="390">
        <f>E72/10</f>
        <v>1596.5</v>
      </c>
      <c r="F63" s="28">
        <f t="shared" si="4"/>
        <v>0.99284825870646765</v>
      </c>
      <c r="G63" s="248">
        <f>D63+'2019JAN'!G63</f>
        <v>3240</v>
      </c>
      <c r="H63" s="66">
        <f>E63+'2019JAN'!H63</f>
        <v>3147.8</v>
      </c>
      <c r="I63" s="28">
        <f t="shared" si="5"/>
        <v>0.9715432098765433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1678</v>
      </c>
      <c r="E64" s="394">
        <f>SUM(E62:E63)</f>
        <v>1624.3</v>
      </c>
      <c r="F64" s="30">
        <f t="shared" si="4"/>
        <v>0.96799761620977354</v>
      </c>
      <c r="G64" s="394">
        <f>SUM(G62:G63)</f>
        <v>3380</v>
      </c>
      <c r="H64" s="394">
        <f>SUM(H62:H63)</f>
        <v>3224.3</v>
      </c>
      <c r="I64" s="30">
        <f t="shared" si="5"/>
        <v>0.95393491124260366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390">
        <f>E74/10</f>
        <v>35.200000000000003</v>
      </c>
      <c r="F65" s="28">
        <f t="shared" si="4"/>
        <v>0.28387096774193549</v>
      </c>
      <c r="G65" s="66">
        <f>D65+'2019JAN'!G65</f>
        <v>248</v>
      </c>
      <c r="H65" s="66">
        <f>E65+'2019JAN'!H65</f>
        <v>98.2</v>
      </c>
      <c r="I65" s="28">
        <f t="shared" si="5"/>
        <v>0.3959677419354839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1742</v>
      </c>
      <c r="E66" s="390">
        <f>E75/10</f>
        <v>1811.8</v>
      </c>
      <c r="F66" s="28">
        <f t="shared" si="4"/>
        <v>1.0400688863375431</v>
      </c>
      <c r="G66" s="66">
        <f>D66+'2019JAN'!G66</f>
        <v>3511</v>
      </c>
      <c r="H66" s="66">
        <f>E66+'2019JAN'!H66</f>
        <v>3587.6</v>
      </c>
      <c r="I66" s="28">
        <f t="shared" si="5"/>
        <v>1.0218171461122187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88">
        <f>SUM(D65:D66)</f>
        <v>1866</v>
      </c>
      <c r="E67" s="388">
        <f>SUM(E65:E66)</f>
        <v>1847</v>
      </c>
      <c r="F67" s="31">
        <f t="shared" si="4"/>
        <v>0.98981779206859588</v>
      </c>
      <c r="G67" s="388">
        <f>SUM(G65:G66)</f>
        <v>3759</v>
      </c>
      <c r="H67" s="388">
        <f>SUM(H65:H66)</f>
        <v>3685.7999999999997</v>
      </c>
      <c r="I67" s="31">
        <f t="shared" si="5"/>
        <v>0.9805267358339983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84">
        <f>SUM(D62,D65)</f>
        <v>194</v>
      </c>
      <c r="E68" s="384">
        <f>SUM(E62,E65)</f>
        <v>63</v>
      </c>
      <c r="F68" s="32">
        <f t="shared" si="4"/>
        <v>0.32474226804123713</v>
      </c>
      <c r="G68" s="384">
        <f>SUM(G62,G65)</f>
        <v>388</v>
      </c>
      <c r="H68" s="384">
        <f>SUM(H62,H65)</f>
        <v>174.7</v>
      </c>
      <c r="I68" s="32">
        <f t="shared" si="5"/>
        <v>0.45025773195876284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84">
        <f>SUM(D63,D66)</f>
        <v>3350</v>
      </c>
      <c r="E69" s="384">
        <f>SUM(E63,E66)</f>
        <v>3408.3</v>
      </c>
      <c r="F69" s="32">
        <f t="shared" si="4"/>
        <v>1.0174029850746269</v>
      </c>
      <c r="G69" s="384">
        <f>SUM(G63,G66)</f>
        <v>6751</v>
      </c>
      <c r="H69" s="384">
        <f>SUM(H63,H66)</f>
        <v>6735.4</v>
      </c>
      <c r="I69" s="32">
        <f t="shared" si="5"/>
        <v>0.99768923122500364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92">
        <f>SUM(D68:D69)</f>
        <v>3544</v>
      </c>
      <c r="E70" s="392">
        <f>SUM(E68:E69)</f>
        <v>3471.3</v>
      </c>
      <c r="F70" s="34">
        <f t="shared" si="4"/>
        <v>0.9794864559819414</v>
      </c>
      <c r="G70" s="392">
        <f>SUM(G68:G69)</f>
        <v>7139</v>
      </c>
      <c r="H70" s="392">
        <f>SUM(H68:H69)</f>
        <v>6910.0999999999995</v>
      </c>
      <c r="I70" s="34">
        <f t="shared" si="5"/>
        <v>0.96793668581033754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1392</v>
      </c>
      <c r="E71" s="396">
        <v>278</v>
      </c>
      <c r="F71" s="28">
        <f t="shared" si="4"/>
        <v>0.19971264367816091</v>
      </c>
      <c r="G71" s="179">
        <f>D71+'2019JAN'!G71</f>
        <v>2088</v>
      </c>
      <c r="H71" s="66">
        <f>E71+'2019JAN'!H71</f>
        <v>765</v>
      </c>
      <c r="I71" s="28">
        <f t="shared" si="5"/>
        <v>0.36637931034482757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16076</v>
      </c>
      <c r="E72" s="341">
        <f>E23-E71</f>
        <v>15965</v>
      </c>
      <c r="F72" s="28">
        <f t="shared" si="4"/>
        <v>0.99309529733764623</v>
      </c>
      <c r="G72" s="248">
        <f>D72+'2019JAN'!G72</f>
        <v>32397</v>
      </c>
      <c r="H72" s="332">
        <f>E72+'2019JAN'!H72</f>
        <v>31478</v>
      </c>
      <c r="I72" s="28">
        <f t="shared" si="5"/>
        <v>0.97163317591134979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94">
        <f>SUM(D71:D72)</f>
        <v>17468</v>
      </c>
      <c r="E73" s="394">
        <f>SUM(E71:E72)</f>
        <v>16243</v>
      </c>
      <c r="F73" s="30">
        <f t="shared" si="4"/>
        <v>0.9298717655140829</v>
      </c>
      <c r="G73" s="394">
        <f>SUM(G71:G72)</f>
        <v>34485</v>
      </c>
      <c r="H73" s="394">
        <f>SUM(H71:H72)</f>
        <v>32243</v>
      </c>
      <c r="I73" s="30">
        <f t="shared" si="5"/>
        <v>0.93498622589531677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2473</v>
      </c>
      <c r="E74" s="396">
        <v>352</v>
      </c>
      <c r="F74" s="28">
        <f t="shared" si="4"/>
        <v>0.14233724221593205</v>
      </c>
      <c r="G74" s="179">
        <f>D74+'2019JAN'!G74</f>
        <v>3710</v>
      </c>
      <c r="H74" s="66">
        <f>E74+'2019JAN'!H74</f>
        <v>982</v>
      </c>
      <c r="I74" s="28">
        <f t="shared" si="5"/>
        <v>0.26469002695417787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17421</v>
      </c>
      <c r="E75" s="395">
        <f>E25-E74</f>
        <v>18118</v>
      </c>
      <c r="F75" s="28">
        <f t="shared" si="4"/>
        <v>1.0400091843177774</v>
      </c>
      <c r="G75" s="248">
        <f>D75+'2019JAN'!G75</f>
        <v>35107</v>
      </c>
      <c r="H75" s="66">
        <f>E75+'2019JAN'!H75</f>
        <v>35876</v>
      </c>
      <c r="I75" s="28">
        <f t="shared" si="5"/>
        <v>1.0219044634973082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88">
        <f>SUM(D74:D75)</f>
        <v>19894</v>
      </c>
      <c r="E76" s="388">
        <f>SUM(E74:E75)</f>
        <v>18470</v>
      </c>
      <c r="F76" s="31">
        <f t="shared" si="4"/>
        <v>0.92842062933547809</v>
      </c>
      <c r="G76" s="388">
        <f>SUM(G74:G75)</f>
        <v>38817</v>
      </c>
      <c r="H76" s="388">
        <f>SUM(H74:H75)</f>
        <v>36858</v>
      </c>
      <c r="I76" s="31">
        <f t="shared" si="5"/>
        <v>0.94953242136177451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84">
        <f>SUM(D71,D74)</f>
        <v>3865</v>
      </c>
      <c r="E77" s="384">
        <f>SUM(E71,E74)</f>
        <v>630</v>
      </c>
      <c r="F77" s="32">
        <f t="shared" si="4"/>
        <v>0.16300129366106081</v>
      </c>
      <c r="G77" s="384">
        <f>SUM(G71,G74)</f>
        <v>5798</v>
      </c>
      <c r="H77" s="384">
        <f>SUM(H71,H74)</f>
        <v>1747</v>
      </c>
      <c r="I77" s="32">
        <f t="shared" si="5"/>
        <v>0.30131079682649187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84">
        <f>SUM(D72,D75)</f>
        <v>33497</v>
      </c>
      <c r="E78" s="384">
        <f>SUM(E72,E75)</f>
        <v>34083</v>
      </c>
      <c r="F78" s="32">
        <f t="shared" si="4"/>
        <v>1.0174941039496075</v>
      </c>
      <c r="G78" s="384">
        <f>SUM(G72,G75)</f>
        <v>67504</v>
      </c>
      <c r="H78" s="384">
        <f>SUM(H72,H75)</f>
        <v>67354</v>
      </c>
      <c r="I78" s="32">
        <f t="shared" si="5"/>
        <v>0.99777790945721734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92">
        <f>SUM(D77:D78)</f>
        <v>37362</v>
      </c>
      <c r="E79" s="392">
        <f>SUM(E77:E78)</f>
        <v>34713</v>
      </c>
      <c r="F79" s="34">
        <f t="shared" si="4"/>
        <v>0.92909908463144375</v>
      </c>
      <c r="G79" s="392">
        <f>SUM(G77:G78)</f>
        <v>73302</v>
      </c>
      <c r="H79" s="392">
        <f>SUM(H77:H78)</f>
        <v>69101</v>
      </c>
      <c r="I79" s="34">
        <f t="shared" si="5"/>
        <v>0.94268914900002732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467</v>
      </c>
      <c r="E87" s="130"/>
      <c r="F87" s="134">
        <f>D87+'2019JAN'!F87</f>
        <v>927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8</v>
      </c>
      <c r="E88" s="128"/>
      <c r="F88" s="134">
        <f>D88+'2019JAN'!F88</f>
        <v>22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4.2826552462526769E-3</v>
      </c>
      <c r="F89" s="134">
        <f>D89+'2019JAN'!F89</f>
        <v>2</v>
      </c>
      <c r="G89" s="128">
        <f>F89/F87</f>
        <v>2.1574973031283709E-3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</v>
      </c>
      <c r="E90" s="128">
        <f>D90/D92</f>
        <v>4.9751243781094526E-3</v>
      </c>
      <c r="F90" s="134">
        <f>D90+'2019JAN'!F90</f>
        <v>109</v>
      </c>
      <c r="G90" s="128">
        <f>F90/F92</f>
        <v>0.26520681265206814</v>
      </c>
      <c r="H90" s="128"/>
    </row>
    <row r="91" spans="1:13" ht="15" customHeight="1">
      <c r="A91" s="775"/>
      <c r="B91" s="776" t="s">
        <v>202</v>
      </c>
      <c r="C91" s="776"/>
      <c r="D91" s="131">
        <v>210</v>
      </c>
      <c r="E91" s="128">
        <f>D91/D92</f>
        <v>1.044776119402985</v>
      </c>
      <c r="F91" s="134">
        <f>D91+'2019JAN'!F91</f>
        <v>326</v>
      </c>
      <c r="G91" s="128">
        <f>F91/F92</f>
        <v>0.79318734793187351</v>
      </c>
      <c r="H91" s="128"/>
    </row>
    <row r="92" spans="1:13" ht="15" customHeight="1">
      <c r="A92" s="775"/>
      <c r="B92" s="776" t="s">
        <v>203</v>
      </c>
      <c r="C92" s="776"/>
      <c r="D92" s="131">
        <v>201</v>
      </c>
      <c r="E92" s="130"/>
      <c r="F92" s="134">
        <f>D92+'2019JAN'!F92</f>
        <v>411</v>
      </c>
      <c r="G92" s="130"/>
      <c r="H92" s="128"/>
    </row>
    <row r="93" spans="1:13">
      <c r="C93" s="126" t="s">
        <v>210</v>
      </c>
      <c r="D93" s="132">
        <v>668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91" t="s">
        <v>23</v>
      </c>
      <c r="E97" s="391" t="s">
        <v>24</v>
      </c>
      <c r="F97" s="391" t="s">
        <v>25</v>
      </c>
      <c r="G97" s="391" t="s">
        <v>23</v>
      </c>
      <c r="H97" s="391" t="s">
        <v>24</v>
      </c>
      <c r="I97" s="391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96">
        <v>0</v>
      </c>
      <c r="F98" s="37" t="e">
        <f>E98/D98</f>
        <v>#DIV/0!</v>
      </c>
      <c r="G98" s="66">
        <f>D98+'2019JAN'!G98</f>
        <v>0</v>
      </c>
      <c r="H98" s="66">
        <f>E98+'2019JAN'!H98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396">
        <v>21</v>
      </c>
      <c r="F99" s="28">
        <f t="shared" ref="F99:F115" si="6">E99/D99</f>
        <v>0.53846153846153844</v>
      </c>
      <c r="G99" s="66">
        <f>D99+'2019JAN'!G99</f>
        <v>78</v>
      </c>
      <c r="H99" s="66">
        <f>E99+'2019JAN'!H99</f>
        <v>42</v>
      </c>
      <c r="I99" s="28">
        <f t="shared" ref="I99:I115" si="7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94">
        <f>SUM(D98:D99)</f>
        <v>39</v>
      </c>
      <c r="E100" s="394">
        <f>SUM(E98:E99)</f>
        <v>21</v>
      </c>
      <c r="F100" s="30">
        <f t="shared" si="6"/>
        <v>0.53846153846153844</v>
      </c>
      <c r="G100" s="394">
        <f>SUM(G98:G99)</f>
        <v>78</v>
      </c>
      <c r="H100" s="394">
        <f>SUM(H98:H99)</f>
        <v>42</v>
      </c>
      <c r="I100" s="30">
        <f t="shared" si="7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96">
        <v>0</v>
      </c>
      <c r="F101" s="28" t="e">
        <f t="shared" si="6"/>
        <v>#DIV/0!</v>
      </c>
      <c r="G101" s="66">
        <f>D101+'2019JAN'!G101</f>
        <v>0</v>
      </c>
      <c r="H101" s="66">
        <f>E101+'2019JAN'!H101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396">
        <v>9</v>
      </c>
      <c r="F102" s="28">
        <f t="shared" si="6"/>
        <v>1</v>
      </c>
      <c r="G102" s="66">
        <f>D102+'2019JAN'!G102</f>
        <v>18</v>
      </c>
      <c r="H102" s="66">
        <f>E102+'2019JAN'!H102</f>
        <v>18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94">
        <f>SUM(D101:D102)</f>
        <v>9</v>
      </c>
      <c r="E103" s="394">
        <f>SUM(E101:E102)</f>
        <v>9</v>
      </c>
      <c r="F103" s="30">
        <f t="shared" si="6"/>
        <v>1</v>
      </c>
      <c r="G103" s="394">
        <f>SUM(G101:G102)</f>
        <v>18</v>
      </c>
      <c r="H103" s="394">
        <f>SUM(H101:H102)</f>
        <v>18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9</v>
      </c>
      <c r="E104" s="396">
        <v>0</v>
      </c>
      <c r="F104" s="28">
        <f t="shared" si="6"/>
        <v>0</v>
      </c>
      <c r="G104" s="66">
        <f>D104+'2019JAN'!G104</f>
        <v>19</v>
      </c>
      <c r="H104" s="66">
        <f>E104+'2019JAN'!H104</f>
        <v>2</v>
      </c>
      <c r="I104" s="28">
        <f t="shared" si="7"/>
        <v>0.10526315789473684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81</v>
      </c>
      <c r="E105" s="396">
        <v>73</v>
      </c>
      <c r="F105" s="28">
        <f t="shared" si="6"/>
        <v>0.90123456790123457</v>
      </c>
      <c r="G105" s="66">
        <f>D105+'2019JAN'!G105</f>
        <v>152</v>
      </c>
      <c r="H105" s="66">
        <f>E105+'2019JAN'!H105</f>
        <v>145</v>
      </c>
      <c r="I105" s="28">
        <f t="shared" si="7"/>
        <v>0.95394736842105265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94">
        <f>SUM(D104:D105)</f>
        <v>90</v>
      </c>
      <c r="E106" s="394">
        <f>SUM(E104:E105)</f>
        <v>73</v>
      </c>
      <c r="F106" s="30">
        <f t="shared" si="6"/>
        <v>0.81111111111111112</v>
      </c>
      <c r="G106" s="394">
        <f>SUM(G104:G105)</f>
        <v>171</v>
      </c>
      <c r="H106" s="394">
        <f>SUM(H104:H105)</f>
        <v>147</v>
      </c>
      <c r="I106" s="30">
        <f t="shared" si="7"/>
        <v>0.85964912280701755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96">
        <v>0</v>
      </c>
      <c r="F107" s="28">
        <f>E107/D107</f>
        <v>0</v>
      </c>
      <c r="G107" s="66">
        <f>D107+'2019JAN'!G107</f>
        <v>2</v>
      </c>
      <c r="H107" s="66">
        <f>E107+'2019JAN'!H107</f>
        <v>1</v>
      </c>
      <c r="I107" s="28">
        <f>H107/G107</f>
        <v>0.5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139</v>
      </c>
      <c r="E108" s="396">
        <v>137</v>
      </c>
      <c r="F108" s="28">
        <f>E108/D108</f>
        <v>0.98561151079136688</v>
      </c>
      <c r="G108" s="66">
        <f>D108+'2019JAN'!G108</f>
        <v>278</v>
      </c>
      <c r="H108" s="66">
        <f>E108+'2019JAN'!H108</f>
        <v>273</v>
      </c>
      <c r="I108" s="28">
        <f t="shared" si="7"/>
        <v>0.98201438848920863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94">
        <f>SUM(D107:D108)</f>
        <v>141</v>
      </c>
      <c r="E109" s="394">
        <f>SUM(E107:E108)</f>
        <v>137</v>
      </c>
      <c r="F109" s="30">
        <f t="shared" si="6"/>
        <v>0.97163120567375882</v>
      </c>
      <c r="G109" s="394">
        <f>SUM(G107:G108)</f>
        <v>280</v>
      </c>
      <c r="H109" s="394">
        <f>SUM(H107:H108)</f>
        <v>274</v>
      </c>
      <c r="I109" s="30">
        <f t="shared" si="7"/>
        <v>0.97857142857142854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396">
        <v>8</v>
      </c>
      <c r="F110" s="30">
        <f>E110/D110</f>
        <v>0.88888888888888884</v>
      </c>
      <c r="G110" s="66">
        <f>D110+'2019JAN'!G110</f>
        <v>19</v>
      </c>
      <c r="H110" s="66">
        <f>E110+'2019JAN'!H110</f>
        <v>16</v>
      </c>
      <c r="I110" s="30">
        <f>H110/G110</f>
        <v>0.84210526315789469</v>
      </c>
      <c r="J110" s="385"/>
      <c r="K110" s="386"/>
      <c r="L110" s="386"/>
      <c r="M110" s="387"/>
    </row>
    <row r="111" spans="1:13">
      <c r="A111" s="553"/>
      <c r="B111" s="803"/>
      <c r="C111" s="27" t="s">
        <v>70</v>
      </c>
      <c r="D111" s="65">
        <v>92</v>
      </c>
      <c r="E111" s="396">
        <v>92</v>
      </c>
      <c r="F111" s="30">
        <f t="shared" ref="F111:F112" si="8">E111/D111</f>
        <v>1</v>
      </c>
      <c r="G111" s="66">
        <f>D111+'2019JAN'!G111</f>
        <v>174</v>
      </c>
      <c r="H111" s="66">
        <f>E111+'2019JAN'!H111</f>
        <v>176</v>
      </c>
      <c r="I111" s="30">
        <f t="shared" ref="I111:I112" si="9">H111/G111</f>
        <v>1.0114942528735633</v>
      </c>
      <c r="J111" s="385"/>
      <c r="K111" s="386"/>
      <c r="L111" s="386"/>
      <c r="M111" s="387"/>
    </row>
    <row r="112" spans="1:13">
      <c r="A112" s="553"/>
      <c r="B112" s="804"/>
      <c r="C112" s="38" t="s">
        <v>166</v>
      </c>
      <c r="D112" s="394">
        <f>SUM(D110:D111)</f>
        <v>101</v>
      </c>
      <c r="E112" s="394">
        <f>SUM(E110:E111)</f>
        <v>100</v>
      </c>
      <c r="F112" s="30">
        <f t="shared" si="8"/>
        <v>0.99009900990099009</v>
      </c>
      <c r="G112" s="394">
        <f>SUM(G110:G111)</f>
        <v>193</v>
      </c>
      <c r="H112" s="394">
        <f>SUM(H110:H111)</f>
        <v>192</v>
      </c>
      <c r="I112" s="30">
        <f t="shared" si="9"/>
        <v>0.99481865284974091</v>
      </c>
      <c r="J112" s="385"/>
      <c r="K112" s="386"/>
      <c r="L112" s="386"/>
      <c r="M112" s="387"/>
    </row>
    <row r="113" spans="1:13">
      <c r="A113" s="553"/>
      <c r="B113" s="611" t="s">
        <v>46</v>
      </c>
      <c r="C113" s="39" t="s">
        <v>69</v>
      </c>
      <c r="D113" s="388">
        <f>SUM(D98,D101,D104,D107,D110)</f>
        <v>20</v>
      </c>
      <c r="E113" s="388">
        <f>SUM(E98,E101,E104,E107,E110)</f>
        <v>8</v>
      </c>
      <c r="F113" s="31">
        <f t="shared" si="6"/>
        <v>0.4</v>
      </c>
      <c r="G113" s="388">
        <f>SUM(G98,G101,G104,G107,G110)</f>
        <v>40</v>
      </c>
      <c r="H113" s="388">
        <f>SUM(H98,H101,H104,H107,H110)</f>
        <v>19</v>
      </c>
      <c r="I113" s="31">
        <f t="shared" si="7"/>
        <v>0.47499999999999998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88">
        <f>SUM(D99,D102,D105,D108,D111)</f>
        <v>360</v>
      </c>
      <c r="E114" s="388">
        <f>SUM(E99,E102,E105,E108,E111)</f>
        <v>332</v>
      </c>
      <c r="F114" s="31">
        <f t="shared" si="6"/>
        <v>0.92222222222222228</v>
      </c>
      <c r="G114" s="388">
        <f>SUM(G99,G102,G105,G108,G111)</f>
        <v>700</v>
      </c>
      <c r="H114" s="388">
        <f>SUM(H99,H102,H105,H108,H111)</f>
        <v>654</v>
      </c>
      <c r="I114" s="31">
        <f t="shared" si="7"/>
        <v>0.93428571428571427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89">
        <f>SUM(D113:D114)</f>
        <v>380</v>
      </c>
      <c r="E115" s="389">
        <f>SUM(E113:E114)</f>
        <v>340</v>
      </c>
      <c r="F115" s="41">
        <f t="shared" si="6"/>
        <v>0.89473684210526316</v>
      </c>
      <c r="G115" s="389">
        <f>SUM(G113:G114)</f>
        <v>740</v>
      </c>
      <c r="H115" s="389">
        <f>SUM(H113:H114)</f>
        <v>673</v>
      </c>
      <c r="I115" s="41">
        <f t="shared" si="7"/>
        <v>0.9094594594594595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0</v>
      </c>
      <c r="E116" s="64">
        <v>0</v>
      </c>
      <c r="F116" s="43" t="e">
        <f>E116/D116</f>
        <v>#DIV/0!</v>
      </c>
      <c r="G116" s="70">
        <f>D116+'2019JAN'!G116</f>
        <v>0</v>
      </c>
      <c r="H116" s="70">
        <f>E116+'2019JAN'!H116</f>
        <v>1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396">
        <v>80</v>
      </c>
      <c r="F117" s="28">
        <f t="shared" ref="F117:F126" si="10">E117/D117</f>
        <v>1.0389610389610389</v>
      </c>
      <c r="G117" s="71">
        <f>D117+'2019JAN'!G117</f>
        <v>154</v>
      </c>
      <c r="H117" s="71">
        <f>E117+'2019JAN'!H117</f>
        <v>159</v>
      </c>
      <c r="I117" s="28">
        <f t="shared" ref="I117:I126" si="11">H117/G117</f>
        <v>1.0324675324675325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94">
        <f>SUM(D116:D117)</f>
        <v>77</v>
      </c>
      <c r="E118" s="394">
        <f>SUM(E116:E117)</f>
        <v>80</v>
      </c>
      <c r="F118" s="30">
        <f t="shared" si="10"/>
        <v>1.0389610389610389</v>
      </c>
      <c r="G118" s="394">
        <f>SUM(G116:G117)</f>
        <v>154</v>
      </c>
      <c r="H118" s="394">
        <f>SUM(H116:H117)</f>
        <v>160</v>
      </c>
      <c r="I118" s="30">
        <f t="shared" si="11"/>
        <v>1.0389610389610389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96">
        <v>0</v>
      </c>
      <c r="F119" s="28" t="e">
        <f t="shared" si="10"/>
        <v>#DIV/0!</v>
      </c>
      <c r="G119" s="66">
        <f>D119+'2019JAN'!G119</f>
        <v>0</v>
      </c>
      <c r="H119" s="66">
        <f>E119+'2019JAN'!H119</f>
        <v>2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396">
        <v>47</v>
      </c>
      <c r="F120" s="28">
        <f t="shared" si="10"/>
        <v>0.90384615384615385</v>
      </c>
      <c r="G120" s="66">
        <f>D120+'2019JAN'!G120</f>
        <v>104</v>
      </c>
      <c r="H120" s="66">
        <f>E120+'2019JAN'!H120</f>
        <v>92</v>
      </c>
      <c r="I120" s="28">
        <f t="shared" si="11"/>
        <v>0.88461538461538458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94">
        <f>SUM(D119:D120)</f>
        <v>52</v>
      </c>
      <c r="E121" s="394">
        <f>SUM(E119:E120)</f>
        <v>47</v>
      </c>
      <c r="F121" s="30">
        <f t="shared" si="10"/>
        <v>0.90384615384615385</v>
      </c>
      <c r="G121" s="394">
        <f>SUM(G119:G120)</f>
        <v>104</v>
      </c>
      <c r="H121" s="394">
        <f>SUM(H119:H120)</f>
        <v>94</v>
      </c>
      <c r="I121" s="30">
        <f t="shared" si="11"/>
        <v>0.90384615384615385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88">
        <f>SUM(D116,D119)</f>
        <v>0</v>
      </c>
      <c r="E122" s="388">
        <f>SUM(E116,E119)</f>
        <v>0</v>
      </c>
      <c r="F122" s="30" t="e">
        <f t="shared" si="10"/>
        <v>#DIV/0!</v>
      </c>
      <c r="G122" s="388">
        <f>SUM(G116,G119)</f>
        <v>0</v>
      </c>
      <c r="H122" s="388">
        <f>SUM(H116,H119)</f>
        <v>3</v>
      </c>
      <c r="I122" s="30" t="e">
        <f t="shared" si="11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88">
        <f>SUM(D117,D120)</f>
        <v>129</v>
      </c>
      <c r="E123" s="388">
        <f>SUM(E117,E120)</f>
        <v>127</v>
      </c>
      <c r="F123" s="30">
        <f t="shared" si="10"/>
        <v>0.98449612403100772</v>
      </c>
      <c r="G123" s="388">
        <f>SUM(G117,G120)</f>
        <v>258</v>
      </c>
      <c r="H123" s="388">
        <f>SUM(H117,H120)</f>
        <v>251</v>
      </c>
      <c r="I123" s="30">
        <f t="shared" si="11"/>
        <v>0.97286821705426352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89">
        <f>SUM(D122:D123)</f>
        <v>129</v>
      </c>
      <c r="E124" s="389">
        <f>SUM(E122:E123)</f>
        <v>127</v>
      </c>
      <c r="F124" s="41">
        <f t="shared" si="10"/>
        <v>0.98449612403100772</v>
      </c>
      <c r="G124" s="389">
        <f>SUM(G122:G123)</f>
        <v>258</v>
      </c>
      <c r="H124" s="389">
        <f>SUM(H122:H123)</f>
        <v>254</v>
      </c>
      <c r="I124" s="41">
        <f t="shared" si="11"/>
        <v>0.98449612403100772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83">
        <f>SUM(D113,D122)</f>
        <v>20</v>
      </c>
      <c r="E125" s="383">
        <f>SUM(E113,E122)</f>
        <v>8</v>
      </c>
      <c r="F125" s="45">
        <f t="shared" si="10"/>
        <v>0.4</v>
      </c>
      <c r="G125" s="46">
        <f>SUM(G113,G122)</f>
        <v>40</v>
      </c>
      <c r="H125" s="46">
        <f>SUM(H113,H122)</f>
        <v>22</v>
      </c>
      <c r="I125" s="45">
        <f t="shared" si="11"/>
        <v>0.55000000000000004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84">
        <f>SUM(D114,D123)</f>
        <v>489</v>
      </c>
      <c r="E126" s="384">
        <f>SUM(E114,E123)</f>
        <v>459</v>
      </c>
      <c r="F126" s="32">
        <f t="shared" si="10"/>
        <v>0.93865030674846628</v>
      </c>
      <c r="G126" s="384">
        <f>SUM(G114,G123)</f>
        <v>958</v>
      </c>
      <c r="H126" s="384">
        <f>SUM(H114,H123)</f>
        <v>905</v>
      </c>
      <c r="I126" s="32">
        <f t="shared" si="11"/>
        <v>0.94467640918580376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84">
        <f>SUM(D125:D126)</f>
        <v>509</v>
      </c>
      <c r="E127" s="384">
        <f>SUM(E125:E126)</f>
        <v>467</v>
      </c>
      <c r="F127" s="49">
        <f>E127/D127</f>
        <v>0.91748526522593321</v>
      </c>
      <c r="G127" s="383">
        <f>SUM(G125:G126)</f>
        <v>998</v>
      </c>
      <c r="H127" s="383">
        <f>SUM(H125:H126)</f>
        <v>927</v>
      </c>
      <c r="I127" s="49">
        <f>H127/G127</f>
        <v>0.92885771543086171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48</v>
      </c>
      <c r="D135" s="592"/>
      <c r="E135" s="591">
        <v>4</v>
      </c>
      <c r="F135" s="592"/>
      <c r="G135" s="591">
        <v>3</v>
      </c>
      <c r="H135" s="592"/>
      <c r="I135" s="591">
        <v>17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82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82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82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82" t="s">
        <v>99</v>
      </c>
      <c r="C140" s="590">
        <v>760</v>
      </c>
      <c r="D140" s="590"/>
      <c r="E140" s="590">
        <v>95</v>
      </c>
      <c r="F140" s="590"/>
      <c r="G140" s="590">
        <v>30</v>
      </c>
      <c r="H140" s="590"/>
      <c r="I140" s="772">
        <v>31824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283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281</v>
      </c>
      <c r="D146" s="736"/>
      <c r="E146" s="737"/>
      <c r="F146" s="750" t="s">
        <v>284</v>
      </c>
      <c r="G146" s="754"/>
      <c r="H146" s="754"/>
      <c r="I146" s="755"/>
      <c r="J146" s="751" t="s">
        <v>264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80" t="s">
        <v>109</v>
      </c>
      <c r="C154" s="380" t="s">
        <v>110</v>
      </c>
      <c r="D154" s="380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120000</v>
      </c>
      <c r="B155" s="291">
        <f>'2019JAN'!H155</f>
        <v>-70581</v>
      </c>
      <c r="C155" s="63">
        <f>E45-E44</f>
        <v>75198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-9156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14966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95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18882</v>
      </c>
      <c r="H165" s="778"/>
      <c r="I165" s="779"/>
      <c r="J165" s="779"/>
      <c r="K165" s="780"/>
    </row>
    <row r="166" spans="1:11" ht="14">
      <c r="A166" s="379" t="s">
        <v>126</v>
      </c>
      <c r="B166" s="777" t="s">
        <v>127</v>
      </c>
      <c r="C166" s="777"/>
      <c r="D166" s="777"/>
      <c r="E166" s="777"/>
      <c r="F166" s="777"/>
      <c r="G166" s="396">
        <v>1900</v>
      </c>
      <c r="H166" s="778"/>
      <c r="I166" s="779"/>
      <c r="J166" s="779"/>
      <c r="K166" s="780"/>
    </row>
    <row r="167" spans="1:11" ht="14">
      <c r="A167" s="379" t="s">
        <v>128</v>
      </c>
      <c r="B167" s="777" t="s">
        <v>129</v>
      </c>
      <c r="C167" s="777"/>
      <c r="D167" s="777"/>
      <c r="E167" s="777"/>
      <c r="F167" s="777"/>
      <c r="G167" s="395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EA617FCD-BD9B-44C7-9C6E-00737502F146}">
      <formula1>"Jan, Feb, March, April, May, June, July, Aug, Sep, Oct, Nov, Dec"</formula1>
    </dataValidation>
    <dataValidation type="list" allowBlank="1" showInputMessage="1" showErrorMessage="1" sqref="L3" xr:uid="{95445A4A-DFAB-4CB1-A580-D9EA10B17AB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51BC-9583-4455-A6FF-D7FFE0C177AB}">
  <sheetPr codeName="Sheet28">
    <pageSetUpPr fitToPage="1"/>
  </sheetPr>
  <dimension ref="A1:N167"/>
  <sheetViews>
    <sheetView topLeftCell="A154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99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08" t="s">
        <v>176</v>
      </c>
      <c r="C10" s="61">
        <v>2</v>
      </c>
      <c r="D10" s="414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08" t="s">
        <v>177</v>
      </c>
      <c r="C11" s="61">
        <v>2</v>
      </c>
      <c r="D11" s="414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08" t="s">
        <v>179</v>
      </c>
      <c r="C12" s="61">
        <v>2</v>
      </c>
      <c r="D12" s="414">
        <v>4</v>
      </c>
      <c r="E12" s="770" t="s">
        <v>285</v>
      </c>
      <c r="F12" s="691"/>
      <c r="G12" s="691"/>
      <c r="H12" s="691"/>
      <c r="I12" s="692"/>
    </row>
    <row r="13" spans="1:13">
      <c r="A13" s="690"/>
      <c r="B13" s="408" t="s">
        <v>180</v>
      </c>
      <c r="C13" s="61">
        <v>3</v>
      </c>
      <c r="D13" s="414">
        <v>2</v>
      </c>
      <c r="E13" s="691" t="s">
        <v>286</v>
      </c>
      <c r="F13" s="691"/>
      <c r="G13" s="691"/>
      <c r="H13" s="691"/>
      <c r="I13" s="692"/>
    </row>
    <row r="14" spans="1:13">
      <c r="A14" s="690"/>
      <c r="B14" s="408" t="s">
        <v>12</v>
      </c>
      <c r="C14" s="61">
        <v>0</v>
      </c>
      <c r="D14" s="414">
        <v>0</v>
      </c>
      <c r="E14" s="693"/>
      <c r="F14" s="694"/>
      <c r="G14" s="694"/>
      <c r="H14" s="694"/>
      <c r="I14" s="695"/>
    </row>
    <row r="15" spans="1:13">
      <c r="A15" s="690"/>
      <c r="B15" s="408" t="s">
        <v>13</v>
      </c>
      <c r="C15" s="61">
        <v>2</v>
      </c>
      <c r="D15" s="414">
        <v>1</v>
      </c>
      <c r="E15" s="770" t="s">
        <v>287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11" t="s">
        <v>23</v>
      </c>
      <c r="E21" s="411" t="s">
        <v>24</v>
      </c>
      <c r="F21" s="411" t="s">
        <v>25</v>
      </c>
      <c r="G21" s="411" t="s">
        <v>23</v>
      </c>
      <c r="H21" s="411" t="s">
        <v>24</v>
      </c>
      <c r="I21" s="41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17923</v>
      </c>
      <c r="E23" s="329">
        <v>16800</v>
      </c>
      <c r="F23" s="14">
        <f t="shared" ref="F23:F28" si="0">E23/D23</f>
        <v>0.93734307872565981</v>
      </c>
      <c r="G23" s="332">
        <f>D23+'2019FEB'!G23</f>
        <v>52408</v>
      </c>
      <c r="H23" s="332">
        <f>E23+'2019FEB'!H23</f>
        <v>49043</v>
      </c>
      <c r="I23" s="14">
        <f t="shared" ref="I23:I28" si="1">H23/G23</f>
        <v>0.93579224545870865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17923</v>
      </c>
      <c r="E24" s="330">
        <f>SUM(E23:E23)</f>
        <v>16800</v>
      </c>
      <c r="F24" s="16">
        <f t="shared" si="0"/>
        <v>0.93734307872565981</v>
      </c>
      <c r="G24" s="330">
        <f>SUM(G23:G23)</f>
        <v>52408</v>
      </c>
      <c r="H24" s="330">
        <f>SUM(H23:H23)</f>
        <v>49043</v>
      </c>
      <c r="I24" s="16">
        <f t="shared" si="1"/>
        <v>0.93579224545870865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20870</v>
      </c>
      <c r="E25" s="329">
        <v>19366</v>
      </c>
      <c r="F25" s="14">
        <f t="shared" si="0"/>
        <v>0.92793483469094395</v>
      </c>
      <c r="G25" s="332">
        <f>D25+'2019FEB'!G25</f>
        <v>59687</v>
      </c>
      <c r="H25" s="332">
        <f>E25+'2019FEB'!H25</f>
        <v>56224</v>
      </c>
      <c r="I25" s="14">
        <f t="shared" si="1"/>
        <v>0.94198066580662454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20870</v>
      </c>
      <c r="E27" s="330">
        <f>SUM(E25:E26)</f>
        <v>19366</v>
      </c>
      <c r="F27" s="16">
        <f t="shared" si="0"/>
        <v>0.92793483469094395</v>
      </c>
      <c r="G27" s="330">
        <f>SUM(G25:G26)</f>
        <v>59687</v>
      </c>
      <c r="H27" s="330">
        <f>SUM(H25:H26)</f>
        <v>56224</v>
      </c>
      <c r="I27" s="16">
        <f t="shared" si="1"/>
        <v>0.94198066580662454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38793</v>
      </c>
      <c r="E28" s="331">
        <f>SUM(E24,E27)</f>
        <v>36166</v>
      </c>
      <c r="F28" s="17">
        <f t="shared" si="0"/>
        <v>0.93228159719537029</v>
      </c>
      <c r="G28" s="331">
        <f>SUM(G24,G27)</f>
        <v>112095</v>
      </c>
      <c r="H28" s="331">
        <f>SUM(H24,H27)</f>
        <v>105267</v>
      </c>
      <c r="I28" s="17">
        <f t="shared" si="1"/>
        <v>0.93908738123912749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3688</v>
      </c>
      <c r="F30" s="14">
        <f>E30/D30</f>
        <v>1.2717241379310344</v>
      </c>
      <c r="G30" s="332">
        <f>D30+'2019FEB'!G30</f>
        <v>8700</v>
      </c>
      <c r="H30" s="332">
        <f>E30+'2019FEB'!H30</f>
        <v>9337</v>
      </c>
      <c r="I30" s="14">
        <f>H30/G30</f>
        <v>1.0732183908045978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594</v>
      </c>
      <c r="F31" s="14" t="e">
        <f t="shared" ref="F31:F47" si="2">E31/D31</f>
        <v>#DIV/0!</v>
      </c>
      <c r="G31" s="332">
        <f>D31+'2019FEB'!G31</f>
        <v>0</v>
      </c>
      <c r="H31" s="332">
        <f>E31+'2019FEB'!H31</f>
        <v>6413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4282</v>
      </c>
      <c r="F32" s="14">
        <f t="shared" si="2"/>
        <v>1.4765517241379311</v>
      </c>
      <c r="G32" s="330">
        <f>SUM(G30:G31)</f>
        <v>8700</v>
      </c>
      <c r="H32" s="330">
        <f>SUM(H30:H31)</f>
        <v>15750</v>
      </c>
      <c r="I32" s="14">
        <f t="shared" si="3"/>
        <v>1.8103448275862069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3335</v>
      </c>
      <c r="F33" s="14" t="e">
        <f t="shared" si="2"/>
        <v>#DIV/0!</v>
      </c>
      <c r="G33" s="332">
        <f>D33+'2019FEB'!G33</f>
        <v>0</v>
      </c>
      <c r="H33" s="332">
        <f>E33+'2019FEB'!H33</f>
        <v>4544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7617</v>
      </c>
      <c r="F34" s="14">
        <f t="shared" si="2"/>
        <v>2.626551724137931</v>
      </c>
      <c r="G34" s="334">
        <f>SUM(G32,G33)</f>
        <v>8700</v>
      </c>
      <c r="H34" s="334">
        <f>SUM(H32,H33)</f>
        <v>20294</v>
      </c>
      <c r="I34" s="14">
        <f t="shared" si="3"/>
        <v>2.3326436781609194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D35+'2019FEB'!G35</f>
        <v>108696</v>
      </c>
      <c r="H35" s="332">
        <f>E35+'2019FEB'!H35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108696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D38+'2019FEB'!G38</f>
        <v>0</v>
      </c>
      <c r="H38" s="332">
        <f>E38+'2019FEB'!H38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108696</v>
      </c>
      <c r="H41" s="334">
        <f>SUM(H37,H40)</f>
        <v>15217</v>
      </c>
      <c r="I41" s="19">
        <f t="shared" si="3"/>
        <v>0.13999595201295356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5955</v>
      </c>
      <c r="F42" s="21">
        <f t="shared" si="2"/>
        <v>0.47639999999999999</v>
      </c>
      <c r="G42" s="342">
        <f>D42+'2019FEB'!G42</f>
        <v>37500</v>
      </c>
      <c r="H42" s="342">
        <f>E42+'2019FEB'!H42</f>
        <v>48873</v>
      </c>
      <c r="I42" s="21">
        <f t="shared" si="3"/>
        <v>1.30328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D43+'2019FEB'!G43</f>
        <v>6000</v>
      </c>
      <c r="H43" s="342">
        <f>E43+'2019FEB'!H43</f>
        <v>451</v>
      </c>
      <c r="I43" s="21">
        <f t="shared" si="3"/>
        <v>7.5166666666666673E-2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>D44+'2019FEB'!G44</f>
        <v>120000</v>
      </c>
      <c r="H44" s="342">
        <f>E44+'2019FEB'!H44</f>
        <v>120000</v>
      </c>
      <c r="I44" s="21">
        <f t="shared" si="3"/>
        <v>1</v>
      </c>
      <c r="J44" s="813" t="s">
        <v>278</v>
      </c>
      <c r="K44" s="813"/>
      <c r="L44" s="813"/>
      <c r="M44" s="814"/>
    </row>
    <row r="45" spans="1:13" s="8" customFormat="1">
      <c r="A45" s="655" t="s">
        <v>46</v>
      </c>
      <c r="B45" s="656"/>
      <c r="C45" s="657"/>
      <c r="D45" s="339">
        <f>SUM(D28,D34,D41,D42:D44)</f>
        <v>132425</v>
      </c>
      <c r="E45" s="339">
        <f>SUM(E28,E34,E41,E42:E44)</f>
        <v>49738</v>
      </c>
      <c r="F45" s="22">
        <f t="shared" si="2"/>
        <v>0.37559373230130261</v>
      </c>
      <c r="G45" s="339">
        <f>SUM(G28,G34,G41,G42:G44)</f>
        <v>392991</v>
      </c>
      <c r="H45" s="339">
        <f>SUM(H28,H34,H41,H42:H44)</f>
        <v>310102</v>
      </c>
      <c r="I45" s="22">
        <f t="shared" si="3"/>
        <v>0.78908168380446375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119925</v>
      </c>
      <c r="E46" s="339">
        <f>E45-E42</f>
        <v>43783</v>
      </c>
      <c r="F46" s="22">
        <f t="shared" si="2"/>
        <v>0.36508651240358558</v>
      </c>
      <c r="G46" s="339">
        <f>G45-G42</f>
        <v>355491</v>
      </c>
      <c r="H46" s="339">
        <f>H45-H42</f>
        <v>261229</v>
      </c>
      <c r="I46" s="22">
        <f t="shared" si="3"/>
        <v>0.73483998188421085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79925</v>
      </c>
      <c r="E47" s="340">
        <f>E46-E44</f>
        <v>43783</v>
      </c>
      <c r="F47" s="23">
        <f t="shared" si="2"/>
        <v>0.54780106349702851</v>
      </c>
      <c r="G47" s="340">
        <f>G46-G44</f>
        <v>235491</v>
      </c>
      <c r="H47" s="340">
        <f>H46-H44</f>
        <v>141229</v>
      </c>
      <c r="I47" s="23">
        <f t="shared" si="3"/>
        <v>0.59972143309086123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09" t="s">
        <v>23</v>
      </c>
      <c r="E52" s="409" t="s">
        <v>24</v>
      </c>
      <c r="F52" s="409" t="s">
        <v>25</v>
      </c>
      <c r="G52" s="409" t="s">
        <v>23</v>
      </c>
      <c r="H52" s="409" t="s">
        <v>24</v>
      </c>
      <c r="I52" s="409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14">
        <v>18</v>
      </c>
      <c r="F53" s="28">
        <f t="shared" ref="F53:F79" si="4">E53/D53</f>
        <v>0.9</v>
      </c>
      <c r="G53" s="66">
        <f>D53+'2019FEB'!G53</f>
        <v>60</v>
      </c>
      <c r="H53" s="66">
        <f>E53+'2019FEB'!H53</f>
        <v>40</v>
      </c>
      <c r="I53" s="28">
        <f t="shared" ref="I53:I79" si="5">H53/G53</f>
        <v>0.66666666666666663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455</v>
      </c>
      <c r="E54" s="414">
        <v>465</v>
      </c>
      <c r="F54" s="28">
        <f t="shared" si="4"/>
        <v>1.0219780219780219</v>
      </c>
      <c r="G54" s="66">
        <f>D54+'2019FEB'!G54</f>
        <v>1386</v>
      </c>
      <c r="H54" s="66">
        <f>E54+'2019FEB'!H54</f>
        <v>1370</v>
      </c>
      <c r="I54" s="28">
        <f t="shared" si="5"/>
        <v>0.98845598845598848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12">
        <f>SUM(D53:D54)</f>
        <v>475</v>
      </c>
      <c r="E55" s="412">
        <f>SUM(E53:E54)</f>
        <v>483</v>
      </c>
      <c r="F55" s="30">
        <f t="shared" si="4"/>
        <v>1.016842105263158</v>
      </c>
      <c r="G55" s="412">
        <f>SUM(G53:G54)</f>
        <v>1446</v>
      </c>
      <c r="H55" s="412">
        <f>SUM(H53:H54)</f>
        <v>1410</v>
      </c>
      <c r="I55" s="30">
        <f t="shared" si="5"/>
        <v>0.975103734439834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14">
        <v>97</v>
      </c>
      <c r="F56" s="28">
        <f t="shared" si="4"/>
        <v>1.1686746987951808</v>
      </c>
      <c r="G56" s="66">
        <f>D56+'2019FEB'!G56</f>
        <v>249</v>
      </c>
      <c r="H56" s="66">
        <f>E56+'2019FEB'!H56</f>
        <v>173</v>
      </c>
      <c r="I56" s="28">
        <f t="shared" si="5"/>
        <v>0.69477911646586343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1152</v>
      </c>
      <c r="E57" s="414">
        <v>1242</v>
      </c>
      <c r="F57" s="28">
        <f t="shared" si="4"/>
        <v>1.078125</v>
      </c>
      <c r="G57" s="66">
        <f>D57+'2019FEB'!G57</f>
        <v>3508</v>
      </c>
      <c r="H57" s="66">
        <f>E57+'2019FEB'!H57</f>
        <v>3699</v>
      </c>
      <c r="I57" s="28">
        <f t="shared" si="5"/>
        <v>1.0544469783352337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06">
        <f>SUM(D56:D57)</f>
        <v>1235</v>
      </c>
      <c r="E58" s="406">
        <f>SUM(E56:E57)</f>
        <v>1339</v>
      </c>
      <c r="F58" s="28">
        <f t="shared" si="4"/>
        <v>1.0842105263157895</v>
      </c>
      <c r="G58" s="406">
        <f>SUM(G56:G57)</f>
        <v>3757</v>
      </c>
      <c r="H58" s="406">
        <f>SUM(H56:H57)</f>
        <v>3872</v>
      </c>
      <c r="I58" s="31">
        <f t="shared" si="5"/>
        <v>1.030609528879425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02">
        <f>SUM(D53,D56)</f>
        <v>103</v>
      </c>
      <c r="E59" s="402">
        <f>SUM(E53,E56)</f>
        <v>115</v>
      </c>
      <c r="F59" s="32">
        <f t="shared" si="4"/>
        <v>1.116504854368932</v>
      </c>
      <c r="G59" s="402">
        <f>SUM(G53,G56)</f>
        <v>309</v>
      </c>
      <c r="H59" s="402">
        <f>SUM(H53,H56)</f>
        <v>213</v>
      </c>
      <c r="I59" s="32">
        <f t="shared" si="5"/>
        <v>0.68932038834951459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02">
        <f>SUM(D54,D57)</f>
        <v>1607</v>
      </c>
      <c r="E60" s="402">
        <f>SUM(E54,E57)</f>
        <v>1707</v>
      </c>
      <c r="F60" s="32">
        <f t="shared" si="4"/>
        <v>1.0622277535780957</v>
      </c>
      <c r="G60" s="402">
        <f>SUM(G54,G57)</f>
        <v>4894</v>
      </c>
      <c r="H60" s="402">
        <f>SUM(H54,H57)</f>
        <v>5069</v>
      </c>
      <c r="I60" s="32">
        <f t="shared" si="5"/>
        <v>1.0357580711074785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10">
        <f>SUM(D59:D60)</f>
        <v>1710</v>
      </c>
      <c r="E61" s="410">
        <f>SUM(E59:E60)</f>
        <v>1822</v>
      </c>
      <c r="F61" s="33">
        <f t="shared" si="4"/>
        <v>1.0654970760233917</v>
      </c>
      <c r="G61" s="410">
        <f>SUM(G59:G60)</f>
        <v>5203</v>
      </c>
      <c r="H61" s="410">
        <f>SUM(H59:H60)</f>
        <v>5282</v>
      </c>
      <c r="I61" s="33">
        <f t="shared" si="5"/>
        <v>1.0151835479531039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08">
        <f>E71/10</f>
        <v>62.6</v>
      </c>
      <c r="F62" s="28">
        <f t="shared" si="4"/>
        <v>0.89428571428571435</v>
      </c>
      <c r="G62" s="66">
        <f>D62+'2019FEB'!G62</f>
        <v>210</v>
      </c>
      <c r="H62" s="66">
        <f>E62+'2019FEB'!H62</f>
        <v>139.1</v>
      </c>
      <c r="I62" s="28">
        <f t="shared" si="5"/>
        <v>0.6623809523809524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1584</v>
      </c>
      <c r="E63" s="408">
        <f>E72/10</f>
        <v>1617.4</v>
      </c>
      <c r="F63" s="28">
        <f t="shared" si="4"/>
        <v>1.0210858585858587</v>
      </c>
      <c r="G63" s="248">
        <f>D63+'2019FEB'!G63</f>
        <v>4824</v>
      </c>
      <c r="H63" s="66">
        <f>E63+'2019FEB'!H63</f>
        <v>4765.2000000000007</v>
      </c>
      <c r="I63" s="28">
        <f t="shared" si="5"/>
        <v>0.987810945273632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1654</v>
      </c>
      <c r="E64" s="412">
        <f>SUM(E62:E63)</f>
        <v>1680</v>
      </c>
      <c r="F64" s="30">
        <f t="shared" si="4"/>
        <v>1.0157194679564692</v>
      </c>
      <c r="G64" s="412">
        <f>SUM(G62:G63)</f>
        <v>5034</v>
      </c>
      <c r="H64" s="412">
        <f>SUM(H62:H63)</f>
        <v>4904.3000000000011</v>
      </c>
      <c r="I64" s="30">
        <f t="shared" si="5"/>
        <v>0.97423520063567759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08">
        <f>E74/10</f>
        <v>127.8</v>
      </c>
      <c r="F65" s="28">
        <f t="shared" si="4"/>
        <v>1.0306451612903225</v>
      </c>
      <c r="G65" s="66">
        <f>D65+'2019FEB'!G65</f>
        <v>372</v>
      </c>
      <c r="H65" s="66">
        <f>E65+'2019FEB'!H65</f>
        <v>226</v>
      </c>
      <c r="I65" s="28">
        <f t="shared" si="5"/>
        <v>0.60752688172043012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1716</v>
      </c>
      <c r="E66" s="408">
        <f>E75/10</f>
        <v>1808.8</v>
      </c>
      <c r="F66" s="28">
        <f t="shared" si="4"/>
        <v>1.0540792540792541</v>
      </c>
      <c r="G66" s="66">
        <f>D66+'2019FEB'!G66</f>
        <v>5227</v>
      </c>
      <c r="H66" s="66">
        <f>E66+'2019FEB'!H66</f>
        <v>5396.4</v>
      </c>
      <c r="I66" s="28">
        <f t="shared" si="5"/>
        <v>1.0324086474076908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06">
        <f>SUM(D65:D66)</f>
        <v>1840</v>
      </c>
      <c r="E67" s="406">
        <f>SUM(E65:E66)</f>
        <v>1936.6</v>
      </c>
      <c r="F67" s="31">
        <f t="shared" si="4"/>
        <v>1.0525</v>
      </c>
      <c r="G67" s="406">
        <f>SUM(G65:G66)</f>
        <v>5599</v>
      </c>
      <c r="H67" s="406">
        <f>SUM(H65:H66)</f>
        <v>5622.4</v>
      </c>
      <c r="I67" s="31">
        <f t="shared" si="5"/>
        <v>1.0041793177353098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02">
        <f>SUM(D62,D65)</f>
        <v>194</v>
      </c>
      <c r="E68" s="402">
        <f>SUM(E62,E65)</f>
        <v>190.4</v>
      </c>
      <c r="F68" s="32">
        <f t="shared" si="4"/>
        <v>0.98144329896907223</v>
      </c>
      <c r="G68" s="402">
        <f>SUM(G62,G65)</f>
        <v>582</v>
      </c>
      <c r="H68" s="402">
        <f>SUM(H62,H65)</f>
        <v>365.1</v>
      </c>
      <c r="I68" s="32">
        <f t="shared" si="5"/>
        <v>0.62731958762886597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02">
        <f>SUM(D63,D66)</f>
        <v>3300</v>
      </c>
      <c r="E69" s="402">
        <f>SUM(E63,E66)</f>
        <v>3426.2</v>
      </c>
      <c r="F69" s="32">
        <f t="shared" si="4"/>
        <v>1.0382424242424242</v>
      </c>
      <c r="G69" s="402">
        <f>SUM(G63,G66)</f>
        <v>10051</v>
      </c>
      <c r="H69" s="402">
        <f>SUM(H63,H66)</f>
        <v>10161.6</v>
      </c>
      <c r="I69" s="32">
        <f t="shared" si="5"/>
        <v>1.0110038802109242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10">
        <f>SUM(D68:D69)</f>
        <v>3494</v>
      </c>
      <c r="E70" s="410">
        <f>SUM(E68:E69)</f>
        <v>3616.6</v>
      </c>
      <c r="F70" s="34">
        <f t="shared" si="4"/>
        <v>1.0350887235260446</v>
      </c>
      <c r="G70" s="410">
        <f>SUM(G68:G69)</f>
        <v>10633</v>
      </c>
      <c r="H70" s="410">
        <f>SUM(H68:H69)</f>
        <v>10526.7</v>
      </c>
      <c r="I70" s="34">
        <f t="shared" si="5"/>
        <v>0.9900028214050598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2088</v>
      </c>
      <c r="E71" s="414">
        <v>626</v>
      </c>
      <c r="F71" s="28">
        <f t="shared" si="4"/>
        <v>0.29980842911877392</v>
      </c>
      <c r="G71" s="179">
        <f>D71+'2019FEB'!G71</f>
        <v>4176</v>
      </c>
      <c r="H71" s="66">
        <f>E71+'2019FEB'!H71</f>
        <v>1391</v>
      </c>
      <c r="I71" s="28">
        <f t="shared" si="5"/>
        <v>0.33309386973180077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15835</v>
      </c>
      <c r="E72" s="341">
        <f>E23-E71</f>
        <v>16174</v>
      </c>
      <c r="F72" s="28">
        <f t="shared" si="4"/>
        <v>1.021408272813388</v>
      </c>
      <c r="G72" s="248">
        <f>D72+'2019FEB'!G72</f>
        <v>48232</v>
      </c>
      <c r="H72" s="332">
        <f>E72+'2019FEB'!H72</f>
        <v>47652</v>
      </c>
      <c r="I72" s="28">
        <f t="shared" si="5"/>
        <v>0.98797478852214293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12">
        <f>SUM(D71:D72)</f>
        <v>17923</v>
      </c>
      <c r="E73" s="412">
        <f>SUM(E71:E72)</f>
        <v>16800</v>
      </c>
      <c r="F73" s="30">
        <f t="shared" si="4"/>
        <v>0.93734307872565981</v>
      </c>
      <c r="G73" s="412">
        <f>SUM(G71:G72)</f>
        <v>52408</v>
      </c>
      <c r="H73" s="412">
        <f>SUM(H71:H72)</f>
        <v>49043</v>
      </c>
      <c r="I73" s="30">
        <f t="shared" si="5"/>
        <v>0.93579224545870865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3710</v>
      </c>
      <c r="E74" s="414">
        <v>1278</v>
      </c>
      <c r="F74" s="28">
        <f t="shared" si="4"/>
        <v>0.34447439353099729</v>
      </c>
      <c r="G74" s="179">
        <f>D74+'2019FEB'!G74</f>
        <v>7420</v>
      </c>
      <c r="H74" s="66">
        <f>E74+'2019FEB'!H74</f>
        <v>2260</v>
      </c>
      <c r="I74" s="28">
        <f t="shared" si="5"/>
        <v>0.30458221024258758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17160</v>
      </c>
      <c r="E75" s="413">
        <f>E25-E74</f>
        <v>18088</v>
      </c>
      <c r="F75" s="28">
        <f t="shared" si="4"/>
        <v>1.0540792540792541</v>
      </c>
      <c r="G75" s="248">
        <f>D75+'2019FEB'!G75</f>
        <v>52267</v>
      </c>
      <c r="H75" s="66">
        <f>E75+'2019FEB'!H75</f>
        <v>53964</v>
      </c>
      <c r="I75" s="28">
        <f t="shared" si="5"/>
        <v>1.0324679051791761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06">
        <f>SUM(D74:D75)</f>
        <v>20870</v>
      </c>
      <c r="E76" s="406">
        <f>SUM(E74:E75)</f>
        <v>19366</v>
      </c>
      <c r="F76" s="31">
        <f t="shared" si="4"/>
        <v>0.92793483469094395</v>
      </c>
      <c r="G76" s="406">
        <f>SUM(G74:G75)</f>
        <v>59687</v>
      </c>
      <c r="H76" s="406">
        <f>SUM(H74:H75)</f>
        <v>56224</v>
      </c>
      <c r="I76" s="31">
        <f t="shared" si="5"/>
        <v>0.94198066580662454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02">
        <f>SUM(D71,D74)</f>
        <v>5798</v>
      </c>
      <c r="E77" s="402">
        <f>SUM(E71,E74)</f>
        <v>1904</v>
      </c>
      <c r="F77" s="32">
        <f t="shared" si="4"/>
        <v>0.3283890996895481</v>
      </c>
      <c r="G77" s="402">
        <f>SUM(G71,G74)</f>
        <v>11596</v>
      </c>
      <c r="H77" s="402">
        <f>SUM(H71,H74)</f>
        <v>3651</v>
      </c>
      <c r="I77" s="32">
        <f t="shared" si="5"/>
        <v>0.31484994825801998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02">
        <f>SUM(D72,D75)</f>
        <v>32995</v>
      </c>
      <c r="E78" s="402">
        <f>SUM(E72,E75)</f>
        <v>34262</v>
      </c>
      <c r="F78" s="32">
        <f t="shared" si="4"/>
        <v>1.0383997575390211</v>
      </c>
      <c r="G78" s="402">
        <f>SUM(G72,G75)</f>
        <v>100499</v>
      </c>
      <c r="H78" s="402">
        <f>SUM(H72,H75)</f>
        <v>101616</v>
      </c>
      <c r="I78" s="32">
        <f t="shared" si="5"/>
        <v>1.0111145384531188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10">
        <f>SUM(D77:D78)</f>
        <v>38793</v>
      </c>
      <c r="E79" s="410">
        <f>SUM(E77:E78)</f>
        <v>36166</v>
      </c>
      <c r="F79" s="34">
        <f t="shared" si="4"/>
        <v>0.93228159719537029</v>
      </c>
      <c r="G79" s="410">
        <f>SUM(G77:G78)</f>
        <v>112095</v>
      </c>
      <c r="H79" s="410">
        <f>SUM(H77:H78)</f>
        <v>105267</v>
      </c>
      <c r="I79" s="34">
        <f t="shared" si="5"/>
        <v>0.93908738123912749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483</v>
      </c>
      <c r="E87" s="130"/>
      <c r="F87" s="134">
        <f>D87+'2019FEB'!F87</f>
        <v>1410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18</v>
      </c>
      <c r="E88" s="128"/>
      <c r="F88" s="134">
        <f>D88+'2019FEB'!F88</f>
        <v>40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</v>
      </c>
      <c r="E89" s="128">
        <f>D89/D87</f>
        <v>2.070393374741201E-3</v>
      </c>
      <c r="F89" s="134">
        <f>D89+'2019FEB'!F89</f>
        <v>3</v>
      </c>
      <c r="G89" s="128">
        <f>F89/F87</f>
        <v>2.1276595744680851E-3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102</v>
      </c>
      <c r="E90" s="128">
        <f>D90/D92</f>
        <v>0.35915492957746481</v>
      </c>
      <c r="F90" s="134">
        <f>D90+'2019FEB'!F90</f>
        <v>211</v>
      </c>
      <c r="G90" s="128">
        <f>F90/F92</f>
        <v>0.3035971223021583</v>
      </c>
      <c r="H90" s="128"/>
    </row>
    <row r="91" spans="1:13" ht="15" customHeight="1">
      <c r="A91" s="775"/>
      <c r="B91" s="776" t="s">
        <v>202</v>
      </c>
      <c r="C91" s="776"/>
      <c r="D91" s="131">
        <v>201</v>
      </c>
      <c r="E91" s="128">
        <f>D91/D92</f>
        <v>0.70774647887323938</v>
      </c>
      <c r="F91" s="134">
        <f>D91+'2019FEB'!F91</f>
        <v>527</v>
      </c>
      <c r="G91" s="128">
        <f>F91/F92</f>
        <v>0.75827338129496402</v>
      </c>
      <c r="H91" s="128"/>
    </row>
    <row r="92" spans="1:13" ht="15" customHeight="1">
      <c r="A92" s="775"/>
      <c r="B92" s="776" t="s">
        <v>203</v>
      </c>
      <c r="C92" s="776"/>
      <c r="D92" s="131">
        <v>284</v>
      </c>
      <c r="E92" s="130"/>
      <c r="F92" s="134">
        <f>D92+'2019FEB'!F92</f>
        <v>695</v>
      </c>
      <c r="G92" s="130"/>
      <c r="H92" s="128"/>
    </row>
    <row r="93" spans="1:13">
      <c r="C93" s="126" t="s">
        <v>210</v>
      </c>
      <c r="D93" s="132">
        <v>767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09" t="s">
        <v>23</v>
      </c>
      <c r="E97" s="409" t="s">
        <v>24</v>
      </c>
      <c r="F97" s="409" t="s">
        <v>25</v>
      </c>
      <c r="G97" s="409" t="s">
        <v>23</v>
      </c>
      <c r="H97" s="409" t="s">
        <v>24</v>
      </c>
      <c r="I97" s="409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14">
        <v>0</v>
      </c>
      <c r="F98" s="37" t="e">
        <f>E98/D98</f>
        <v>#DIV/0!</v>
      </c>
      <c r="G98" s="66">
        <f>D98+'2019FEB'!G98</f>
        <v>0</v>
      </c>
      <c r="H98" s="66">
        <f>E98+'2019FEB'!H98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14">
        <v>21</v>
      </c>
      <c r="F99" s="28">
        <f t="shared" ref="F99:F115" si="6">E99/D99</f>
        <v>0.53846153846153844</v>
      </c>
      <c r="G99" s="66">
        <f>D99+'2019FEB'!G99</f>
        <v>117</v>
      </c>
      <c r="H99" s="66">
        <f>E99+'2019FEB'!H99</f>
        <v>63</v>
      </c>
      <c r="I99" s="28">
        <f t="shared" ref="I99:I115" si="7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12">
        <f>SUM(D98:D99)</f>
        <v>39</v>
      </c>
      <c r="E100" s="412">
        <f>SUM(E98:E99)</f>
        <v>21</v>
      </c>
      <c r="F100" s="30">
        <f t="shared" si="6"/>
        <v>0.53846153846153844</v>
      </c>
      <c r="G100" s="412">
        <f>SUM(G98:G99)</f>
        <v>117</v>
      </c>
      <c r="H100" s="412">
        <f>SUM(H98:H99)</f>
        <v>63</v>
      </c>
      <c r="I100" s="30">
        <f t="shared" si="7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14">
        <v>0</v>
      </c>
      <c r="F101" s="28" t="e">
        <f t="shared" si="6"/>
        <v>#DIV/0!</v>
      </c>
      <c r="G101" s="66">
        <f>D101+'2019FEB'!G101</f>
        <v>0</v>
      </c>
      <c r="H101" s="66">
        <f>E101+'2019FEB'!H101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14">
        <v>9</v>
      </c>
      <c r="F102" s="28">
        <f t="shared" si="6"/>
        <v>1</v>
      </c>
      <c r="G102" s="66">
        <f>D102+'2019FEB'!G102</f>
        <v>27</v>
      </c>
      <c r="H102" s="66">
        <f>E102+'2019FEB'!H102</f>
        <v>27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12">
        <f>SUM(D101:D102)</f>
        <v>9</v>
      </c>
      <c r="E103" s="412">
        <f>SUM(E101:E102)</f>
        <v>9</v>
      </c>
      <c r="F103" s="30">
        <f t="shared" si="6"/>
        <v>1</v>
      </c>
      <c r="G103" s="412">
        <f>SUM(G101:G102)</f>
        <v>27</v>
      </c>
      <c r="H103" s="412">
        <f>SUM(H101:H102)</f>
        <v>27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14">
        <v>3</v>
      </c>
      <c r="F104" s="28">
        <f t="shared" si="6"/>
        <v>0.375</v>
      </c>
      <c r="G104" s="66">
        <f>D104+'2019FEB'!G104</f>
        <v>27</v>
      </c>
      <c r="H104" s="66">
        <f>E104+'2019FEB'!H104</f>
        <v>5</v>
      </c>
      <c r="I104" s="28">
        <f t="shared" si="7"/>
        <v>0.18518518518518517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90</v>
      </c>
      <c r="E105" s="414">
        <v>73</v>
      </c>
      <c r="F105" s="28">
        <f t="shared" si="6"/>
        <v>0.81111111111111112</v>
      </c>
      <c r="G105" s="66">
        <f>D105+'2019FEB'!G105</f>
        <v>242</v>
      </c>
      <c r="H105" s="66">
        <f>E105+'2019FEB'!H105</f>
        <v>218</v>
      </c>
      <c r="I105" s="28">
        <f t="shared" si="7"/>
        <v>0.90082644628099173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12">
        <f>SUM(D104:D105)</f>
        <v>98</v>
      </c>
      <c r="E106" s="412">
        <f>SUM(E104:E105)</f>
        <v>76</v>
      </c>
      <c r="F106" s="30">
        <f t="shared" si="6"/>
        <v>0.77551020408163263</v>
      </c>
      <c r="G106" s="412">
        <f>SUM(G104:G105)</f>
        <v>269</v>
      </c>
      <c r="H106" s="412">
        <f>SUM(H104:H105)</f>
        <v>223</v>
      </c>
      <c r="I106" s="30">
        <f t="shared" si="7"/>
        <v>0.82899628252788105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1</v>
      </c>
      <c r="E107" s="414">
        <v>1</v>
      </c>
      <c r="F107" s="28">
        <f>E107/D107</f>
        <v>1</v>
      </c>
      <c r="G107" s="66">
        <f>D107+'2019FEB'!G107</f>
        <v>3</v>
      </c>
      <c r="H107" s="66">
        <f>E107+'2019FEB'!H107</f>
        <v>2</v>
      </c>
      <c r="I107" s="28">
        <f>H107/G107</f>
        <v>0.66666666666666663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141</v>
      </c>
      <c r="E108" s="414">
        <v>137</v>
      </c>
      <c r="F108" s="28">
        <f>E108/D108</f>
        <v>0.97163120567375882</v>
      </c>
      <c r="G108" s="66">
        <f>D108+'2019FEB'!G108</f>
        <v>419</v>
      </c>
      <c r="H108" s="66">
        <f>E108+'2019FEB'!H108</f>
        <v>410</v>
      </c>
      <c r="I108" s="28">
        <f t="shared" si="7"/>
        <v>0.97852028639618138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12">
        <f>SUM(D107:D108)</f>
        <v>142</v>
      </c>
      <c r="E109" s="412">
        <f>SUM(E107:E108)</f>
        <v>138</v>
      </c>
      <c r="F109" s="30">
        <f t="shared" si="6"/>
        <v>0.971830985915493</v>
      </c>
      <c r="G109" s="412">
        <f>SUM(G107:G108)</f>
        <v>422</v>
      </c>
      <c r="H109" s="412">
        <f>SUM(H107:H108)</f>
        <v>412</v>
      </c>
      <c r="I109" s="30">
        <f t="shared" si="7"/>
        <v>0.976303317535545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14">
        <v>14</v>
      </c>
      <c r="F110" s="30">
        <f>E110/D110</f>
        <v>1.5555555555555556</v>
      </c>
      <c r="G110" s="66">
        <f>D110+'2019FEB'!G110</f>
        <v>28</v>
      </c>
      <c r="H110" s="66">
        <f>E110+'2019FEB'!H110</f>
        <v>30</v>
      </c>
      <c r="I110" s="30">
        <f>H110/G110</f>
        <v>1.0714285714285714</v>
      </c>
      <c r="J110" s="403"/>
      <c r="K110" s="404"/>
      <c r="L110" s="404"/>
      <c r="M110" s="405"/>
    </row>
    <row r="111" spans="1:13">
      <c r="A111" s="553"/>
      <c r="B111" s="803"/>
      <c r="C111" s="27" t="s">
        <v>70</v>
      </c>
      <c r="D111" s="65">
        <v>101</v>
      </c>
      <c r="E111" s="414">
        <v>99</v>
      </c>
      <c r="F111" s="30">
        <f t="shared" ref="F111:F112" si="8">E111/D111</f>
        <v>0.98019801980198018</v>
      </c>
      <c r="G111" s="66">
        <f>D111+'2019FEB'!G111</f>
        <v>275</v>
      </c>
      <c r="H111" s="66">
        <f>E111+'2019FEB'!H111</f>
        <v>275</v>
      </c>
      <c r="I111" s="30">
        <f t="shared" ref="I111:I112" si="9">H111/G111</f>
        <v>1</v>
      </c>
      <c r="J111" s="403"/>
      <c r="K111" s="404"/>
      <c r="L111" s="404"/>
      <c r="M111" s="405"/>
    </row>
    <row r="112" spans="1:13">
      <c r="A112" s="553"/>
      <c r="B112" s="804"/>
      <c r="C112" s="38" t="s">
        <v>166</v>
      </c>
      <c r="D112" s="412">
        <f>SUM(D110:D111)</f>
        <v>110</v>
      </c>
      <c r="E112" s="412">
        <f>SUM(E110:E111)</f>
        <v>113</v>
      </c>
      <c r="F112" s="30">
        <f t="shared" si="8"/>
        <v>1.0272727272727273</v>
      </c>
      <c r="G112" s="412">
        <f>SUM(G110:G111)</f>
        <v>303</v>
      </c>
      <c r="H112" s="412">
        <f>SUM(H110:H111)</f>
        <v>305</v>
      </c>
      <c r="I112" s="30">
        <f t="shared" si="9"/>
        <v>1.0066006600660067</v>
      </c>
      <c r="J112" s="403"/>
      <c r="K112" s="404"/>
      <c r="L112" s="404"/>
      <c r="M112" s="405"/>
    </row>
    <row r="113" spans="1:13">
      <c r="A113" s="553"/>
      <c r="B113" s="611" t="s">
        <v>46</v>
      </c>
      <c r="C113" s="39" t="s">
        <v>69</v>
      </c>
      <c r="D113" s="406">
        <f>SUM(D98,D101,D104,D107,D110)</f>
        <v>18</v>
      </c>
      <c r="E113" s="406">
        <f>SUM(E98,E101,E104,E107,E110)</f>
        <v>18</v>
      </c>
      <c r="F113" s="31">
        <f t="shared" si="6"/>
        <v>1</v>
      </c>
      <c r="G113" s="406">
        <f>SUM(G98,G101,G104,G107,G110)</f>
        <v>58</v>
      </c>
      <c r="H113" s="406">
        <f>SUM(H98,H101,H104,H107,H110)</f>
        <v>37</v>
      </c>
      <c r="I113" s="31">
        <f t="shared" si="7"/>
        <v>0.63793103448275867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06">
        <f>SUM(D99,D102,D105,D108,D111)</f>
        <v>380</v>
      </c>
      <c r="E114" s="406">
        <f>SUM(E99,E102,E105,E108,E111)</f>
        <v>339</v>
      </c>
      <c r="F114" s="31">
        <f t="shared" si="6"/>
        <v>0.89210526315789473</v>
      </c>
      <c r="G114" s="406">
        <f>SUM(G99,G102,G105,G108,G111)</f>
        <v>1080</v>
      </c>
      <c r="H114" s="406">
        <f>SUM(H99,H102,H105,H108,H111)</f>
        <v>993</v>
      </c>
      <c r="I114" s="31">
        <f t="shared" si="7"/>
        <v>0.9194444444444444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07">
        <f>SUM(D113:D114)</f>
        <v>398</v>
      </c>
      <c r="E115" s="407">
        <f>SUM(E113:E114)</f>
        <v>357</v>
      </c>
      <c r="F115" s="41">
        <f t="shared" si="6"/>
        <v>0.89698492462311563</v>
      </c>
      <c r="G115" s="407">
        <f>SUM(G113:G114)</f>
        <v>1138</v>
      </c>
      <c r="H115" s="407">
        <f>SUM(H113:H114)</f>
        <v>1030</v>
      </c>
      <c r="I115" s="41">
        <f t="shared" si="7"/>
        <v>0.90509666080843587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D116+'2019FEB'!G116</f>
        <v>1</v>
      </c>
      <c r="H116" s="70">
        <f>E116+'2019FEB'!H116</f>
        <v>1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414">
        <v>79</v>
      </c>
      <c r="F117" s="28">
        <f t="shared" ref="F117:F126" si="10">E117/D117</f>
        <v>1.025974025974026</v>
      </c>
      <c r="G117" s="71">
        <f>D117+'2019FEB'!G117</f>
        <v>231</v>
      </c>
      <c r="H117" s="71">
        <f>E117+'2019FEB'!H117</f>
        <v>238</v>
      </c>
      <c r="I117" s="28">
        <f t="shared" ref="I117:I126" si="11">H117/G117</f>
        <v>1.0303030303030303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12">
        <f>SUM(D116:D117)</f>
        <v>78</v>
      </c>
      <c r="E118" s="412">
        <f>SUM(E116:E117)</f>
        <v>79</v>
      </c>
      <c r="F118" s="30">
        <f t="shared" si="10"/>
        <v>1.0128205128205128</v>
      </c>
      <c r="G118" s="412">
        <f>SUM(G116:G117)</f>
        <v>232</v>
      </c>
      <c r="H118" s="412">
        <f>SUM(H116:H117)</f>
        <v>239</v>
      </c>
      <c r="I118" s="30">
        <f t="shared" si="11"/>
        <v>1.0301724137931034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14">
        <v>0</v>
      </c>
      <c r="F119" s="28">
        <f t="shared" si="10"/>
        <v>0</v>
      </c>
      <c r="G119" s="66">
        <f>D119+'2019FEB'!G119</f>
        <v>1</v>
      </c>
      <c r="H119" s="66">
        <f>E119+'2019FEB'!H119</f>
        <v>2</v>
      </c>
      <c r="I119" s="28">
        <f t="shared" si="11"/>
        <v>2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414">
        <v>47</v>
      </c>
      <c r="F120" s="28">
        <f t="shared" si="10"/>
        <v>0.90384615384615385</v>
      </c>
      <c r="G120" s="66">
        <f>D120+'2019FEB'!G120</f>
        <v>156</v>
      </c>
      <c r="H120" s="66">
        <f>E120+'2019FEB'!H120</f>
        <v>139</v>
      </c>
      <c r="I120" s="28">
        <f t="shared" si="11"/>
        <v>0.89102564102564108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12">
        <f>SUM(D119:D120)</f>
        <v>53</v>
      </c>
      <c r="E121" s="412">
        <f>SUM(E119:E120)</f>
        <v>47</v>
      </c>
      <c r="F121" s="30">
        <f t="shared" si="10"/>
        <v>0.8867924528301887</v>
      </c>
      <c r="G121" s="412">
        <f>SUM(G119:G120)</f>
        <v>157</v>
      </c>
      <c r="H121" s="412">
        <f>SUM(H119:H120)</f>
        <v>141</v>
      </c>
      <c r="I121" s="30">
        <f t="shared" si="11"/>
        <v>0.89808917197452232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06">
        <f>SUM(D116,D119)</f>
        <v>2</v>
      </c>
      <c r="E122" s="406">
        <f>SUM(E116,E119)</f>
        <v>0</v>
      </c>
      <c r="F122" s="30">
        <f t="shared" si="10"/>
        <v>0</v>
      </c>
      <c r="G122" s="406">
        <f>SUM(G116,G119)</f>
        <v>2</v>
      </c>
      <c r="H122" s="406">
        <f>SUM(H116,H119)</f>
        <v>3</v>
      </c>
      <c r="I122" s="30">
        <f t="shared" si="11"/>
        <v>1.5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06">
        <f>SUM(D117,D120)</f>
        <v>129</v>
      </c>
      <c r="E123" s="406">
        <f>SUM(E117,E120)</f>
        <v>126</v>
      </c>
      <c r="F123" s="30">
        <f t="shared" si="10"/>
        <v>0.97674418604651159</v>
      </c>
      <c r="G123" s="406">
        <f>SUM(G117,G120)</f>
        <v>387</v>
      </c>
      <c r="H123" s="406">
        <f>SUM(H117,H120)</f>
        <v>377</v>
      </c>
      <c r="I123" s="30">
        <f t="shared" si="11"/>
        <v>0.97416020671834624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07">
        <f>SUM(D122:D123)</f>
        <v>131</v>
      </c>
      <c r="E124" s="407">
        <f>SUM(E122:E123)</f>
        <v>126</v>
      </c>
      <c r="F124" s="41">
        <f t="shared" si="10"/>
        <v>0.96183206106870234</v>
      </c>
      <c r="G124" s="407">
        <f>SUM(G122:G123)</f>
        <v>389</v>
      </c>
      <c r="H124" s="407">
        <f>SUM(H122:H123)</f>
        <v>380</v>
      </c>
      <c r="I124" s="41">
        <f t="shared" si="11"/>
        <v>0.9768637532133676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01">
        <f>SUM(D113,D122)</f>
        <v>20</v>
      </c>
      <c r="E125" s="401">
        <f>SUM(E113,E122)</f>
        <v>18</v>
      </c>
      <c r="F125" s="45">
        <f t="shared" si="10"/>
        <v>0.9</v>
      </c>
      <c r="G125" s="46">
        <f>SUM(G113,G122)</f>
        <v>60</v>
      </c>
      <c r="H125" s="46">
        <f>SUM(H113,H122)</f>
        <v>40</v>
      </c>
      <c r="I125" s="45">
        <f t="shared" si="11"/>
        <v>0.66666666666666663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02">
        <f>SUM(D114,D123)</f>
        <v>509</v>
      </c>
      <c r="E126" s="402">
        <f>SUM(E114,E123)</f>
        <v>465</v>
      </c>
      <c r="F126" s="32">
        <f t="shared" si="10"/>
        <v>0.91355599214145378</v>
      </c>
      <c r="G126" s="402">
        <f>SUM(G114,G123)</f>
        <v>1467</v>
      </c>
      <c r="H126" s="402">
        <f>SUM(H114,H123)</f>
        <v>1370</v>
      </c>
      <c r="I126" s="32">
        <f t="shared" si="11"/>
        <v>0.93387866394001362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02">
        <f>SUM(D125:D126)</f>
        <v>529</v>
      </c>
      <c r="E127" s="402">
        <f>SUM(E125:E126)</f>
        <v>483</v>
      </c>
      <c r="F127" s="49">
        <f>E127/D127</f>
        <v>0.91304347826086951</v>
      </c>
      <c r="G127" s="401">
        <f>SUM(G125:G126)</f>
        <v>1527</v>
      </c>
      <c r="H127" s="401">
        <f>SUM(H125:H126)</f>
        <v>1410</v>
      </c>
      <c r="I127" s="49">
        <f>H127/G127</f>
        <v>0.92337917485265231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40</v>
      </c>
      <c r="D135" s="592"/>
      <c r="E135" s="591">
        <v>3</v>
      </c>
      <c r="F135" s="592"/>
      <c r="G135" s="591">
        <v>3</v>
      </c>
      <c r="H135" s="592"/>
      <c r="I135" s="591">
        <v>13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00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00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00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00" t="s">
        <v>99</v>
      </c>
      <c r="C140" s="590">
        <v>232</v>
      </c>
      <c r="D140" s="590"/>
      <c r="E140" s="590">
        <v>53</v>
      </c>
      <c r="F140" s="590"/>
      <c r="G140" s="590">
        <v>113</v>
      </c>
      <c r="H140" s="590"/>
      <c r="I140" s="772">
        <v>5557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288</v>
      </c>
      <c r="D145" s="563"/>
      <c r="E145" s="564"/>
      <c r="F145" s="562" t="s">
        <v>207</v>
      </c>
      <c r="G145" s="563"/>
      <c r="H145" s="563"/>
      <c r="I145" s="564"/>
      <c r="J145" s="563" t="s">
        <v>215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289</v>
      </c>
      <c r="D146" s="736"/>
      <c r="E146" s="737"/>
      <c r="F146" s="750" t="s">
        <v>290</v>
      </c>
      <c r="G146" s="754"/>
      <c r="H146" s="754"/>
      <c r="I146" s="755"/>
      <c r="J146" s="751" t="s">
        <v>291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98" t="s">
        <v>109</v>
      </c>
      <c r="C154" s="398" t="s">
        <v>110</v>
      </c>
      <c r="D154" s="39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'2019FEB'!H155</f>
        <v>-9156</v>
      </c>
      <c r="C155" s="63">
        <f>E45-E44</f>
        <v>49738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-93191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147282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13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18386</v>
      </c>
      <c r="H165" s="778"/>
      <c r="I165" s="779"/>
      <c r="J165" s="779"/>
      <c r="K165" s="780"/>
    </row>
    <row r="166" spans="1:11" ht="14">
      <c r="A166" s="397" t="s">
        <v>126</v>
      </c>
      <c r="B166" s="777" t="s">
        <v>127</v>
      </c>
      <c r="C166" s="777"/>
      <c r="D166" s="777"/>
      <c r="E166" s="777"/>
      <c r="F166" s="777"/>
      <c r="G166" s="414">
        <v>1905</v>
      </c>
      <c r="H166" s="778"/>
      <c r="I166" s="779"/>
      <c r="J166" s="779"/>
      <c r="K166" s="780"/>
    </row>
    <row r="167" spans="1:11" ht="14">
      <c r="A167" s="397" t="s">
        <v>128</v>
      </c>
      <c r="B167" s="777" t="s">
        <v>129</v>
      </c>
      <c r="C167" s="777"/>
      <c r="D167" s="777"/>
      <c r="E167" s="777"/>
      <c r="F167" s="777"/>
      <c r="G167" s="413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9BE5538A-1630-4772-80CC-1D8B880739C3}">
      <formula1>"USA, JAPAN"</formula1>
    </dataValidation>
    <dataValidation type="list" allowBlank="1" showInputMessage="1" showErrorMessage="1" sqref="G1" xr:uid="{6B192657-1E79-4767-A741-6BC23BD9AFA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3F10-6A60-4E6E-A8E9-761DB865B2C0}">
  <sheetPr codeName="Sheet29">
    <pageSetUpPr fitToPage="1"/>
  </sheetPr>
  <dimension ref="A1:N167"/>
  <sheetViews>
    <sheetView topLeftCell="A148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1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26" t="s">
        <v>176</v>
      </c>
      <c r="C10" s="61">
        <v>2</v>
      </c>
      <c r="D10" s="432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26" t="s">
        <v>177</v>
      </c>
      <c r="C11" s="61">
        <v>2</v>
      </c>
      <c r="D11" s="432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26" t="s">
        <v>179</v>
      </c>
      <c r="C12" s="61">
        <v>2</v>
      </c>
      <c r="D12" s="432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26" t="s">
        <v>180</v>
      </c>
      <c r="C13" s="61">
        <v>3</v>
      </c>
      <c r="D13" s="432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26" t="s">
        <v>12</v>
      </c>
      <c r="C14" s="61">
        <v>0</v>
      </c>
      <c r="D14" s="432">
        <v>0</v>
      </c>
      <c r="E14" s="693"/>
      <c r="F14" s="694"/>
      <c r="G14" s="694"/>
      <c r="H14" s="694"/>
      <c r="I14" s="695"/>
    </row>
    <row r="15" spans="1:13">
      <c r="A15" s="690"/>
      <c r="B15" s="426" t="s">
        <v>13</v>
      </c>
      <c r="C15" s="61">
        <v>2</v>
      </c>
      <c r="D15" s="432">
        <v>2</v>
      </c>
      <c r="E15" s="770" t="s">
        <v>294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29" t="s">
        <v>23</v>
      </c>
      <c r="E21" s="429" t="s">
        <v>24</v>
      </c>
      <c r="F21" s="429" t="s">
        <v>25</v>
      </c>
      <c r="G21" s="429" t="s">
        <v>23</v>
      </c>
      <c r="H21" s="429" t="s">
        <v>24</v>
      </c>
      <c r="I21" s="429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18382</v>
      </c>
      <c r="E23" s="329">
        <v>17357</v>
      </c>
      <c r="F23" s="14">
        <f t="shared" ref="F23:F28" si="0">E23/D23</f>
        <v>0.94423892938744425</v>
      </c>
      <c r="G23" s="332">
        <f>D23+'2019MAR'!G23</f>
        <v>70790</v>
      </c>
      <c r="H23" s="332">
        <f>E23+'2019MAR'!H23</f>
        <v>66400</v>
      </c>
      <c r="I23" s="14">
        <f t="shared" ref="I23:I28" si="1">H23/G23</f>
        <v>0.93798559118519564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18382</v>
      </c>
      <c r="E24" s="330">
        <f>SUM(E23:E23)</f>
        <v>17357</v>
      </c>
      <c r="F24" s="16">
        <f t="shared" si="0"/>
        <v>0.94423892938744425</v>
      </c>
      <c r="G24" s="330">
        <f>SUM(G23:G23)</f>
        <v>70790</v>
      </c>
      <c r="H24" s="330">
        <f>SUM(H23:H23)</f>
        <v>66400</v>
      </c>
      <c r="I24" s="16">
        <f t="shared" si="1"/>
        <v>0.93798559118519564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21849</v>
      </c>
      <c r="E25" s="329">
        <v>20257</v>
      </c>
      <c r="F25" s="14">
        <f t="shared" si="0"/>
        <v>0.92713625337544048</v>
      </c>
      <c r="G25" s="332">
        <f>D25+'2019MAR'!G25</f>
        <v>81536</v>
      </c>
      <c r="H25" s="332">
        <f>E25+'2019MAR'!H25</f>
        <v>76481</v>
      </c>
      <c r="I25" s="14">
        <f t="shared" si="1"/>
        <v>0.93800284536891676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21849</v>
      </c>
      <c r="E27" s="330">
        <f>SUM(E25:E26)</f>
        <v>20257</v>
      </c>
      <c r="F27" s="16">
        <f t="shared" si="0"/>
        <v>0.92713625337544048</v>
      </c>
      <c r="G27" s="330">
        <f>SUM(G25:G26)</f>
        <v>81536</v>
      </c>
      <c r="H27" s="330">
        <f>SUM(H25:H26)</f>
        <v>76481</v>
      </c>
      <c r="I27" s="16">
        <f t="shared" si="1"/>
        <v>0.93800284536891676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40231</v>
      </c>
      <c r="E28" s="331">
        <f>SUM(E24,E27)</f>
        <v>37614</v>
      </c>
      <c r="F28" s="17">
        <f t="shared" si="0"/>
        <v>0.93495065993885307</v>
      </c>
      <c r="G28" s="331">
        <f>SUM(G24,G27)</f>
        <v>152326</v>
      </c>
      <c r="H28" s="331">
        <f>SUM(H24,H27)</f>
        <v>142881</v>
      </c>
      <c r="I28" s="17">
        <f t="shared" si="1"/>
        <v>0.93799482688444524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3995</v>
      </c>
      <c r="F30" s="14">
        <f>E30/D30</f>
        <v>1.3775862068965516</v>
      </c>
      <c r="G30" s="332">
        <f>D30+'2019MAR'!G30</f>
        <v>11600</v>
      </c>
      <c r="H30" s="332">
        <f>E30+'2019MAR'!H30</f>
        <v>13332</v>
      </c>
      <c r="I30" s="14">
        <f>H30/G30</f>
        <v>1.1493103448275863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292</v>
      </c>
      <c r="F31" s="14" t="e">
        <f t="shared" ref="F31:F47" si="2">E31/D31</f>
        <v>#DIV/0!</v>
      </c>
      <c r="G31" s="332">
        <f>D31+'2019MAR'!G31</f>
        <v>0</v>
      </c>
      <c r="H31" s="332">
        <f>E31+'2019MAR'!H31</f>
        <v>6705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4287</v>
      </c>
      <c r="F32" s="14">
        <f t="shared" si="2"/>
        <v>1.4782758620689656</v>
      </c>
      <c r="G32" s="330">
        <f>SUM(G30:G31)</f>
        <v>11600</v>
      </c>
      <c r="H32" s="330">
        <f>SUM(H30:H31)</f>
        <v>20037</v>
      </c>
      <c r="I32" s="14">
        <f t="shared" si="3"/>
        <v>1.7273275862068966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696</v>
      </c>
      <c r="F33" s="14" t="e">
        <f t="shared" si="2"/>
        <v>#DIV/0!</v>
      </c>
      <c r="G33" s="332">
        <f>D33+'2019MAR'!G33</f>
        <v>0</v>
      </c>
      <c r="H33" s="332">
        <f>E33+'2019MAR'!H33</f>
        <v>5240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4983</v>
      </c>
      <c r="F34" s="14">
        <f t="shared" si="2"/>
        <v>1.7182758620689655</v>
      </c>
      <c r="G34" s="334">
        <f>SUM(G32,G33)</f>
        <v>11600</v>
      </c>
      <c r="H34" s="334">
        <f>SUM(H32,H33)</f>
        <v>25277</v>
      </c>
      <c r="I34" s="14">
        <f t="shared" si="3"/>
        <v>2.1790517241379312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170351</v>
      </c>
      <c r="F35" s="14">
        <f t="shared" si="2"/>
        <v>4.7016725546478249</v>
      </c>
      <c r="G35" s="332">
        <f>D35+'2019MAR'!G35</f>
        <v>144928</v>
      </c>
      <c r="H35" s="332">
        <f>E35+'2019MAR'!H35</f>
        <v>170351</v>
      </c>
      <c r="I35" s="14">
        <f t="shared" si="3"/>
        <v>1.1754181386619562</v>
      </c>
      <c r="J35" s="525" t="s">
        <v>295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170351</v>
      </c>
      <c r="F37" s="16">
        <f t="shared" si="2"/>
        <v>4.7016725546478249</v>
      </c>
      <c r="G37" s="341">
        <f>SUM(G35:G36)</f>
        <v>144928</v>
      </c>
      <c r="H37" s="341">
        <f>SUM(H35:H36)</f>
        <v>170351</v>
      </c>
      <c r="I37" s="16">
        <f t="shared" si="3"/>
        <v>1.1754181386619562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D38+'2019MAR'!G38</f>
        <v>0</v>
      </c>
      <c r="H38" s="332">
        <f>E38+'2019MAR'!H38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170351</v>
      </c>
      <c r="F41" s="19">
        <f t="shared" si="2"/>
        <v>4.7016725546478249</v>
      </c>
      <c r="G41" s="334">
        <f>SUM(G37,G40)</f>
        <v>144928</v>
      </c>
      <c r="H41" s="334">
        <f>SUM(H37,H40)</f>
        <v>185568</v>
      </c>
      <c r="I41" s="19">
        <f t="shared" si="3"/>
        <v>1.2804151026716715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14106</v>
      </c>
      <c r="F42" s="21">
        <f t="shared" si="2"/>
        <v>1.0850769230769231</v>
      </c>
      <c r="G42" s="342">
        <f>D42+'2019MAR'!G42</f>
        <v>50500</v>
      </c>
      <c r="H42" s="342">
        <f>E42+'2019MAR'!H42</f>
        <v>62979</v>
      </c>
      <c r="I42" s="21">
        <f t="shared" si="3"/>
        <v>1.2471089108910891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D43+'2019MAR'!G43</f>
        <v>8000</v>
      </c>
      <c r="H43" s="342">
        <f>E43+'2019MAR'!H43</f>
        <v>451</v>
      </c>
      <c r="I43" s="21">
        <f t="shared" si="3"/>
        <v>5.6375000000000001E-2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>
        <v>120000</v>
      </c>
      <c r="F44" s="21">
        <f t="shared" si="2"/>
        <v>3</v>
      </c>
      <c r="G44" s="342">
        <f>D44+'2019MAR'!G44</f>
        <v>160000</v>
      </c>
      <c r="H44" s="342">
        <f>E44+'2019MAR'!H44</f>
        <v>240000</v>
      </c>
      <c r="I44" s="21">
        <f t="shared" si="3"/>
        <v>1.5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134363</v>
      </c>
      <c r="E45" s="339">
        <f>SUM(E28,E34,E41,E42:E44)</f>
        <v>347054</v>
      </c>
      <c r="F45" s="22">
        <f t="shared" si="2"/>
        <v>2.5829581060262128</v>
      </c>
      <c r="G45" s="339">
        <f>SUM(G28,G34,G41,G42:G44)</f>
        <v>527354</v>
      </c>
      <c r="H45" s="339">
        <f>SUM(H28,H34,H41,H42:H44)</f>
        <v>657156</v>
      </c>
      <c r="I45" s="22">
        <f t="shared" si="3"/>
        <v>1.2461382676532273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121363</v>
      </c>
      <c r="E46" s="339">
        <f>E45-E42</f>
        <v>332948</v>
      </c>
      <c r="F46" s="22">
        <f t="shared" si="2"/>
        <v>2.7434061452007614</v>
      </c>
      <c r="G46" s="339">
        <f>G45-G42</f>
        <v>476854</v>
      </c>
      <c r="H46" s="339">
        <f>H45-H42</f>
        <v>594177</v>
      </c>
      <c r="I46" s="22">
        <f t="shared" si="3"/>
        <v>1.246035474170291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81363</v>
      </c>
      <c r="E47" s="340">
        <f>E46-E44</f>
        <v>212948</v>
      </c>
      <c r="F47" s="23">
        <f t="shared" si="2"/>
        <v>2.6172584590047072</v>
      </c>
      <c r="G47" s="340">
        <f>G46-G44</f>
        <v>316854</v>
      </c>
      <c r="H47" s="340">
        <f>H46-H44</f>
        <v>354177</v>
      </c>
      <c r="I47" s="23">
        <f t="shared" si="3"/>
        <v>1.1177924217462933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27" t="s">
        <v>23</v>
      </c>
      <c r="E52" s="427" t="s">
        <v>24</v>
      </c>
      <c r="F52" s="427" t="s">
        <v>25</v>
      </c>
      <c r="G52" s="427" t="s">
        <v>23</v>
      </c>
      <c r="H52" s="427" t="s">
        <v>24</v>
      </c>
      <c r="I52" s="42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32">
        <v>27</v>
      </c>
      <c r="F53" s="28">
        <f t="shared" ref="F53:F79" si="4">E53/D53</f>
        <v>1.35</v>
      </c>
      <c r="G53" s="66">
        <f>D53+'2019MAR'!G53</f>
        <v>80</v>
      </c>
      <c r="H53" s="66">
        <f>E53+'2019MAR'!H53</f>
        <v>67</v>
      </c>
      <c r="I53" s="28">
        <f t="shared" ref="I53:I79" si="5">H53/G53</f>
        <v>0.83750000000000002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448</v>
      </c>
      <c r="E54" s="432">
        <v>472</v>
      </c>
      <c r="F54" s="28">
        <f t="shared" si="4"/>
        <v>1.0535714285714286</v>
      </c>
      <c r="G54" s="66">
        <f>D54+'2019MAR'!G54</f>
        <v>1834</v>
      </c>
      <c r="H54" s="66">
        <f>E54+'2019MAR'!H54</f>
        <v>1842</v>
      </c>
      <c r="I54" s="28">
        <f t="shared" si="5"/>
        <v>1.0043620501635768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30">
        <f>SUM(D53:D54)</f>
        <v>468</v>
      </c>
      <c r="E55" s="430">
        <f>SUM(E53:E54)</f>
        <v>499</v>
      </c>
      <c r="F55" s="30">
        <f t="shared" si="4"/>
        <v>1.0662393162393162</v>
      </c>
      <c r="G55" s="430">
        <f>SUM(G53:G54)</f>
        <v>1914</v>
      </c>
      <c r="H55" s="430">
        <f>SUM(H53:H54)</f>
        <v>1909</v>
      </c>
      <c r="I55" s="30">
        <f t="shared" si="5"/>
        <v>0.99738766980146287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32">
        <v>65</v>
      </c>
      <c r="F56" s="28">
        <f t="shared" si="4"/>
        <v>0.7831325301204819</v>
      </c>
      <c r="G56" s="66">
        <f>D56+'2019MAR'!G56</f>
        <v>332</v>
      </c>
      <c r="H56" s="66">
        <f>E56+'2019MAR'!H56</f>
        <v>238</v>
      </c>
      <c r="I56" s="28">
        <f t="shared" si="5"/>
        <v>0.7168674698795181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1134</v>
      </c>
      <c r="E57" s="432">
        <v>1330</v>
      </c>
      <c r="F57" s="28">
        <f t="shared" si="4"/>
        <v>1.1728395061728396</v>
      </c>
      <c r="G57" s="66">
        <f>D57+'2019MAR'!G57</f>
        <v>4642</v>
      </c>
      <c r="H57" s="66">
        <f>E57+'2019MAR'!H57</f>
        <v>5029</v>
      </c>
      <c r="I57" s="28">
        <f t="shared" si="5"/>
        <v>1.0833692373976733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24">
        <f>SUM(D56:D57)</f>
        <v>1217</v>
      </c>
      <c r="E58" s="424">
        <f>SUM(E56:E57)</f>
        <v>1395</v>
      </c>
      <c r="F58" s="28">
        <f t="shared" si="4"/>
        <v>1.1462612982744453</v>
      </c>
      <c r="G58" s="424">
        <f>SUM(G56:G57)</f>
        <v>4974</v>
      </c>
      <c r="H58" s="424">
        <f>SUM(H56:H57)</f>
        <v>5267</v>
      </c>
      <c r="I58" s="31">
        <f t="shared" si="5"/>
        <v>1.0589063128266989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20">
        <f>SUM(D53,D56)</f>
        <v>103</v>
      </c>
      <c r="E59" s="420">
        <f>SUM(E53,E56)</f>
        <v>92</v>
      </c>
      <c r="F59" s="32">
        <f t="shared" si="4"/>
        <v>0.89320388349514568</v>
      </c>
      <c r="G59" s="420">
        <f>SUM(G53,G56)</f>
        <v>412</v>
      </c>
      <c r="H59" s="420">
        <f>SUM(H53,H56)</f>
        <v>305</v>
      </c>
      <c r="I59" s="32">
        <f t="shared" si="5"/>
        <v>0.74029126213592233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20">
        <f>SUM(D54,D57)</f>
        <v>1582</v>
      </c>
      <c r="E60" s="420">
        <f>SUM(E54,E57)</f>
        <v>1802</v>
      </c>
      <c r="F60" s="32">
        <f t="shared" si="4"/>
        <v>1.1390644753476611</v>
      </c>
      <c r="G60" s="420">
        <f>SUM(G54,G57)</f>
        <v>6476</v>
      </c>
      <c r="H60" s="420">
        <f>SUM(H54,H57)</f>
        <v>6871</v>
      </c>
      <c r="I60" s="32">
        <f t="shared" si="5"/>
        <v>1.060994441012971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28">
        <f>SUM(D59:D60)</f>
        <v>1685</v>
      </c>
      <c r="E61" s="428">
        <f>SUM(E59:E60)</f>
        <v>1894</v>
      </c>
      <c r="F61" s="33">
        <f t="shared" si="4"/>
        <v>1.1240356083086054</v>
      </c>
      <c r="G61" s="428">
        <f>SUM(G59:G60)</f>
        <v>6888</v>
      </c>
      <c r="H61" s="428">
        <f>SUM(H59:H60)</f>
        <v>7176</v>
      </c>
      <c r="I61" s="33">
        <f t="shared" si="5"/>
        <v>1.0418118466898956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26">
        <f>E71/10</f>
        <v>93.9</v>
      </c>
      <c r="F62" s="28">
        <f t="shared" si="4"/>
        <v>1.3414285714285714</v>
      </c>
      <c r="G62" s="66">
        <f>D62+'2019MAR'!G62</f>
        <v>280</v>
      </c>
      <c r="H62" s="66">
        <f>E62+'2019MAR'!H62</f>
        <v>233</v>
      </c>
      <c r="I62" s="28">
        <f t="shared" si="5"/>
        <v>0.83214285714285718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1560</v>
      </c>
      <c r="E63" s="426">
        <f>E72/10</f>
        <v>1641.8</v>
      </c>
      <c r="F63" s="28">
        <f t="shared" si="4"/>
        <v>1.0524358974358974</v>
      </c>
      <c r="G63" s="248">
        <f>D63+'2019MAR'!G63</f>
        <v>6384</v>
      </c>
      <c r="H63" s="66">
        <f>E63+'2019MAR'!H63</f>
        <v>6407.0000000000009</v>
      </c>
      <c r="I63" s="28">
        <f t="shared" si="5"/>
        <v>1.0036027568922308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1630</v>
      </c>
      <c r="E64" s="430">
        <f>SUM(E62:E63)</f>
        <v>1735.7</v>
      </c>
      <c r="F64" s="30">
        <f t="shared" si="4"/>
        <v>1.0648466257668712</v>
      </c>
      <c r="G64" s="430">
        <f>SUM(G62:G63)</f>
        <v>6664</v>
      </c>
      <c r="H64" s="430">
        <f>SUM(H62:H63)</f>
        <v>6640.0000000000009</v>
      </c>
      <c r="I64" s="30">
        <f t="shared" si="5"/>
        <v>0.99639855942376965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26">
        <f>E74/10</f>
        <v>101.7</v>
      </c>
      <c r="F65" s="28">
        <f t="shared" si="4"/>
        <v>0.82016129032258067</v>
      </c>
      <c r="G65" s="66">
        <f>D65+'2019MAR'!G65</f>
        <v>496</v>
      </c>
      <c r="H65" s="66">
        <f>E65+'2019MAR'!H65</f>
        <v>327.7</v>
      </c>
      <c r="I65" s="28">
        <f t="shared" si="5"/>
        <v>0.6606854838709677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1690</v>
      </c>
      <c r="E66" s="426">
        <f>E75/10</f>
        <v>1924</v>
      </c>
      <c r="F66" s="28">
        <f t="shared" si="4"/>
        <v>1.1384615384615384</v>
      </c>
      <c r="G66" s="66">
        <f>D66+'2019MAR'!G66</f>
        <v>6917</v>
      </c>
      <c r="H66" s="66">
        <f>E66+'2019MAR'!H66</f>
        <v>7320.4</v>
      </c>
      <c r="I66" s="28">
        <f t="shared" si="5"/>
        <v>1.0583200809599538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24">
        <f>SUM(D65:D66)</f>
        <v>1814</v>
      </c>
      <c r="E67" s="424">
        <f>SUM(E65:E66)</f>
        <v>2025.7</v>
      </c>
      <c r="F67" s="31">
        <f t="shared" si="4"/>
        <v>1.1167034178610804</v>
      </c>
      <c r="G67" s="424">
        <f>SUM(G65:G66)</f>
        <v>7413</v>
      </c>
      <c r="H67" s="424">
        <f>SUM(H65:H66)</f>
        <v>7648.0999999999995</v>
      </c>
      <c r="I67" s="31">
        <f t="shared" si="5"/>
        <v>1.0317145555105893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20">
        <f>SUM(D62,D65)</f>
        <v>194</v>
      </c>
      <c r="E68" s="420">
        <f>SUM(E62,E65)</f>
        <v>195.60000000000002</v>
      </c>
      <c r="F68" s="32">
        <f t="shared" si="4"/>
        <v>1.0082474226804126</v>
      </c>
      <c r="G68" s="420">
        <f>SUM(G62,G65)</f>
        <v>776</v>
      </c>
      <c r="H68" s="420">
        <f>SUM(H62,H65)</f>
        <v>560.70000000000005</v>
      </c>
      <c r="I68" s="32">
        <f t="shared" si="5"/>
        <v>0.72255154639175267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20">
        <f>SUM(D63,D66)</f>
        <v>3250</v>
      </c>
      <c r="E69" s="420">
        <f>SUM(E63,E66)</f>
        <v>3565.8</v>
      </c>
      <c r="F69" s="32">
        <f t="shared" si="4"/>
        <v>1.0971692307692309</v>
      </c>
      <c r="G69" s="420">
        <f>SUM(G63,G66)</f>
        <v>13301</v>
      </c>
      <c r="H69" s="420">
        <f>SUM(H63,H66)</f>
        <v>13727.400000000001</v>
      </c>
      <c r="I69" s="32">
        <f t="shared" si="5"/>
        <v>1.0320577400195474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28">
        <f>SUM(D68:D69)</f>
        <v>3444</v>
      </c>
      <c r="E70" s="428">
        <f>SUM(E68:E69)</f>
        <v>3761.4</v>
      </c>
      <c r="F70" s="34">
        <f t="shared" si="4"/>
        <v>1.0921602787456446</v>
      </c>
      <c r="G70" s="428">
        <f>SUM(G68:G69)</f>
        <v>14077</v>
      </c>
      <c r="H70" s="428">
        <f>SUM(H68:H69)</f>
        <v>14288.100000000002</v>
      </c>
      <c r="I70" s="34">
        <f t="shared" si="5"/>
        <v>1.0149960929175252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2784</v>
      </c>
      <c r="E71" s="432">
        <v>939</v>
      </c>
      <c r="F71" s="28">
        <f t="shared" si="4"/>
        <v>0.33728448275862066</v>
      </c>
      <c r="G71" s="179">
        <f>D71+'2019MAR'!G71</f>
        <v>6960</v>
      </c>
      <c r="H71" s="66">
        <f>E71+'2019MAR'!H71</f>
        <v>2330</v>
      </c>
      <c r="I71" s="28">
        <f t="shared" si="5"/>
        <v>0.33477011494252873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15598</v>
      </c>
      <c r="E72" s="341">
        <f>E23-E71</f>
        <v>16418</v>
      </c>
      <c r="F72" s="28">
        <f t="shared" si="4"/>
        <v>1.0525708424156943</v>
      </c>
      <c r="G72" s="248">
        <f>D72+'2019MAR'!G72</f>
        <v>63830</v>
      </c>
      <c r="H72" s="332">
        <f>E72+'2019MAR'!H72</f>
        <v>64070</v>
      </c>
      <c r="I72" s="28">
        <f t="shared" si="5"/>
        <v>1.0037599874667085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30">
        <f>SUM(D71:D72)</f>
        <v>18382</v>
      </c>
      <c r="E73" s="430">
        <f>SUM(E71:E72)</f>
        <v>17357</v>
      </c>
      <c r="F73" s="30">
        <f t="shared" si="4"/>
        <v>0.94423892938744425</v>
      </c>
      <c r="G73" s="430">
        <f>SUM(G71:G72)</f>
        <v>70790</v>
      </c>
      <c r="H73" s="430">
        <f>SUM(H71:H72)</f>
        <v>66400</v>
      </c>
      <c r="I73" s="30">
        <f t="shared" si="5"/>
        <v>0.93798559118519564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4947</v>
      </c>
      <c r="E74" s="432">
        <v>1017</v>
      </c>
      <c r="F74" s="28">
        <f t="shared" si="4"/>
        <v>0.20557913887204365</v>
      </c>
      <c r="G74" s="179">
        <f>D74+'2019MAR'!G74</f>
        <v>12367</v>
      </c>
      <c r="H74" s="66">
        <f>E74+'2019MAR'!H74</f>
        <v>3277</v>
      </c>
      <c r="I74" s="28">
        <f t="shared" si="5"/>
        <v>0.26497938060968707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16902</v>
      </c>
      <c r="E75" s="431">
        <f>E25-E74</f>
        <v>19240</v>
      </c>
      <c r="F75" s="28">
        <f t="shared" si="4"/>
        <v>1.1383268252277836</v>
      </c>
      <c r="G75" s="248">
        <f>D75+'2019MAR'!G75</f>
        <v>69169</v>
      </c>
      <c r="H75" s="66">
        <f>E75+'2019MAR'!H75</f>
        <v>73204</v>
      </c>
      <c r="I75" s="28">
        <f t="shared" si="5"/>
        <v>1.0583353814570111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24">
        <f>SUM(D74:D75)</f>
        <v>21849</v>
      </c>
      <c r="E76" s="424">
        <f>SUM(E74:E75)</f>
        <v>20257</v>
      </c>
      <c r="F76" s="31">
        <f t="shared" si="4"/>
        <v>0.92713625337544048</v>
      </c>
      <c r="G76" s="424">
        <f>SUM(G74:G75)</f>
        <v>81536</v>
      </c>
      <c r="H76" s="424">
        <f>SUM(H74:H75)</f>
        <v>76481</v>
      </c>
      <c r="I76" s="31">
        <f t="shared" si="5"/>
        <v>0.93800284536891676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20">
        <f>SUM(D71,D74)</f>
        <v>7731</v>
      </c>
      <c r="E77" s="420">
        <f>SUM(E71,E74)</f>
        <v>1956</v>
      </c>
      <c r="F77" s="32">
        <f t="shared" si="4"/>
        <v>0.25300737291424136</v>
      </c>
      <c r="G77" s="420">
        <f>SUM(G71,G74)</f>
        <v>19327</v>
      </c>
      <c r="H77" s="420">
        <f>SUM(H71,H74)</f>
        <v>5607</v>
      </c>
      <c r="I77" s="32">
        <f t="shared" si="5"/>
        <v>0.29011227816008694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20">
        <f>SUM(D72,D75)</f>
        <v>32500</v>
      </c>
      <c r="E78" s="420">
        <f>SUM(E72,E75)</f>
        <v>35658</v>
      </c>
      <c r="F78" s="32">
        <f t="shared" si="4"/>
        <v>1.0971692307692307</v>
      </c>
      <c r="G78" s="420">
        <f>SUM(G72,G75)</f>
        <v>132999</v>
      </c>
      <c r="H78" s="420">
        <f>SUM(H72,H75)</f>
        <v>137274</v>
      </c>
      <c r="I78" s="32">
        <f t="shared" si="5"/>
        <v>1.032143098820292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28">
        <f>SUM(D77:D78)</f>
        <v>40231</v>
      </c>
      <c r="E79" s="428">
        <f>SUM(E77:E78)</f>
        <v>37614</v>
      </c>
      <c r="F79" s="34">
        <f t="shared" si="4"/>
        <v>0.93495065993885307</v>
      </c>
      <c r="G79" s="428">
        <f>SUM(G77:G78)</f>
        <v>152326</v>
      </c>
      <c r="H79" s="428">
        <f>SUM(H77:H78)</f>
        <v>142881</v>
      </c>
      <c r="I79" s="34">
        <f t="shared" si="5"/>
        <v>0.93799482688444524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499</v>
      </c>
      <c r="E87" s="130"/>
      <c r="F87" s="134">
        <f>D87+'2019MAR'!F87</f>
        <v>1909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27</v>
      </c>
      <c r="E88" s="128"/>
      <c r="F88" s="134">
        <f>D88+'2019MAR'!F88</f>
        <v>67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4.0080160320641279E-3</v>
      </c>
      <c r="F89" s="134">
        <f>D89+'2019MAR'!F89</f>
        <v>5</v>
      </c>
      <c r="G89" s="128">
        <f>F89/F87</f>
        <v>2.6191723415400735E-3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11</v>
      </c>
      <c r="E90" s="128">
        <f>D90/D92</f>
        <v>4.1353383458646614E-2</v>
      </c>
      <c r="F90" s="134">
        <f>D90+'2019MAR'!F90</f>
        <v>222</v>
      </c>
      <c r="G90" s="128">
        <f>F90/F92</f>
        <v>0.23100936524453694</v>
      </c>
      <c r="H90" s="128"/>
    </row>
    <row r="91" spans="1:13" ht="15" customHeight="1">
      <c r="A91" s="775"/>
      <c r="B91" s="776" t="s">
        <v>202</v>
      </c>
      <c r="C91" s="776"/>
      <c r="D91" s="131">
        <v>284</v>
      </c>
      <c r="E91" s="128">
        <f>D91/D92</f>
        <v>1.0676691729323309</v>
      </c>
      <c r="F91" s="134">
        <f>D91+'2019MAR'!F91</f>
        <v>811</v>
      </c>
      <c r="G91" s="128">
        <f>F91/F92</f>
        <v>0.84391259105098859</v>
      </c>
      <c r="H91" s="128"/>
    </row>
    <row r="92" spans="1:13" ht="15" customHeight="1">
      <c r="A92" s="775"/>
      <c r="B92" s="776" t="s">
        <v>203</v>
      </c>
      <c r="C92" s="776"/>
      <c r="D92" s="131">
        <v>266</v>
      </c>
      <c r="E92" s="130"/>
      <c r="F92" s="134">
        <f>D92+'2019MAR'!F92</f>
        <v>961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27" t="s">
        <v>23</v>
      </c>
      <c r="E97" s="427" t="s">
        <v>24</v>
      </c>
      <c r="F97" s="427" t="s">
        <v>25</v>
      </c>
      <c r="G97" s="427" t="s">
        <v>23</v>
      </c>
      <c r="H97" s="427" t="s">
        <v>24</v>
      </c>
      <c r="I97" s="42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32">
        <v>0</v>
      </c>
      <c r="F98" s="37" t="e">
        <f>E98/D98</f>
        <v>#DIV/0!</v>
      </c>
      <c r="G98" s="66">
        <f>D98+'2019MAR'!G98</f>
        <v>0</v>
      </c>
      <c r="H98" s="66">
        <f>E98+'2019MAR'!H98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32">
        <v>19</v>
      </c>
      <c r="F99" s="28">
        <f t="shared" ref="F99:F115" si="6">E99/D99</f>
        <v>0.48717948717948717</v>
      </c>
      <c r="G99" s="66">
        <f>D99+'2019MAR'!G99</f>
        <v>156</v>
      </c>
      <c r="H99" s="66">
        <f>E99+'2019MAR'!H99</f>
        <v>82</v>
      </c>
      <c r="I99" s="28">
        <f t="shared" ref="I99:I115" si="7">H99/G99</f>
        <v>0.52564102564102566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30">
        <f>SUM(D98:D99)</f>
        <v>39</v>
      </c>
      <c r="E100" s="430">
        <f>SUM(E98:E99)</f>
        <v>19</v>
      </c>
      <c r="F100" s="30">
        <f t="shared" si="6"/>
        <v>0.48717948717948717</v>
      </c>
      <c r="G100" s="430">
        <f>SUM(G98:G99)</f>
        <v>156</v>
      </c>
      <c r="H100" s="430">
        <f>SUM(H98:H99)</f>
        <v>82</v>
      </c>
      <c r="I100" s="30">
        <f t="shared" si="7"/>
        <v>0.52564102564102566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32">
        <v>0</v>
      </c>
      <c r="F101" s="28" t="e">
        <f t="shared" si="6"/>
        <v>#DIV/0!</v>
      </c>
      <c r="G101" s="66">
        <f>D101+'2019MAR'!G101</f>
        <v>0</v>
      </c>
      <c r="H101" s="66">
        <f>E101+'2019MAR'!H101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32">
        <v>9</v>
      </c>
      <c r="F102" s="28">
        <f t="shared" si="6"/>
        <v>1</v>
      </c>
      <c r="G102" s="66">
        <f>D102+'2019MAR'!G102</f>
        <v>36</v>
      </c>
      <c r="H102" s="66">
        <f>E102+'2019MAR'!H102</f>
        <v>36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30">
        <f>SUM(D101:D102)</f>
        <v>9</v>
      </c>
      <c r="E103" s="430">
        <f>SUM(E101:E102)</f>
        <v>9</v>
      </c>
      <c r="F103" s="30">
        <f t="shared" si="6"/>
        <v>1</v>
      </c>
      <c r="G103" s="430">
        <f>SUM(G101:G102)</f>
        <v>36</v>
      </c>
      <c r="H103" s="430">
        <f>SUM(H101:H102)</f>
        <v>36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32">
        <v>18</v>
      </c>
      <c r="F104" s="28">
        <f t="shared" si="6"/>
        <v>2.25</v>
      </c>
      <c r="G104" s="66">
        <f>D104+'2019MAR'!G104</f>
        <v>35</v>
      </c>
      <c r="H104" s="66">
        <f>E104+'2019MAR'!H104</f>
        <v>23</v>
      </c>
      <c r="I104" s="28">
        <f t="shared" si="7"/>
        <v>0.65714285714285714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98</v>
      </c>
      <c r="E105" s="432">
        <v>75</v>
      </c>
      <c r="F105" s="28">
        <f t="shared" si="6"/>
        <v>0.76530612244897955</v>
      </c>
      <c r="G105" s="66">
        <f>D105+'2019MAR'!G105</f>
        <v>340</v>
      </c>
      <c r="H105" s="66">
        <f>E105+'2019MAR'!H105</f>
        <v>293</v>
      </c>
      <c r="I105" s="28">
        <f t="shared" si="7"/>
        <v>0.86176470588235299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30">
        <f>SUM(D104:D105)</f>
        <v>106</v>
      </c>
      <c r="E106" s="430">
        <f>SUM(E104:E105)</f>
        <v>93</v>
      </c>
      <c r="F106" s="30">
        <f t="shared" si="6"/>
        <v>0.87735849056603776</v>
      </c>
      <c r="G106" s="430">
        <f>SUM(G104:G105)</f>
        <v>375</v>
      </c>
      <c r="H106" s="430">
        <f>SUM(H104:H105)</f>
        <v>316</v>
      </c>
      <c r="I106" s="30">
        <f t="shared" si="7"/>
        <v>0.84266666666666667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432">
        <v>2</v>
      </c>
      <c r="F107" s="28">
        <f>E107/D107</f>
        <v>1</v>
      </c>
      <c r="G107" s="66">
        <f>D107+'2019MAR'!G107</f>
        <v>5</v>
      </c>
      <c r="H107" s="66">
        <f>E107+'2019MAR'!H107</f>
        <v>4</v>
      </c>
      <c r="I107" s="28">
        <f>H107/G107</f>
        <v>0.8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142</v>
      </c>
      <c r="E108" s="432">
        <v>138</v>
      </c>
      <c r="F108" s="28">
        <f>E108/D108</f>
        <v>0.971830985915493</v>
      </c>
      <c r="G108" s="66">
        <f>D108+'2019MAR'!G108</f>
        <v>561</v>
      </c>
      <c r="H108" s="66">
        <f>E108+'2019MAR'!H108</f>
        <v>548</v>
      </c>
      <c r="I108" s="28">
        <f t="shared" si="7"/>
        <v>0.97682709447415328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30">
        <f>SUM(D107:D108)</f>
        <v>144</v>
      </c>
      <c r="E109" s="430">
        <f>SUM(E107:E108)</f>
        <v>140</v>
      </c>
      <c r="F109" s="30">
        <f t="shared" si="6"/>
        <v>0.97222222222222221</v>
      </c>
      <c r="G109" s="430">
        <f>SUM(G107:G108)</f>
        <v>566</v>
      </c>
      <c r="H109" s="430">
        <f>SUM(H107:H108)</f>
        <v>552</v>
      </c>
      <c r="I109" s="30">
        <f t="shared" si="7"/>
        <v>0.97526501766784457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32">
        <v>5</v>
      </c>
      <c r="F110" s="30">
        <f>E110/D110</f>
        <v>0.55555555555555558</v>
      </c>
      <c r="G110" s="66">
        <f>D110+'2019MAR'!G110</f>
        <v>37</v>
      </c>
      <c r="H110" s="66">
        <f>E110+'2019MAR'!H110</f>
        <v>35</v>
      </c>
      <c r="I110" s="30">
        <f>H110/G110</f>
        <v>0.94594594594594594</v>
      </c>
      <c r="J110" s="421"/>
      <c r="K110" s="422"/>
      <c r="L110" s="422"/>
      <c r="M110" s="423"/>
    </row>
    <row r="111" spans="1:13">
      <c r="A111" s="553"/>
      <c r="B111" s="803"/>
      <c r="C111" s="27" t="s">
        <v>70</v>
      </c>
      <c r="D111" s="65">
        <v>110</v>
      </c>
      <c r="E111" s="432">
        <v>108</v>
      </c>
      <c r="F111" s="30">
        <f t="shared" ref="F111:F112" si="8">E111/D111</f>
        <v>0.98181818181818181</v>
      </c>
      <c r="G111" s="66">
        <f>D111+'2019MAR'!G111</f>
        <v>385</v>
      </c>
      <c r="H111" s="66">
        <f>E111+'2019MAR'!H111</f>
        <v>383</v>
      </c>
      <c r="I111" s="30">
        <f t="shared" ref="I111:I112" si="9">H111/G111</f>
        <v>0.9948051948051948</v>
      </c>
      <c r="J111" s="421"/>
      <c r="K111" s="422"/>
      <c r="L111" s="422"/>
      <c r="M111" s="423"/>
    </row>
    <row r="112" spans="1:13">
      <c r="A112" s="553"/>
      <c r="B112" s="804"/>
      <c r="C112" s="38" t="s">
        <v>166</v>
      </c>
      <c r="D112" s="430">
        <f>SUM(D110:D111)</f>
        <v>119</v>
      </c>
      <c r="E112" s="430">
        <f>SUM(E110:E111)</f>
        <v>113</v>
      </c>
      <c r="F112" s="30">
        <f t="shared" si="8"/>
        <v>0.94957983193277307</v>
      </c>
      <c r="G112" s="430">
        <f>SUM(G110:G111)</f>
        <v>422</v>
      </c>
      <c r="H112" s="430">
        <f>SUM(H110:H111)</f>
        <v>418</v>
      </c>
      <c r="I112" s="30">
        <f t="shared" si="9"/>
        <v>0.99052132701421802</v>
      </c>
      <c r="J112" s="421"/>
      <c r="K112" s="422"/>
      <c r="L112" s="422"/>
      <c r="M112" s="423"/>
    </row>
    <row r="113" spans="1:13">
      <c r="A113" s="553"/>
      <c r="B113" s="611" t="s">
        <v>46</v>
      </c>
      <c r="C113" s="39" t="s">
        <v>69</v>
      </c>
      <c r="D113" s="424">
        <f>SUM(D98,D101,D104,D107,D110)</f>
        <v>19</v>
      </c>
      <c r="E113" s="424">
        <f>SUM(E98,E101,E104,E107,E110)</f>
        <v>25</v>
      </c>
      <c r="F113" s="31">
        <f t="shared" si="6"/>
        <v>1.3157894736842106</v>
      </c>
      <c r="G113" s="424">
        <f>SUM(G98,G101,G104,G107,G110)</f>
        <v>77</v>
      </c>
      <c r="H113" s="424">
        <f>SUM(H98,H101,H104,H107,H110)</f>
        <v>62</v>
      </c>
      <c r="I113" s="31">
        <f t="shared" si="7"/>
        <v>0.80519480519480524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24">
        <f>SUM(D99,D102,D105,D108,D111)</f>
        <v>398</v>
      </c>
      <c r="E114" s="424">
        <f>SUM(E99,E102,E105,E108,E111)</f>
        <v>349</v>
      </c>
      <c r="F114" s="31">
        <f t="shared" si="6"/>
        <v>0.87688442211055273</v>
      </c>
      <c r="G114" s="424">
        <f>SUM(G99,G102,G105,G108,G111)</f>
        <v>1478</v>
      </c>
      <c r="H114" s="424">
        <f>SUM(H99,H102,H105,H108,H111)</f>
        <v>1342</v>
      </c>
      <c r="I114" s="31">
        <f t="shared" si="7"/>
        <v>0.90798376184032481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25">
        <f>SUM(D113:D114)</f>
        <v>417</v>
      </c>
      <c r="E115" s="425">
        <f>SUM(E113:E114)</f>
        <v>374</v>
      </c>
      <c r="F115" s="41">
        <f t="shared" si="6"/>
        <v>0.89688249400479614</v>
      </c>
      <c r="G115" s="425">
        <f>SUM(G113:G114)</f>
        <v>1555</v>
      </c>
      <c r="H115" s="425">
        <f>SUM(H113:H114)</f>
        <v>1404</v>
      </c>
      <c r="I115" s="41">
        <f t="shared" si="7"/>
        <v>0.90289389067524117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D116+'2019MAR'!G116</f>
        <v>2</v>
      </c>
      <c r="H116" s="70">
        <f>E116+'2019MAR'!H116</f>
        <v>2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78</v>
      </c>
      <c r="E117" s="432">
        <v>77</v>
      </c>
      <c r="F117" s="28">
        <f t="shared" ref="F117:F126" si="10">E117/D117</f>
        <v>0.98717948717948723</v>
      </c>
      <c r="G117" s="71">
        <f>D117+'2019MAR'!G117</f>
        <v>309</v>
      </c>
      <c r="H117" s="71">
        <f>E117+'2019MAR'!H117</f>
        <v>315</v>
      </c>
      <c r="I117" s="28">
        <f t="shared" ref="I117:I126" si="11">H117/G117</f>
        <v>1.0194174757281553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30">
        <f>SUM(D116:D117)</f>
        <v>79</v>
      </c>
      <c r="E118" s="430">
        <f>SUM(E116:E117)</f>
        <v>78</v>
      </c>
      <c r="F118" s="30">
        <f t="shared" si="10"/>
        <v>0.98734177215189878</v>
      </c>
      <c r="G118" s="430">
        <f>SUM(G116:G117)</f>
        <v>311</v>
      </c>
      <c r="H118" s="430">
        <f>SUM(H116:H117)</f>
        <v>317</v>
      </c>
      <c r="I118" s="30">
        <f t="shared" si="11"/>
        <v>1.0192926045016077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432">
        <v>1</v>
      </c>
      <c r="F119" s="28" t="e">
        <f t="shared" si="10"/>
        <v>#DIV/0!</v>
      </c>
      <c r="G119" s="66">
        <f>D119+'2019MAR'!G119</f>
        <v>1</v>
      </c>
      <c r="H119" s="66">
        <f>E119+'2019MAR'!H119</f>
        <v>3</v>
      </c>
      <c r="I119" s="28">
        <f t="shared" si="11"/>
        <v>3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53</v>
      </c>
      <c r="E120" s="432">
        <v>46</v>
      </c>
      <c r="F120" s="28">
        <f t="shared" si="10"/>
        <v>0.86792452830188682</v>
      </c>
      <c r="G120" s="66">
        <f>D120+'2019MAR'!G120</f>
        <v>209</v>
      </c>
      <c r="H120" s="66">
        <f>E120+'2019MAR'!H120</f>
        <v>185</v>
      </c>
      <c r="I120" s="28">
        <f t="shared" si="11"/>
        <v>0.88516746411483249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30">
        <f>SUM(D119:D120)</f>
        <v>53</v>
      </c>
      <c r="E121" s="430">
        <f>SUM(E119:E120)</f>
        <v>47</v>
      </c>
      <c r="F121" s="30">
        <f t="shared" si="10"/>
        <v>0.8867924528301887</v>
      </c>
      <c r="G121" s="430">
        <f>SUM(G119:G120)</f>
        <v>210</v>
      </c>
      <c r="H121" s="430">
        <f>SUM(H119:H120)</f>
        <v>188</v>
      </c>
      <c r="I121" s="30">
        <f t="shared" si="11"/>
        <v>0.89523809523809528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24">
        <f>SUM(D116,D119)</f>
        <v>1</v>
      </c>
      <c r="E122" s="424">
        <f>SUM(E116,E119)</f>
        <v>2</v>
      </c>
      <c r="F122" s="30">
        <f t="shared" si="10"/>
        <v>2</v>
      </c>
      <c r="G122" s="424">
        <f>SUM(G116,G119)</f>
        <v>3</v>
      </c>
      <c r="H122" s="424">
        <f>SUM(H116,H119)</f>
        <v>5</v>
      </c>
      <c r="I122" s="30">
        <f t="shared" si="11"/>
        <v>1.6666666666666667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24">
        <f>SUM(D117,D120)</f>
        <v>131</v>
      </c>
      <c r="E123" s="424">
        <f>SUM(E117,E120)</f>
        <v>123</v>
      </c>
      <c r="F123" s="30">
        <f t="shared" si="10"/>
        <v>0.93893129770992367</v>
      </c>
      <c r="G123" s="424">
        <f>SUM(G117,G120)</f>
        <v>518</v>
      </c>
      <c r="H123" s="424">
        <f>SUM(H117,H120)</f>
        <v>500</v>
      </c>
      <c r="I123" s="30">
        <f t="shared" si="11"/>
        <v>0.96525096525096521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25">
        <f>SUM(D122:D123)</f>
        <v>132</v>
      </c>
      <c r="E124" s="425">
        <f>SUM(E122:E123)</f>
        <v>125</v>
      </c>
      <c r="F124" s="41">
        <f t="shared" si="10"/>
        <v>0.94696969696969702</v>
      </c>
      <c r="G124" s="425">
        <f>SUM(G122:G123)</f>
        <v>521</v>
      </c>
      <c r="H124" s="425">
        <f>SUM(H122:H123)</f>
        <v>505</v>
      </c>
      <c r="I124" s="41">
        <f t="shared" si="11"/>
        <v>0.96928982725527835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19">
        <f>SUM(D113,D122)</f>
        <v>20</v>
      </c>
      <c r="E125" s="419">
        <f>SUM(E113,E122)</f>
        <v>27</v>
      </c>
      <c r="F125" s="45">
        <f t="shared" si="10"/>
        <v>1.35</v>
      </c>
      <c r="G125" s="46">
        <f>SUM(G113,G122)</f>
        <v>80</v>
      </c>
      <c r="H125" s="46">
        <f>SUM(H113,H122)</f>
        <v>67</v>
      </c>
      <c r="I125" s="45">
        <f t="shared" si="11"/>
        <v>0.83750000000000002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20">
        <f>SUM(D114,D123)</f>
        <v>529</v>
      </c>
      <c r="E126" s="420">
        <f>SUM(E114,E123)</f>
        <v>472</v>
      </c>
      <c r="F126" s="32">
        <f t="shared" si="10"/>
        <v>0.89224952741020791</v>
      </c>
      <c r="G126" s="420">
        <f>SUM(G114,G123)</f>
        <v>1996</v>
      </c>
      <c r="H126" s="420">
        <f>SUM(H114,H123)</f>
        <v>1842</v>
      </c>
      <c r="I126" s="32">
        <f t="shared" si="11"/>
        <v>0.92284569138276551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20">
        <f>SUM(D125:D126)</f>
        <v>549</v>
      </c>
      <c r="E127" s="420">
        <f>SUM(E125:E126)</f>
        <v>499</v>
      </c>
      <c r="F127" s="49">
        <f>E127/D127</f>
        <v>0.90892531876138438</v>
      </c>
      <c r="G127" s="419">
        <f>SUM(G125:G126)</f>
        <v>2076</v>
      </c>
      <c r="H127" s="419">
        <f>SUM(H125:H126)</f>
        <v>1909</v>
      </c>
      <c r="I127" s="49">
        <f>H127/G127</f>
        <v>0.91955684007707128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</v>
      </c>
      <c r="D135" s="592"/>
      <c r="E135" s="591">
        <v>3</v>
      </c>
      <c r="F135" s="592"/>
      <c r="G135" s="591">
        <v>0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18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18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18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18" t="s">
        <v>99</v>
      </c>
      <c r="C140" s="590">
        <v>8</v>
      </c>
      <c r="D140" s="590"/>
      <c r="E140" s="590">
        <v>13</v>
      </c>
      <c r="F140" s="590"/>
      <c r="G140" s="590">
        <v>0</v>
      </c>
      <c r="H140" s="590"/>
      <c r="I140" s="772">
        <v>14085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216</v>
      </c>
      <c r="D145" s="563"/>
      <c r="E145" s="564"/>
      <c r="F145" s="562" t="s">
        <v>215</v>
      </c>
      <c r="G145" s="563"/>
      <c r="H145" s="563"/>
      <c r="I145" s="564"/>
      <c r="J145" s="563" t="s">
        <v>217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297</v>
      </c>
      <c r="D146" s="736"/>
      <c r="E146" s="737"/>
      <c r="F146" s="750" t="s">
        <v>298</v>
      </c>
      <c r="G146" s="754"/>
      <c r="H146" s="754"/>
      <c r="I146" s="755"/>
      <c r="J146" s="751" t="s">
        <v>299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16" t="s">
        <v>109</v>
      </c>
      <c r="C154" s="416" t="s">
        <v>110</v>
      </c>
      <c r="D154" s="416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'2019MAR'!H155</f>
        <v>-93191</v>
      </c>
      <c r="C155" s="63">
        <f>E45-E44</f>
        <v>227054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90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148773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31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19033</v>
      </c>
      <c r="H165" s="778"/>
      <c r="I165" s="779"/>
      <c r="J165" s="779"/>
      <c r="K165" s="780"/>
    </row>
    <row r="166" spans="1:11" ht="14">
      <c r="A166" s="415" t="s">
        <v>126</v>
      </c>
      <c r="B166" s="777" t="s">
        <v>127</v>
      </c>
      <c r="C166" s="777"/>
      <c r="D166" s="777"/>
      <c r="E166" s="777"/>
      <c r="F166" s="777"/>
      <c r="G166" s="432">
        <v>1907</v>
      </c>
      <c r="H166" s="778"/>
      <c r="I166" s="779"/>
      <c r="J166" s="779"/>
      <c r="K166" s="780"/>
    </row>
    <row r="167" spans="1:11" ht="14">
      <c r="A167" s="415" t="s">
        <v>128</v>
      </c>
      <c r="B167" s="777" t="s">
        <v>129</v>
      </c>
      <c r="C167" s="777"/>
      <c r="D167" s="777"/>
      <c r="E167" s="777"/>
      <c r="F167" s="777"/>
      <c r="G167" s="431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6C1E8610-E8F2-473F-9475-C05E42261C1C}">
      <formula1>"Jan, Feb, March, April, May, June, July, Aug, Sep, Oct, Nov, Dec"</formula1>
    </dataValidation>
    <dataValidation type="list" allowBlank="1" showInputMessage="1" showErrorMessage="1" sqref="L3" xr:uid="{12FFA255-DDCB-4599-8696-66C98C987BCE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95EE-9928-43BB-9EF9-E17B51761E49}">
  <sheetPr codeName="Sheet30">
    <pageSetUpPr fitToPage="1"/>
  </sheetPr>
  <dimension ref="A1:N167"/>
  <sheetViews>
    <sheetView topLeftCell="A120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3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44" t="s">
        <v>176</v>
      </c>
      <c r="C10" s="61">
        <v>2</v>
      </c>
      <c r="D10" s="450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44" t="s">
        <v>177</v>
      </c>
      <c r="C11" s="61">
        <v>2</v>
      </c>
      <c r="D11" s="450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44" t="s">
        <v>179</v>
      </c>
      <c r="C12" s="61">
        <v>2</v>
      </c>
      <c r="D12" s="450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44" t="s">
        <v>180</v>
      </c>
      <c r="C13" s="61">
        <v>3</v>
      </c>
      <c r="D13" s="450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44" t="s">
        <v>12</v>
      </c>
      <c r="C14" s="61">
        <v>0</v>
      </c>
      <c r="D14" s="450">
        <v>0</v>
      </c>
      <c r="E14" s="693"/>
      <c r="F14" s="694"/>
      <c r="G14" s="694"/>
      <c r="H14" s="694"/>
      <c r="I14" s="695"/>
    </row>
    <row r="15" spans="1:13">
      <c r="A15" s="690"/>
      <c r="B15" s="444" t="s">
        <v>13</v>
      </c>
      <c r="C15" s="61">
        <v>2</v>
      </c>
      <c r="D15" s="450">
        <v>2</v>
      </c>
      <c r="E15" s="770" t="s">
        <v>294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47" t="s">
        <v>23</v>
      </c>
      <c r="E21" s="447" t="s">
        <v>24</v>
      </c>
      <c r="F21" s="447" t="s">
        <v>25</v>
      </c>
      <c r="G21" s="447" t="s">
        <v>23</v>
      </c>
      <c r="H21" s="447" t="s">
        <v>24</v>
      </c>
      <c r="I21" s="447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18844</v>
      </c>
      <c r="E23" s="329">
        <v>18122</v>
      </c>
      <c r="F23" s="14">
        <f t="shared" ref="F23:F28" si="0">E23/D23</f>
        <v>0.9616854171088941</v>
      </c>
      <c r="G23" s="332">
        <f>D23+'2019APR'!G23</f>
        <v>89634</v>
      </c>
      <c r="H23" s="332">
        <f>E23+'2019APR'!H23</f>
        <v>84522</v>
      </c>
      <c r="I23" s="14">
        <f t="shared" ref="I23:I28" si="1">H23/G23</f>
        <v>0.94296807015195128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18844</v>
      </c>
      <c r="E24" s="330">
        <f>SUM(E23:E23)</f>
        <v>18122</v>
      </c>
      <c r="F24" s="16">
        <f t="shared" si="0"/>
        <v>0.9616854171088941</v>
      </c>
      <c r="G24" s="330">
        <f>SUM(G23:G23)</f>
        <v>89634</v>
      </c>
      <c r="H24" s="330">
        <f>SUM(H23:H23)</f>
        <v>84522</v>
      </c>
      <c r="I24" s="16">
        <f t="shared" si="1"/>
        <v>0.94296807015195128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22832</v>
      </c>
      <c r="E25" s="329">
        <v>20701</v>
      </c>
      <c r="F25" s="14">
        <f t="shared" si="0"/>
        <v>0.90666608269096005</v>
      </c>
      <c r="G25" s="332">
        <f>D25+'2019APR'!G25</f>
        <v>104368</v>
      </c>
      <c r="H25" s="332">
        <f>E25+'2019APR'!H25</f>
        <v>97182</v>
      </c>
      <c r="I25" s="14">
        <f t="shared" si="1"/>
        <v>0.9311474781542235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22832</v>
      </c>
      <c r="E27" s="330">
        <f>SUM(E25:E26)</f>
        <v>20701</v>
      </c>
      <c r="F27" s="16">
        <f t="shared" si="0"/>
        <v>0.90666608269096005</v>
      </c>
      <c r="G27" s="330">
        <f>SUM(G25:G26)</f>
        <v>104368</v>
      </c>
      <c r="H27" s="330">
        <f>SUM(H25:H26)</f>
        <v>97182</v>
      </c>
      <c r="I27" s="16">
        <f t="shared" si="1"/>
        <v>0.9311474781542235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41676</v>
      </c>
      <c r="E28" s="331">
        <f>SUM(E24,E27)</f>
        <v>38823</v>
      </c>
      <c r="F28" s="17">
        <f t="shared" si="0"/>
        <v>0.93154333429311831</v>
      </c>
      <c r="G28" s="331">
        <f>SUM(G24,G27)</f>
        <v>194002</v>
      </c>
      <c r="H28" s="331">
        <f>SUM(H24,H27)</f>
        <v>181704</v>
      </c>
      <c r="I28" s="17">
        <f t="shared" si="1"/>
        <v>0.9366089009391656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1209</v>
      </c>
      <c r="F30" s="14">
        <f>E30/D30</f>
        <v>0.41689655172413792</v>
      </c>
      <c r="G30" s="332">
        <f>D30+'2019APR'!G30</f>
        <v>14500</v>
      </c>
      <c r="H30" s="332">
        <f>E30+'2019APR'!H30</f>
        <v>14541</v>
      </c>
      <c r="I30" s="14">
        <f>H30/G30</f>
        <v>1.0028275862068965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1773</v>
      </c>
      <c r="F31" s="14" t="e">
        <f t="shared" ref="F31:F47" si="2">E31/D31</f>
        <v>#DIV/0!</v>
      </c>
      <c r="G31" s="332">
        <f>D31+'2019APR'!G31</f>
        <v>0</v>
      </c>
      <c r="H31" s="332">
        <f>E31+'2019APR'!H31</f>
        <v>8478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2982</v>
      </c>
      <c r="F32" s="14">
        <f t="shared" si="2"/>
        <v>1.0282758620689656</v>
      </c>
      <c r="G32" s="330">
        <f>SUM(G30:G31)</f>
        <v>14500</v>
      </c>
      <c r="H32" s="330">
        <f>SUM(H30:H31)</f>
        <v>23019</v>
      </c>
      <c r="I32" s="14">
        <f t="shared" si="3"/>
        <v>1.5875172413793104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2865</v>
      </c>
      <c r="F33" s="14" t="e">
        <f t="shared" si="2"/>
        <v>#DIV/0!</v>
      </c>
      <c r="G33" s="332">
        <f>D33+'2019APR'!G33</f>
        <v>0</v>
      </c>
      <c r="H33" s="332">
        <f>E33+'2019APR'!H33</f>
        <v>8105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5847</v>
      </c>
      <c r="F34" s="14">
        <f t="shared" si="2"/>
        <v>2.0162068965517244</v>
      </c>
      <c r="G34" s="334">
        <f>SUM(G32,G33)</f>
        <v>14500</v>
      </c>
      <c r="H34" s="334">
        <f>SUM(H32,H33)</f>
        <v>31124</v>
      </c>
      <c r="I34" s="14">
        <f t="shared" si="3"/>
        <v>2.1464827586206896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D35+'2019APR'!G35</f>
        <v>181160</v>
      </c>
      <c r="H35" s="332">
        <f>E35+'2019APR'!H35</f>
        <v>170351</v>
      </c>
      <c r="I35" s="14">
        <f t="shared" si="3"/>
        <v>0.94033451092956499</v>
      </c>
      <c r="J35" s="525" t="s">
        <v>295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181160</v>
      </c>
      <c r="H37" s="341">
        <f>SUM(H35:H36)</f>
        <v>170351</v>
      </c>
      <c r="I37" s="16">
        <f t="shared" si="3"/>
        <v>0.94033451092956499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D38+'2019APR'!G38</f>
        <v>0</v>
      </c>
      <c r="H38" s="332">
        <f>E38+'2019APR'!H38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181160</v>
      </c>
      <c r="H41" s="334">
        <f>SUM(H37,H40)</f>
        <v>185568</v>
      </c>
      <c r="I41" s="19">
        <f t="shared" si="3"/>
        <v>1.0243320821373372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20773</v>
      </c>
      <c r="F42" s="21">
        <f t="shared" si="2"/>
        <v>1.597923076923077</v>
      </c>
      <c r="G42" s="342">
        <f>D42+'2019APR'!G42</f>
        <v>63500</v>
      </c>
      <c r="H42" s="342">
        <f>E42+'2019APR'!H42</f>
        <v>83752</v>
      </c>
      <c r="I42" s="21">
        <f t="shared" si="3"/>
        <v>1.3189291338582678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D43+'2019APR'!G43</f>
        <v>10000</v>
      </c>
      <c r="H43" s="342">
        <f>E43+'2019APR'!H43</f>
        <v>451</v>
      </c>
      <c r="I43" s="21">
        <f t="shared" si="3"/>
        <v>4.5100000000000001E-2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/>
      <c r="F44" s="21">
        <f t="shared" si="2"/>
        <v>0</v>
      </c>
      <c r="G44" s="342">
        <f>D44+'2019APR'!G44</f>
        <v>200000</v>
      </c>
      <c r="H44" s="342">
        <f>E44+'2019APR'!H44</f>
        <v>240000</v>
      </c>
      <c r="I44" s="21">
        <f t="shared" si="3"/>
        <v>1.2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135808</v>
      </c>
      <c r="E45" s="339">
        <f>SUM(E28,E34,E41,E42:E44)</f>
        <v>65443</v>
      </c>
      <c r="F45" s="22">
        <f t="shared" si="2"/>
        <v>0.48187882893496703</v>
      </c>
      <c r="G45" s="339">
        <f>SUM(G28,G34,G41,G42:G44)</f>
        <v>663162</v>
      </c>
      <c r="H45" s="339">
        <f>SUM(H28,H34,H41,H42:H44)</f>
        <v>722599</v>
      </c>
      <c r="I45" s="22">
        <f t="shared" si="3"/>
        <v>1.0896266673904718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122808</v>
      </c>
      <c r="E46" s="339">
        <f>E45-E42</f>
        <v>44670</v>
      </c>
      <c r="F46" s="22">
        <f t="shared" si="2"/>
        <v>0.36373851866327928</v>
      </c>
      <c r="G46" s="339">
        <f>G45-G42</f>
        <v>599662</v>
      </c>
      <c r="H46" s="339">
        <f>H45-H42</f>
        <v>638847</v>
      </c>
      <c r="I46" s="22">
        <f t="shared" si="3"/>
        <v>1.0653451444313631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82808</v>
      </c>
      <c r="E47" s="340">
        <f>E46-E44</f>
        <v>44670</v>
      </c>
      <c r="F47" s="23">
        <f t="shared" si="2"/>
        <v>0.53944063375519269</v>
      </c>
      <c r="G47" s="340">
        <f>G46-G44</f>
        <v>399662</v>
      </c>
      <c r="H47" s="340">
        <f>H46-H44</f>
        <v>398847</v>
      </c>
      <c r="I47" s="23">
        <f t="shared" si="3"/>
        <v>0.99796077685644369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45" t="s">
        <v>23</v>
      </c>
      <c r="E52" s="445" t="s">
        <v>24</v>
      </c>
      <c r="F52" s="445" t="s">
        <v>25</v>
      </c>
      <c r="G52" s="445" t="s">
        <v>23</v>
      </c>
      <c r="H52" s="445" t="s">
        <v>24</v>
      </c>
      <c r="I52" s="445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50">
        <v>29</v>
      </c>
      <c r="F53" s="28">
        <f t="shared" ref="F53:F79" si="4">E53/D53</f>
        <v>1.45</v>
      </c>
      <c r="G53" s="66">
        <f>D53+'2019APR'!G53</f>
        <v>100</v>
      </c>
      <c r="H53" s="66">
        <f>E53+'2019APR'!H53</f>
        <v>96</v>
      </c>
      <c r="I53" s="28">
        <f t="shared" ref="I53:I79" si="5">H53/G53</f>
        <v>0.96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441</v>
      </c>
      <c r="E54" s="450">
        <v>492</v>
      </c>
      <c r="F54" s="28">
        <f t="shared" si="4"/>
        <v>1.1156462585034013</v>
      </c>
      <c r="G54" s="66">
        <f>D54+'2019APR'!G54</f>
        <v>2275</v>
      </c>
      <c r="H54" s="66">
        <f>E54+'2019APR'!H54</f>
        <v>2334</v>
      </c>
      <c r="I54" s="28">
        <f t="shared" si="5"/>
        <v>1.0259340659340659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48">
        <f>SUM(D53:D54)</f>
        <v>461</v>
      </c>
      <c r="E55" s="448">
        <f>SUM(E53:E54)</f>
        <v>521</v>
      </c>
      <c r="F55" s="30">
        <f t="shared" si="4"/>
        <v>1.1301518438177873</v>
      </c>
      <c r="G55" s="448">
        <f>SUM(G53:G54)</f>
        <v>2375</v>
      </c>
      <c r="H55" s="448">
        <f>SUM(H53:H54)</f>
        <v>2430</v>
      </c>
      <c r="I55" s="30">
        <f t="shared" si="5"/>
        <v>1.023157894736842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50">
        <v>59</v>
      </c>
      <c r="F56" s="28">
        <f t="shared" si="4"/>
        <v>0.71084337349397586</v>
      </c>
      <c r="G56" s="66">
        <f>D56+'2019APR'!G56</f>
        <v>415</v>
      </c>
      <c r="H56" s="66">
        <f>E56+'2019APR'!H56</f>
        <v>297</v>
      </c>
      <c r="I56" s="28">
        <f t="shared" si="5"/>
        <v>0.71566265060240963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1117</v>
      </c>
      <c r="E57" s="450">
        <v>1378</v>
      </c>
      <c r="F57" s="28">
        <f t="shared" si="4"/>
        <v>1.2336615935541628</v>
      </c>
      <c r="G57" s="66">
        <f>D57+'2019APR'!G57</f>
        <v>5759</v>
      </c>
      <c r="H57" s="66">
        <f>E57+'2019APR'!H57</f>
        <v>6407</v>
      </c>
      <c r="I57" s="28">
        <f t="shared" si="5"/>
        <v>1.1125195346414307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42">
        <f>SUM(D56:D57)</f>
        <v>1200</v>
      </c>
      <c r="E58" s="442">
        <f>SUM(E56:E57)</f>
        <v>1437</v>
      </c>
      <c r="F58" s="28">
        <f t="shared" si="4"/>
        <v>1.1975</v>
      </c>
      <c r="G58" s="442">
        <f>SUM(G56:G57)</f>
        <v>6174</v>
      </c>
      <c r="H58" s="442">
        <f>SUM(H56:H57)</f>
        <v>6704</v>
      </c>
      <c r="I58" s="31">
        <f t="shared" si="5"/>
        <v>1.0858438613540655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38">
        <f>SUM(D53,D56)</f>
        <v>103</v>
      </c>
      <c r="E59" s="438">
        <f>SUM(E53,E56)</f>
        <v>88</v>
      </c>
      <c r="F59" s="32">
        <f t="shared" si="4"/>
        <v>0.85436893203883491</v>
      </c>
      <c r="G59" s="438">
        <f>SUM(G53,G56)</f>
        <v>515</v>
      </c>
      <c r="H59" s="438">
        <f>SUM(H53,H56)</f>
        <v>393</v>
      </c>
      <c r="I59" s="32">
        <f t="shared" si="5"/>
        <v>0.76310679611650489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38">
        <f>SUM(D54,D57)</f>
        <v>1558</v>
      </c>
      <c r="E60" s="438">
        <f>SUM(E54,E57)</f>
        <v>1870</v>
      </c>
      <c r="F60" s="32">
        <f t="shared" si="4"/>
        <v>1.2002567394094994</v>
      </c>
      <c r="G60" s="438">
        <f>SUM(G54,G57)</f>
        <v>8034</v>
      </c>
      <c r="H60" s="438">
        <f>SUM(H54,H57)</f>
        <v>8741</v>
      </c>
      <c r="I60" s="32">
        <f t="shared" si="5"/>
        <v>1.0880009957679861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46">
        <f>SUM(D59:D60)</f>
        <v>1661</v>
      </c>
      <c r="E61" s="446">
        <f>SUM(E59:E60)</f>
        <v>1958</v>
      </c>
      <c r="F61" s="33">
        <f t="shared" si="4"/>
        <v>1.1788079470198676</v>
      </c>
      <c r="G61" s="446">
        <f>SUM(G59:G60)</f>
        <v>8549</v>
      </c>
      <c r="H61" s="446">
        <f>SUM(H59:H60)</f>
        <v>9134</v>
      </c>
      <c r="I61" s="33">
        <f t="shared" si="5"/>
        <v>1.068429056029945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44">
        <f>E71/10</f>
        <v>100.9</v>
      </c>
      <c r="F62" s="28">
        <f t="shared" si="4"/>
        <v>1.4414285714285715</v>
      </c>
      <c r="G62" s="66">
        <f>D62+'2019APR'!G62</f>
        <v>350</v>
      </c>
      <c r="H62" s="66">
        <f>E62+'2019APR'!H62</f>
        <v>333.9</v>
      </c>
      <c r="I62" s="28">
        <f t="shared" si="5"/>
        <v>0.95399999999999996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1536</v>
      </c>
      <c r="E63" s="444">
        <f>E72/10</f>
        <v>1711.3</v>
      </c>
      <c r="F63" s="28">
        <f t="shared" si="4"/>
        <v>1.1141276041666666</v>
      </c>
      <c r="G63" s="248">
        <f>D63+'2019APR'!G63</f>
        <v>7920</v>
      </c>
      <c r="H63" s="66">
        <f>E63+'2019APR'!H63</f>
        <v>8118.3000000000011</v>
      </c>
      <c r="I63" s="28">
        <f t="shared" si="5"/>
        <v>1.0250378787878789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1606</v>
      </c>
      <c r="E64" s="448">
        <f>SUM(E62:E63)</f>
        <v>1812.2</v>
      </c>
      <c r="F64" s="30">
        <f t="shared" si="4"/>
        <v>1.1283935242839354</v>
      </c>
      <c r="G64" s="448">
        <f>SUM(G62:G63)</f>
        <v>8270</v>
      </c>
      <c r="H64" s="448">
        <f>SUM(H62:H63)</f>
        <v>8452.2000000000007</v>
      </c>
      <c r="I64" s="30">
        <f t="shared" si="5"/>
        <v>1.0220314389359131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44">
        <f>E74/10</f>
        <v>78.7</v>
      </c>
      <c r="F65" s="28">
        <f t="shared" si="4"/>
        <v>0.63467741935483868</v>
      </c>
      <c r="G65" s="66">
        <f>D65+'2019APR'!G65</f>
        <v>620</v>
      </c>
      <c r="H65" s="66">
        <f>E65+'2019APR'!H65</f>
        <v>406.4</v>
      </c>
      <c r="I65" s="28">
        <f t="shared" si="5"/>
        <v>0.65548387096774186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1665</v>
      </c>
      <c r="E66" s="444">
        <f>E75/10</f>
        <v>1991.4</v>
      </c>
      <c r="F66" s="28">
        <f t="shared" si="4"/>
        <v>1.196036036036036</v>
      </c>
      <c r="G66" s="66">
        <f>D66+'2019APR'!G66</f>
        <v>8582</v>
      </c>
      <c r="H66" s="66">
        <f>E66+'2019APR'!H66</f>
        <v>9311.7999999999993</v>
      </c>
      <c r="I66" s="28">
        <f t="shared" si="5"/>
        <v>1.0850384525751573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42">
        <f>SUM(D65:D66)</f>
        <v>1789</v>
      </c>
      <c r="E67" s="442">
        <f>SUM(E65:E66)</f>
        <v>2070.1</v>
      </c>
      <c r="F67" s="31">
        <f t="shared" si="4"/>
        <v>1.1571268865287869</v>
      </c>
      <c r="G67" s="442">
        <f>SUM(G65:G66)</f>
        <v>9202</v>
      </c>
      <c r="H67" s="442">
        <f>SUM(H65:H66)</f>
        <v>9718.1999999999989</v>
      </c>
      <c r="I67" s="31">
        <f t="shared" si="5"/>
        <v>1.0560965007607042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38">
        <f>SUM(D62,D65)</f>
        <v>194</v>
      </c>
      <c r="E68" s="438">
        <f>SUM(E62,E65)</f>
        <v>179.60000000000002</v>
      </c>
      <c r="F68" s="32">
        <f t="shared" si="4"/>
        <v>0.92577319587628881</v>
      </c>
      <c r="G68" s="438">
        <f>SUM(G62,G65)</f>
        <v>970</v>
      </c>
      <c r="H68" s="438">
        <f>SUM(H62,H65)</f>
        <v>740.3</v>
      </c>
      <c r="I68" s="32">
        <f t="shared" si="5"/>
        <v>0.7631958762886597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38">
        <f>SUM(D63,D66)</f>
        <v>3201</v>
      </c>
      <c r="E69" s="438">
        <f>SUM(E63,E66)</f>
        <v>3702.7</v>
      </c>
      <c r="F69" s="32">
        <f t="shared" si="4"/>
        <v>1.1567322711652608</v>
      </c>
      <c r="G69" s="438">
        <f>SUM(G63,G66)</f>
        <v>16502</v>
      </c>
      <c r="H69" s="438">
        <f>SUM(H63,H66)</f>
        <v>17430.099999999999</v>
      </c>
      <c r="I69" s="32">
        <f t="shared" si="5"/>
        <v>1.0562416676766451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46">
        <f>SUM(D68:D69)</f>
        <v>3395</v>
      </c>
      <c r="E70" s="446">
        <f>SUM(E68:E69)</f>
        <v>3882.2999999999997</v>
      </c>
      <c r="F70" s="34">
        <f t="shared" si="4"/>
        <v>1.1435346097201766</v>
      </c>
      <c r="G70" s="446">
        <f>SUM(G68:G69)</f>
        <v>17472</v>
      </c>
      <c r="H70" s="446">
        <f>SUM(H68:H69)</f>
        <v>18170.399999999998</v>
      </c>
      <c r="I70" s="34">
        <f t="shared" si="5"/>
        <v>1.0399725274725273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3480</v>
      </c>
      <c r="E71" s="450">
        <v>1009</v>
      </c>
      <c r="F71" s="28">
        <f t="shared" si="4"/>
        <v>0.2899425287356322</v>
      </c>
      <c r="G71" s="179">
        <f>D71+'2019APR'!G71</f>
        <v>10440</v>
      </c>
      <c r="H71" s="66">
        <f>E71+'2019APR'!H71</f>
        <v>3339</v>
      </c>
      <c r="I71" s="28">
        <f t="shared" si="5"/>
        <v>0.31982758620689655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15364</v>
      </c>
      <c r="E72" s="341">
        <f>E23-E71</f>
        <v>17113</v>
      </c>
      <c r="F72" s="28">
        <f t="shared" si="4"/>
        <v>1.1138375423066911</v>
      </c>
      <c r="G72" s="248">
        <f>D72+'2019APR'!G72</f>
        <v>79194</v>
      </c>
      <c r="H72" s="332">
        <f>E72+'2019APR'!H72</f>
        <v>81183</v>
      </c>
      <c r="I72" s="28">
        <f t="shared" si="5"/>
        <v>1.0251155390559892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48">
        <f>SUM(D71:D72)</f>
        <v>18844</v>
      </c>
      <c r="E73" s="448">
        <f>SUM(E71:E72)</f>
        <v>18122</v>
      </c>
      <c r="F73" s="30">
        <f t="shared" si="4"/>
        <v>0.9616854171088941</v>
      </c>
      <c r="G73" s="448">
        <f>SUM(G71:G72)</f>
        <v>89634</v>
      </c>
      <c r="H73" s="448">
        <f>SUM(H71:H72)</f>
        <v>84522</v>
      </c>
      <c r="I73" s="30">
        <f t="shared" si="5"/>
        <v>0.94296807015195128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6184</v>
      </c>
      <c r="E74" s="450">
        <v>787</v>
      </c>
      <c r="F74" s="28">
        <f t="shared" si="4"/>
        <v>0.12726390685640362</v>
      </c>
      <c r="G74" s="179">
        <f>D74+'2019APR'!G74</f>
        <v>18551</v>
      </c>
      <c r="H74" s="66">
        <f>E74+'2019APR'!H74</f>
        <v>4064</v>
      </c>
      <c r="I74" s="28">
        <f t="shared" si="5"/>
        <v>0.21907174815373834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16649</v>
      </c>
      <c r="E75" s="449">
        <f>E25-E74</f>
        <v>19914</v>
      </c>
      <c r="F75" s="28">
        <f t="shared" si="4"/>
        <v>1.1961078743468077</v>
      </c>
      <c r="G75" s="248">
        <f>D75+'2019APR'!G75</f>
        <v>85818</v>
      </c>
      <c r="H75" s="66">
        <f>E75+'2019APR'!H75</f>
        <v>93118</v>
      </c>
      <c r="I75" s="28">
        <f t="shared" si="5"/>
        <v>1.085063739541821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42">
        <f>SUM(D74:D75)</f>
        <v>22833</v>
      </c>
      <c r="E76" s="442">
        <f>SUM(E74:E75)</f>
        <v>20701</v>
      </c>
      <c r="F76" s="31">
        <f t="shared" si="4"/>
        <v>0.90662637410765123</v>
      </c>
      <c r="G76" s="442">
        <f>SUM(G74:G75)</f>
        <v>104369</v>
      </c>
      <c r="H76" s="442">
        <f>SUM(H74:H75)</f>
        <v>97182</v>
      </c>
      <c r="I76" s="31">
        <f t="shared" si="5"/>
        <v>0.93113855646791677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38">
        <f>SUM(D71,D74)</f>
        <v>9664</v>
      </c>
      <c r="E77" s="438">
        <f>SUM(E71,E74)</f>
        <v>1796</v>
      </c>
      <c r="F77" s="32">
        <f t="shared" si="4"/>
        <v>0.18584437086092714</v>
      </c>
      <c r="G77" s="438">
        <f>SUM(G71,G74)</f>
        <v>28991</v>
      </c>
      <c r="H77" s="438">
        <f>SUM(H71,H74)</f>
        <v>7403</v>
      </c>
      <c r="I77" s="32">
        <f t="shared" si="5"/>
        <v>0.25535511020661583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38">
        <f>SUM(D72,D75)</f>
        <v>32013</v>
      </c>
      <c r="E78" s="438">
        <f>SUM(E72,E75)</f>
        <v>37027</v>
      </c>
      <c r="F78" s="32">
        <f t="shared" si="4"/>
        <v>1.1566238715521819</v>
      </c>
      <c r="G78" s="438">
        <f>SUM(G72,G75)</f>
        <v>165012</v>
      </c>
      <c r="H78" s="438">
        <f>SUM(H72,H75)</f>
        <v>174301</v>
      </c>
      <c r="I78" s="32">
        <f t="shared" si="5"/>
        <v>1.0562928756696484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46">
        <f>SUM(D77:D78)</f>
        <v>41677</v>
      </c>
      <c r="E79" s="446">
        <f>SUM(E77:E78)</f>
        <v>38823</v>
      </c>
      <c r="F79" s="34">
        <f t="shared" si="4"/>
        <v>0.93152098279626649</v>
      </c>
      <c r="G79" s="446">
        <f>SUM(G77:G78)</f>
        <v>194003</v>
      </c>
      <c r="H79" s="446">
        <f>SUM(H77:H78)</f>
        <v>181704</v>
      </c>
      <c r="I79" s="34">
        <f t="shared" si="5"/>
        <v>0.93660407313288974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521</v>
      </c>
      <c r="E87" s="130"/>
      <c r="F87" s="134">
        <f>D87+'2019APR'!F87</f>
        <v>2430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29</v>
      </c>
      <c r="E88" s="128"/>
      <c r="F88" s="134">
        <f>D88+'2019APR'!F88</f>
        <v>96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6</v>
      </c>
      <c r="E89" s="128">
        <f>D89/D87</f>
        <v>1.1516314779270634E-2</v>
      </c>
      <c r="F89" s="134">
        <f>D89+'2019APR'!F89</f>
        <v>11</v>
      </c>
      <c r="G89" s="128">
        <f>F89/F87</f>
        <v>4.5267489711934153E-3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7</v>
      </c>
      <c r="E90" s="128">
        <f>D90/D92</f>
        <v>2.9288702928870293E-2</v>
      </c>
      <c r="F90" s="134">
        <f>D90+'2019APR'!F90</f>
        <v>229</v>
      </c>
      <c r="G90" s="128">
        <f>F90/F92</f>
        <v>0.19083333333333333</v>
      </c>
      <c r="H90" s="128"/>
    </row>
    <row r="91" spans="1:13" ht="15" customHeight="1">
      <c r="A91" s="775"/>
      <c r="B91" s="776" t="s">
        <v>202</v>
      </c>
      <c r="C91" s="776"/>
      <c r="D91" s="131">
        <v>266</v>
      </c>
      <c r="E91" s="128">
        <f>D91/D92</f>
        <v>1.112970711297071</v>
      </c>
      <c r="F91" s="134">
        <f>D91+'2019APR'!F91</f>
        <v>1077</v>
      </c>
      <c r="G91" s="128">
        <f>F91/F92</f>
        <v>0.89749999999999996</v>
      </c>
      <c r="H91" s="128"/>
    </row>
    <row r="92" spans="1:13" ht="15" customHeight="1">
      <c r="A92" s="775"/>
      <c r="B92" s="776" t="s">
        <v>203</v>
      </c>
      <c r="C92" s="776"/>
      <c r="D92" s="131">
        <v>239</v>
      </c>
      <c r="E92" s="130"/>
      <c r="F92" s="134">
        <f>D92+'2019APR'!F92</f>
        <v>1200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45" t="s">
        <v>23</v>
      </c>
      <c r="E97" s="445" t="s">
        <v>24</v>
      </c>
      <c r="F97" s="445" t="s">
        <v>25</v>
      </c>
      <c r="G97" s="445" t="s">
        <v>23</v>
      </c>
      <c r="H97" s="445" t="s">
        <v>24</v>
      </c>
      <c r="I97" s="445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50">
        <v>1</v>
      </c>
      <c r="F98" s="37" t="e">
        <f>E98/D98</f>
        <v>#DIV/0!</v>
      </c>
      <c r="G98" s="66">
        <f>D98+'2019APR'!G98</f>
        <v>0</v>
      </c>
      <c r="H98" s="66">
        <f>E98+'2019APR'!H98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50">
        <v>19</v>
      </c>
      <c r="F99" s="28">
        <f t="shared" ref="F99:F115" si="6">E99/D99</f>
        <v>0.48717948717948717</v>
      </c>
      <c r="G99" s="66">
        <f>D99+'2019APR'!G99</f>
        <v>195</v>
      </c>
      <c r="H99" s="66">
        <f>E99+'2019APR'!H99</f>
        <v>101</v>
      </c>
      <c r="I99" s="28">
        <f t="shared" ref="I99:I115" si="7">H99/G99</f>
        <v>0.517948717948718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48">
        <f>SUM(D98:D99)</f>
        <v>39</v>
      </c>
      <c r="E100" s="448">
        <f>SUM(E98:E99)</f>
        <v>20</v>
      </c>
      <c r="F100" s="30">
        <f t="shared" si="6"/>
        <v>0.51282051282051277</v>
      </c>
      <c r="G100" s="448">
        <f>SUM(G98:G99)</f>
        <v>195</v>
      </c>
      <c r="H100" s="448">
        <f>SUM(H98:H99)</f>
        <v>102</v>
      </c>
      <c r="I100" s="30">
        <f t="shared" si="7"/>
        <v>0.52307692307692311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50">
        <v>1</v>
      </c>
      <c r="F101" s="28" t="e">
        <f t="shared" si="6"/>
        <v>#DIV/0!</v>
      </c>
      <c r="G101" s="66">
        <f>D101+'2019APR'!G101</f>
        <v>0</v>
      </c>
      <c r="H101" s="66">
        <f>E101+'2019APR'!H101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50">
        <v>9</v>
      </c>
      <c r="F102" s="28">
        <f t="shared" si="6"/>
        <v>1</v>
      </c>
      <c r="G102" s="66">
        <f>D102+'2019APR'!G102</f>
        <v>45</v>
      </c>
      <c r="H102" s="66">
        <f>E102+'2019APR'!H102</f>
        <v>45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48">
        <f>SUM(D101:D102)</f>
        <v>9</v>
      </c>
      <c r="E103" s="448">
        <f>SUM(E101:E102)</f>
        <v>10</v>
      </c>
      <c r="F103" s="30">
        <f t="shared" si="6"/>
        <v>1.1111111111111112</v>
      </c>
      <c r="G103" s="448">
        <f>SUM(G101:G102)</f>
        <v>45</v>
      </c>
      <c r="H103" s="448">
        <f>SUM(H101:H102)</f>
        <v>46</v>
      </c>
      <c r="I103" s="30">
        <f t="shared" si="7"/>
        <v>1.0222222222222221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50">
        <v>19</v>
      </c>
      <c r="F104" s="28">
        <f t="shared" si="6"/>
        <v>2.375</v>
      </c>
      <c r="G104" s="66">
        <f>D104+'2019APR'!G104</f>
        <v>43</v>
      </c>
      <c r="H104" s="66">
        <f>E104+'2019APR'!H104</f>
        <v>42</v>
      </c>
      <c r="I104" s="28">
        <f t="shared" si="7"/>
        <v>0.97674418604651159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106</v>
      </c>
      <c r="E105" s="450">
        <v>93</v>
      </c>
      <c r="F105" s="28">
        <f t="shared" si="6"/>
        <v>0.87735849056603776</v>
      </c>
      <c r="G105" s="66">
        <f>D105+'2019APR'!G105</f>
        <v>446</v>
      </c>
      <c r="H105" s="66">
        <f>E105+'2019APR'!H105</f>
        <v>386</v>
      </c>
      <c r="I105" s="28">
        <f t="shared" si="7"/>
        <v>0.86547085201793716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48">
        <f>SUM(D104:D105)</f>
        <v>114</v>
      </c>
      <c r="E106" s="448">
        <f>SUM(E104:E105)</f>
        <v>112</v>
      </c>
      <c r="F106" s="30">
        <f t="shared" si="6"/>
        <v>0.98245614035087714</v>
      </c>
      <c r="G106" s="448">
        <f>SUM(G104:G105)</f>
        <v>489</v>
      </c>
      <c r="H106" s="448">
        <f>SUM(H104:H105)</f>
        <v>428</v>
      </c>
      <c r="I106" s="30">
        <f t="shared" si="7"/>
        <v>0.87525562372188137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1</v>
      </c>
      <c r="E107" s="450">
        <v>1</v>
      </c>
      <c r="F107" s="28">
        <f>E107/D107</f>
        <v>1</v>
      </c>
      <c r="G107" s="66">
        <f>D107+'2019APR'!G107</f>
        <v>6</v>
      </c>
      <c r="H107" s="66">
        <f>E107+'2019APR'!H107</f>
        <v>5</v>
      </c>
      <c r="I107" s="28">
        <f>H107/G107</f>
        <v>0.83333333333333337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144</v>
      </c>
      <c r="E108" s="450">
        <v>140</v>
      </c>
      <c r="F108" s="28">
        <f>E108/D108</f>
        <v>0.97222222222222221</v>
      </c>
      <c r="G108" s="66">
        <f>D108+'2019APR'!G108</f>
        <v>705</v>
      </c>
      <c r="H108" s="66">
        <f>E108+'2019APR'!H108</f>
        <v>688</v>
      </c>
      <c r="I108" s="28">
        <f t="shared" si="7"/>
        <v>0.975886524822695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48">
        <f>SUM(D107:D108)</f>
        <v>145</v>
      </c>
      <c r="E109" s="448">
        <f>SUM(E107:E108)</f>
        <v>141</v>
      </c>
      <c r="F109" s="30">
        <f t="shared" si="6"/>
        <v>0.97241379310344822</v>
      </c>
      <c r="G109" s="448">
        <f>SUM(G107:G108)</f>
        <v>711</v>
      </c>
      <c r="H109" s="448">
        <f>SUM(H107:H108)</f>
        <v>693</v>
      </c>
      <c r="I109" s="30">
        <f t="shared" si="7"/>
        <v>0.97468354430379744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50">
        <v>5</v>
      </c>
      <c r="F110" s="30">
        <f>E110/D110</f>
        <v>0.55555555555555558</v>
      </c>
      <c r="G110" s="66">
        <f>D110+'2019APR'!G110</f>
        <v>46</v>
      </c>
      <c r="H110" s="66">
        <f>E110+'2019APR'!H110</f>
        <v>40</v>
      </c>
      <c r="I110" s="30">
        <f>H110/G110</f>
        <v>0.86956521739130432</v>
      </c>
      <c r="J110" s="439"/>
      <c r="K110" s="440"/>
      <c r="L110" s="440"/>
      <c r="M110" s="441"/>
    </row>
    <row r="111" spans="1:13">
      <c r="A111" s="553"/>
      <c r="B111" s="803"/>
      <c r="C111" s="27" t="s">
        <v>70</v>
      </c>
      <c r="D111" s="65">
        <v>119</v>
      </c>
      <c r="E111" s="450">
        <v>107</v>
      </c>
      <c r="F111" s="30">
        <f t="shared" ref="F111:F112" si="8">E111/D111</f>
        <v>0.89915966386554624</v>
      </c>
      <c r="G111" s="66">
        <f>D111+'2019APR'!G111</f>
        <v>504</v>
      </c>
      <c r="H111" s="66">
        <f>E111+'2019APR'!H111</f>
        <v>490</v>
      </c>
      <c r="I111" s="30">
        <f t="shared" ref="I111:I112" si="9">H111/G111</f>
        <v>0.97222222222222221</v>
      </c>
      <c r="J111" s="439"/>
      <c r="K111" s="440"/>
      <c r="L111" s="440"/>
      <c r="M111" s="441"/>
    </row>
    <row r="112" spans="1:13">
      <c r="A112" s="553"/>
      <c r="B112" s="804"/>
      <c r="C112" s="38" t="s">
        <v>166</v>
      </c>
      <c r="D112" s="448">
        <f>SUM(D110:D111)</f>
        <v>128</v>
      </c>
      <c r="E112" s="448">
        <f>SUM(E110:E111)</f>
        <v>112</v>
      </c>
      <c r="F112" s="30">
        <f t="shared" si="8"/>
        <v>0.875</v>
      </c>
      <c r="G112" s="448">
        <f>SUM(G110:G111)</f>
        <v>550</v>
      </c>
      <c r="H112" s="448">
        <f>SUM(H110:H111)</f>
        <v>530</v>
      </c>
      <c r="I112" s="30">
        <f t="shared" si="9"/>
        <v>0.96363636363636362</v>
      </c>
      <c r="J112" s="439"/>
      <c r="K112" s="440"/>
      <c r="L112" s="440"/>
      <c r="M112" s="441"/>
    </row>
    <row r="113" spans="1:13">
      <c r="A113" s="553"/>
      <c r="B113" s="611" t="s">
        <v>46</v>
      </c>
      <c r="C113" s="39" t="s">
        <v>69</v>
      </c>
      <c r="D113" s="442">
        <f>SUM(D98,D101,D104,D107,D110)</f>
        <v>18</v>
      </c>
      <c r="E113" s="442">
        <f>SUM(E98,E101,E104,E107,E110)</f>
        <v>27</v>
      </c>
      <c r="F113" s="31">
        <f t="shared" si="6"/>
        <v>1.5</v>
      </c>
      <c r="G113" s="442">
        <f>SUM(G98,G101,G104,G107,G110)</f>
        <v>95</v>
      </c>
      <c r="H113" s="442">
        <f>SUM(H98,H101,H104,H107,H110)</f>
        <v>89</v>
      </c>
      <c r="I113" s="31">
        <f t="shared" si="7"/>
        <v>0.93684210526315792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42">
        <f>SUM(D99,D102,D105,D108,D111)</f>
        <v>417</v>
      </c>
      <c r="E114" s="442">
        <f>SUM(E99,E102,E105,E108,E111)</f>
        <v>368</v>
      </c>
      <c r="F114" s="31">
        <f t="shared" si="6"/>
        <v>0.88249400479616302</v>
      </c>
      <c r="G114" s="442">
        <f>SUM(G99,G102,G105,G108,G111)</f>
        <v>1895</v>
      </c>
      <c r="H114" s="442">
        <f>SUM(H99,H102,H105,H108,H111)</f>
        <v>1710</v>
      </c>
      <c r="I114" s="31">
        <f t="shared" si="7"/>
        <v>0.90237467018469653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43">
        <f>SUM(D113:D114)</f>
        <v>435</v>
      </c>
      <c r="E115" s="443">
        <f>SUM(E113:E114)</f>
        <v>395</v>
      </c>
      <c r="F115" s="41">
        <f t="shared" si="6"/>
        <v>0.90804597701149425</v>
      </c>
      <c r="G115" s="443">
        <f>SUM(G113:G114)</f>
        <v>1990</v>
      </c>
      <c r="H115" s="443">
        <f>SUM(H113:H114)</f>
        <v>1799</v>
      </c>
      <c r="I115" s="41">
        <f t="shared" si="7"/>
        <v>0.90402010050251258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D116+'2019APR'!G116</f>
        <v>3</v>
      </c>
      <c r="H116" s="70">
        <f>E116+'2019APR'!H116</f>
        <v>3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79</v>
      </c>
      <c r="E117" s="450">
        <v>78</v>
      </c>
      <c r="F117" s="28">
        <f t="shared" ref="F117:F126" si="10">E117/D117</f>
        <v>0.98734177215189878</v>
      </c>
      <c r="G117" s="71">
        <f>D117+'2019APR'!G117</f>
        <v>388</v>
      </c>
      <c r="H117" s="71">
        <f>E117+'2019APR'!H117</f>
        <v>393</v>
      </c>
      <c r="I117" s="28">
        <f t="shared" ref="I117:I126" si="11">H117/G117</f>
        <v>1.0128865979381443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48">
        <f>SUM(D116:D117)</f>
        <v>80</v>
      </c>
      <c r="E118" s="448">
        <f>SUM(E116:E117)</f>
        <v>79</v>
      </c>
      <c r="F118" s="30">
        <f t="shared" si="10"/>
        <v>0.98750000000000004</v>
      </c>
      <c r="G118" s="448">
        <f>SUM(G116:G117)</f>
        <v>391</v>
      </c>
      <c r="H118" s="448">
        <f>SUM(H116:H117)</f>
        <v>396</v>
      </c>
      <c r="I118" s="30">
        <f t="shared" si="11"/>
        <v>1.0127877237851663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50">
        <v>1</v>
      </c>
      <c r="F119" s="28">
        <f t="shared" si="10"/>
        <v>1</v>
      </c>
      <c r="G119" s="66">
        <f>D119+'2019APR'!G119</f>
        <v>2</v>
      </c>
      <c r="H119" s="66">
        <f>E119+'2019APR'!H119</f>
        <v>4</v>
      </c>
      <c r="I119" s="28">
        <f t="shared" si="11"/>
        <v>2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53</v>
      </c>
      <c r="E120" s="450">
        <v>46</v>
      </c>
      <c r="F120" s="28">
        <f t="shared" si="10"/>
        <v>0.86792452830188682</v>
      </c>
      <c r="G120" s="66">
        <f>D120+'2019APR'!G120</f>
        <v>262</v>
      </c>
      <c r="H120" s="66">
        <f>E120+'2019APR'!H120</f>
        <v>231</v>
      </c>
      <c r="I120" s="28">
        <f t="shared" si="11"/>
        <v>0.88167938931297707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48">
        <f>SUM(D119:D120)</f>
        <v>54</v>
      </c>
      <c r="E121" s="448">
        <f>SUM(E119:E120)</f>
        <v>47</v>
      </c>
      <c r="F121" s="30">
        <f t="shared" si="10"/>
        <v>0.87037037037037035</v>
      </c>
      <c r="G121" s="448">
        <f>SUM(G119:G120)</f>
        <v>264</v>
      </c>
      <c r="H121" s="448">
        <f>SUM(H119:H120)</f>
        <v>235</v>
      </c>
      <c r="I121" s="30">
        <f t="shared" si="11"/>
        <v>0.89015151515151514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42">
        <f>SUM(D116,D119)</f>
        <v>2</v>
      </c>
      <c r="E122" s="442">
        <f>SUM(E116,E119)</f>
        <v>2</v>
      </c>
      <c r="F122" s="30">
        <f t="shared" si="10"/>
        <v>1</v>
      </c>
      <c r="G122" s="442">
        <f>SUM(G116,G119)</f>
        <v>5</v>
      </c>
      <c r="H122" s="442">
        <f>SUM(H116,H119)</f>
        <v>7</v>
      </c>
      <c r="I122" s="30">
        <f t="shared" si="11"/>
        <v>1.4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42">
        <f>SUM(D117,D120)</f>
        <v>132</v>
      </c>
      <c r="E123" s="442">
        <f>SUM(E117,E120)</f>
        <v>124</v>
      </c>
      <c r="F123" s="30">
        <f t="shared" si="10"/>
        <v>0.93939393939393945</v>
      </c>
      <c r="G123" s="442">
        <f>SUM(G117,G120)</f>
        <v>650</v>
      </c>
      <c r="H123" s="442">
        <f>SUM(H117,H120)</f>
        <v>624</v>
      </c>
      <c r="I123" s="30">
        <f t="shared" si="11"/>
        <v>0.96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43">
        <f>SUM(D122:D123)</f>
        <v>134</v>
      </c>
      <c r="E124" s="443">
        <f>SUM(E122:E123)</f>
        <v>126</v>
      </c>
      <c r="F124" s="41">
        <f t="shared" si="10"/>
        <v>0.94029850746268662</v>
      </c>
      <c r="G124" s="443">
        <f>SUM(G122:G123)</f>
        <v>655</v>
      </c>
      <c r="H124" s="443">
        <f>SUM(H122:H123)</f>
        <v>631</v>
      </c>
      <c r="I124" s="41">
        <f t="shared" si="11"/>
        <v>0.9633587786259542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37">
        <f>SUM(D113,D122)</f>
        <v>20</v>
      </c>
      <c r="E125" s="437">
        <f>SUM(E113,E122)</f>
        <v>29</v>
      </c>
      <c r="F125" s="45">
        <f t="shared" si="10"/>
        <v>1.45</v>
      </c>
      <c r="G125" s="46">
        <f>SUM(G113,G122)</f>
        <v>100</v>
      </c>
      <c r="H125" s="46">
        <f>SUM(H113,H122)</f>
        <v>96</v>
      </c>
      <c r="I125" s="45">
        <f t="shared" si="11"/>
        <v>0.96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38">
        <f>SUM(D114,D123)</f>
        <v>549</v>
      </c>
      <c r="E126" s="438">
        <f>SUM(E114,E123)</f>
        <v>492</v>
      </c>
      <c r="F126" s="32">
        <f t="shared" si="10"/>
        <v>0.89617486338797814</v>
      </c>
      <c r="G126" s="438">
        <f>SUM(G114,G123)</f>
        <v>2545</v>
      </c>
      <c r="H126" s="438">
        <f>SUM(H114,H123)</f>
        <v>2334</v>
      </c>
      <c r="I126" s="32">
        <f t="shared" si="11"/>
        <v>0.91709233791748523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38">
        <f>SUM(D125:D126)</f>
        <v>569</v>
      </c>
      <c r="E127" s="438">
        <f>SUM(E125:E126)</f>
        <v>521</v>
      </c>
      <c r="F127" s="49">
        <f>E127/D127</f>
        <v>0.91564147627416526</v>
      </c>
      <c r="G127" s="437">
        <f>SUM(G125:G126)</f>
        <v>2645</v>
      </c>
      <c r="H127" s="437">
        <f>SUM(H125:H126)</f>
        <v>2430</v>
      </c>
      <c r="I127" s="49">
        <f>H127/G127</f>
        <v>0.91871455576559546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5</v>
      </c>
      <c r="F135" s="592"/>
      <c r="G135" s="591">
        <v>2</v>
      </c>
      <c r="H135" s="592"/>
      <c r="I135" s="591">
        <v>13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3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3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3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36" t="s">
        <v>99</v>
      </c>
      <c r="C140" s="590">
        <v>232</v>
      </c>
      <c r="D140" s="590"/>
      <c r="E140" s="590">
        <v>143</v>
      </c>
      <c r="F140" s="590"/>
      <c r="G140" s="590">
        <v>36</v>
      </c>
      <c r="H140" s="590"/>
      <c r="I140" s="772">
        <v>20362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301</v>
      </c>
      <c r="D146" s="736"/>
      <c r="E146" s="737"/>
      <c r="F146" s="750" t="s">
        <v>300</v>
      </c>
      <c r="G146" s="754"/>
      <c r="H146" s="754"/>
      <c r="I146" s="755"/>
      <c r="J146" s="751" t="s">
        <v>302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34" t="s">
        <v>109</v>
      </c>
      <c r="C154" s="434" t="s">
        <v>110</v>
      </c>
      <c r="D154" s="434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'2019APR'!H155</f>
        <v>90</v>
      </c>
      <c r="C155" s="63">
        <f>E45-E44</f>
        <v>65443</v>
      </c>
      <c r="D155" s="73">
        <f>100000</f>
        <v>100000</v>
      </c>
      <c r="E155" s="531" t="s">
        <v>114</v>
      </c>
      <c r="F155" s="531"/>
      <c r="G155" s="531"/>
      <c r="H155" s="72">
        <f>C155+A155+B155-D155</f>
        <v>-34467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97564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4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19046</v>
      </c>
      <c r="H165" s="778"/>
      <c r="I165" s="779"/>
      <c r="J165" s="779"/>
      <c r="K165" s="780"/>
    </row>
    <row r="166" spans="1:11" ht="14">
      <c r="A166" s="433" t="s">
        <v>126</v>
      </c>
      <c r="B166" s="777" t="s">
        <v>127</v>
      </c>
      <c r="C166" s="777"/>
      <c r="D166" s="777"/>
      <c r="E166" s="777"/>
      <c r="F166" s="777"/>
      <c r="G166" s="450">
        <v>1911</v>
      </c>
      <c r="H166" s="778"/>
      <c r="I166" s="779"/>
      <c r="J166" s="779"/>
      <c r="K166" s="780"/>
    </row>
    <row r="167" spans="1:11" ht="14">
      <c r="A167" s="433" t="s">
        <v>128</v>
      </c>
      <c r="B167" s="777" t="s">
        <v>129</v>
      </c>
      <c r="C167" s="777"/>
      <c r="D167" s="777"/>
      <c r="E167" s="777"/>
      <c r="F167" s="777"/>
      <c r="G167" s="44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C3981200-1093-464B-8F89-3EFBB2E30C9B}">
      <formula1>"USA, JAPAN"</formula1>
    </dataValidation>
    <dataValidation type="list" allowBlank="1" showInputMessage="1" showErrorMessage="1" sqref="G1" xr:uid="{6B646D4E-DB2D-4A0A-B5D0-DACF5095B01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7EBDC-4D20-4057-BD0B-9A233AE81592}">
  <sheetPr codeName="Sheet31">
    <pageSetUpPr fitToPage="1"/>
  </sheetPr>
  <dimension ref="A1:N167"/>
  <sheetViews>
    <sheetView topLeftCell="A139" zoomScale="90" zoomScaleNormal="90" zoomScaleSheetLayoutView="85" workbookViewId="0">
      <selection activeCell="C155" sqref="C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43656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5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51" t="s">
        <v>176</v>
      </c>
      <c r="C10" s="61">
        <v>2</v>
      </c>
      <c r="D10" s="455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51" t="s">
        <v>177</v>
      </c>
      <c r="C11" s="61">
        <v>2</v>
      </c>
      <c r="D11" s="455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51" t="s">
        <v>179</v>
      </c>
      <c r="C12" s="61">
        <v>2</v>
      </c>
      <c r="D12" s="455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51" t="s">
        <v>180</v>
      </c>
      <c r="C13" s="61">
        <v>3</v>
      </c>
      <c r="D13" s="455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51" t="s">
        <v>12</v>
      </c>
      <c r="C14" s="61">
        <v>0</v>
      </c>
      <c r="D14" s="455">
        <v>0</v>
      </c>
      <c r="E14" s="693"/>
      <c r="F14" s="694"/>
      <c r="G14" s="694"/>
      <c r="H14" s="694"/>
      <c r="I14" s="695"/>
    </row>
    <row r="15" spans="1:13">
      <c r="A15" s="690"/>
      <c r="B15" s="451" t="s">
        <v>13</v>
      </c>
      <c r="C15" s="61">
        <v>2</v>
      </c>
      <c r="D15" s="455">
        <v>2</v>
      </c>
      <c r="E15" s="770" t="s">
        <v>303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53" t="s">
        <v>23</v>
      </c>
      <c r="E21" s="453" t="s">
        <v>24</v>
      </c>
      <c r="F21" s="453" t="s">
        <v>25</v>
      </c>
      <c r="G21" s="453" t="s">
        <v>23</v>
      </c>
      <c r="H21" s="453" t="s">
        <v>24</v>
      </c>
      <c r="I21" s="45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19309</v>
      </c>
      <c r="E23" s="329">
        <v>18296</v>
      </c>
      <c r="F23" s="14">
        <f t="shared" ref="F23:F28" si="0">E23/D23</f>
        <v>0.94753741778445288</v>
      </c>
      <c r="G23" s="332">
        <f>D23+'2019MAY'!G23</f>
        <v>108943</v>
      </c>
      <c r="H23" s="332">
        <f>E23+'2019MAY'!H23</f>
        <v>102818</v>
      </c>
      <c r="I23" s="14">
        <f t="shared" ref="I23:I28" si="1">H23/G23</f>
        <v>0.94377793892218864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19309</v>
      </c>
      <c r="E24" s="330">
        <f>SUM(E23:E23)</f>
        <v>18296</v>
      </c>
      <c r="F24" s="16">
        <f t="shared" si="0"/>
        <v>0.94753741778445288</v>
      </c>
      <c r="G24" s="330">
        <f>SUM(G23:G23)</f>
        <v>108943</v>
      </c>
      <c r="H24" s="330">
        <f>SUM(H23:H23)</f>
        <v>102818</v>
      </c>
      <c r="I24" s="16">
        <f t="shared" si="1"/>
        <v>0.94377793892218864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23819</v>
      </c>
      <c r="E25" s="329">
        <v>21018</v>
      </c>
      <c r="F25" s="14">
        <f t="shared" si="0"/>
        <v>0.88240480288845036</v>
      </c>
      <c r="G25" s="332">
        <f>D25+'2019MAY'!G25</f>
        <v>128187</v>
      </c>
      <c r="H25" s="332">
        <f>E25+'2019MAY'!H25</f>
        <v>118200</v>
      </c>
      <c r="I25" s="14">
        <f t="shared" si="1"/>
        <v>0.9220903835802382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23819</v>
      </c>
      <c r="E27" s="330">
        <f>SUM(E25:E26)</f>
        <v>21018</v>
      </c>
      <c r="F27" s="16">
        <f t="shared" si="0"/>
        <v>0.88240480288845036</v>
      </c>
      <c r="G27" s="330">
        <f>SUM(G25:G26)</f>
        <v>128187</v>
      </c>
      <c r="H27" s="330">
        <f>SUM(H25:H26)</f>
        <v>118200</v>
      </c>
      <c r="I27" s="16">
        <f t="shared" si="1"/>
        <v>0.9220903835802382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43128</v>
      </c>
      <c r="E28" s="331">
        <f>SUM(E24,E27)</f>
        <v>39314</v>
      </c>
      <c r="F28" s="17">
        <f t="shared" si="0"/>
        <v>0.91156557225004642</v>
      </c>
      <c r="G28" s="331">
        <f>SUM(G24,G27)</f>
        <v>237130</v>
      </c>
      <c r="H28" s="331">
        <f>SUM(H24,H27)</f>
        <v>221018</v>
      </c>
      <c r="I28" s="17">
        <f t="shared" si="1"/>
        <v>0.93205414751402182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3088</v>
      </c>
      <c r="F30" s="14">
        <f>E30/D30</f>
        <v>1.0648275862068965</v>
      </c>
      <c r="G30" s="332">
        <f>D30+'2019MAY'!G30</f>
        <v>17400</v>
      </c>
      <c r="H30" s="332">
        <f>E30+'2019MAY'!H30</f>
        <v>17629</v>
      </c>
      <c r="I30" s="14">
        <f>H30/G30</f>
        <v>1.0131609195402298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2055</v>
      </c>
      <c r="F31" s="14" t="e">
        <f t="shared" ref="F31:F47" si="2">E31/D31</f>
        <v>#DIV/0!</v>
      </c>
      <c r="G31" s="332">
        <f>D31+'2019MAY'!G31</f>
        <v>0</v>
      </c>
      <c r="H31" s="332">
        <f>E31+'2019MAY'!H31</f>
        <v>10533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5143</v>
      </c>
      <c r="F32" s="14">
        <f t="shared" si="2"/>
        <v>1.7734482758620689</v>
      </c>
      <c r="G32" s="330">
        <f>SUM(G30:G31)</f>
        <v>17400</v>
      </c>
      <c r="H32" s="330">
        <f>SUM(H30:H31)</f>
        <v>28162</v>
      </c>
      <c r="I32" s="14">
        <f t="shared" si="3"/>
        <v>1.6185057471264368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1247</v>
      </c>
      <c r="F33" s="14" t="e">
        <f t="shared" si="2"/>
        <v>#DIV/0!</v>
      </c>
      <c r="G33" s="332">
        <f>D33+'2019MAY'!G33</f>
        <v>0</v>
      </c>
      <c r="H33" s="332">
        <f>E33+'2019MAY'!H33</f>
        <v>9352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6390</v>
      </c>
      <c r="F34" s="14">
        <f t="shared" si="2"/>
        <v>2.203448275862069</v>
      </c>
      <c r="G34" s="334">
        <f>SUM(G32,G33)</f>
        <v>17400</v>
      </c>
      <c r="H34" s="334">
        <f>SUM(H32,H33)</f>
        <v>37514</v>
      </c>
      <c r="I34" s="14">
        <f t="shared" si="3"/>
        <v>2.1559770114942527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394782</v>
      </c>
      <c r="F35" s="14">
        <f t="shared" si="2"/>
        <v>10.895948332965334</v>
      </c>
      <c r="G35" s="332">
        <f>D35+'2019MAY'!G35</f>
        <v>217392</v>
      </c>
      <c r="H35" s="332">
        <f>E35+'2019MAY'!H35</f>
        <v>565133</v>
      </c>
      <c r="I35" s="14">
        <f t="shared" si="3"/>
        <v>2.59960348126886</v>
      </c>
      <c r="J35" s="525" t="s">
        <v>304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394782</v>
      </c>
      <c r="F37" s="16">
        <f t="shared" si="2"/>
        <v>10.895948332965334</v>
      </c>
      <c r="G37" s="341">
        <f>SUM(G35:G36)</f>
        <v>217392</v>
      </c>
      <c r="H37" s="341">
        <f>SUM(H35:H36)</f>
        <v>565133</v>
      </c>
      <c r="I37" s="16">
        <f t="shared" si="3"/>
        <v>2.59960348126886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D38+'2019MAY'!G38</f>
        <v>0</v>
      </c>
      <c r="H38" s="332">
        <f>E38+'2019MAY'!H38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394782</v>
      </c>
      <c r="F41" s="19">
        <f t="shared" si="2"/>
        <v>10.895948332965334</v>
      </c>
      <c r="G41" s="334">
        <f>SUM(G37,G40)</f>
        <v>217392</v>
      </c>
      <c r="H41" s="334">
        <f>SUM(H37,H40)</f>
        <v>580350</v>
      </c>
      <c r="I41" s="19">
        <f t="shared" si="3"/>
        <v>2.6696014572753368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5104</v>
      </c>
      <c r="F42" s="21">
        <f t="shared" si="2"/>
        <v>0.39261538461538459</v>
      </c>
      <c r="G42" s="342">
        <f>D42+'2019MAY'!G42</f>
        <v>76500</v>
      </c>
      <c r="H42" s="342">
        <f>E42+'2019MAY'!H42</f>
        <v>88856</v>
      </c>
      <c r="I42" s="21">
        <f t="shared" si="3"/>
        <v>1.1615163398692812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D43+'2019MAY'!G43</f>
        <v>12000</v>
      </c>
      <c r="H43" s="342">
        <f>E43+'2019MAY'!H43</f>
        <v>451</v>
      </c>
      <c r="I43" s="21">
        <f t="shared" si="3"/>
        <v>3.7583333333333337E-2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>D44+'2019MAY'!G44</f>
        <v>240000</v>
      </c>
      <c r="H44" s="342">
        <f>E44+'2019MAY'!H44</f>
        <v>240000</v>
      </c>
      <c r="I44" s="21">
        <f t="shared" si="3"/>
        <v>1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137260</v>
      </c>
      <c r="E45" s="339">
        <f>SUM(E28,E34,E41,E42:E44)</f>
        <v>445590</v>
      </c>
      <c r="F45" s="22">
        <f t="shared" si="2"/>
        <v>3.246320850939822</v>
      </c>
      <c r="G45" s="339">
        <f>SUM(G28,G34,G41,G42:G44)</f>
        <v>800422</v>
      </c>
      <c r="H45" s="339">
        <f>SUM(H28,H34,H41,H42:H44)</f>
        <v>1168189</v>
      </c>
      <c r="I45" s="22">
        <f t="shared" si="3"/>
        <v>1.4594663814837674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124260</v>
      </c>
      <c r="E46" s="339">
        <f>E45-E42</f>
        <v>440486</v>
      </c>
      <c r="F46" s="22">
        <f t="shared" si="2"/>
        <v>3.544873652019958</v>
      </c>
      <c r="G46" s="339">
        <f>G45-G42</f>
        <v>723922</v>
      </c>
      <c r="H46" s="339">
        <f>H45-H42</f>
        <v>1079333</v>
      </c>
      <c r="I46" s="22">
        <f t="shared" si="3"/>
        <v>1.4909520638963867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84260</v>
      </c>
      <c r="E47" s="340">
        <f>E46-E44</f>
        <v>440486</v>
      </c>
      <c r="F47" s="23">
        <f t="shared" si="2"/>
        <v>5.2276999762639447</v>
      </c>
      <c r="G47" s="340">
        <f>G46-G44</f>
        <v>483922</v>
      </c>
      <c r="H47" s="340">
        <f>H46-H44</f>
        <v>839333</v>
      </c>
      <c r="I47" s="23">
        <f t="shared" si="3"/>
        <v>1.7344386078748228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57" t="s">
        <v>23</v>
      </c>
      <c r="E52" s="457" t="s">
        <v>24</v>
      </c>
      <c r="F52" s="457" t="s">
        <v>25</v>
      </c>
      <c r="G52" s="457" t="s">
        <v>23</v>
      </c>
      <c r="H52" s="457" t="s">
        <v>24</v>
      </c>
      <c r="I52" s="45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55">
        <v>14</v>
      </c>
      <c r="F53" s="28">
        <f t="shared" ref="F53:F79" si="4">E53/D53</f>
        <v>0.7</v>
      </c>
      <c r="G53" s="66">
        <f>D53+'2019MAY'!G53</f>
        <v>120</v>
      </c>
      <c r="H53" s="66">
        <f>E53+'2019MAY'!H53</f>
        <v>110</v>
      </c>
      <c r="I53" s="28">
        <f t="shared" ref="I53:I79" si="5">H53/G53</f>
        <v>0.91666666666666663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435</v>
      </c>
      <c r="E54" s="455">
        <v>512</v>
      </c>
      <c r="F54" s="28">
        <f t="shared" si="4"/>
        <v>1.1770114942528735</v>
      </c>
      <c r="G54" s="66">
        <f>D54+'2019MAY'!G54</f>
        <v>2710</v>
      </c>
      <c r="H54" s="66">
        <f>E54+'2019MAY'!H54</f>
        <v>2846</v>
      </c>
      <c r="I54" s="28">
        <f t="shared" si="5"/>
        <v>1.0501845018450184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56">
        <f>SUM(D53:D54)</f>
        <v>455</v>
      </c>
      <c r="E55" s="456">
        <f>SUM(E53:E54)</f>
        <v>526</v>
      </c>
      <c r="F55" s="30">
        <f t="shared" si="4"/>
        <v>1.1560439560439559</v>
      </c>
      <c r="G55" s="456">
        <f>SUM(G53:G54)</f>
        <v>2830</v>
      </c>
      <c r="H55" s="456">
        <f>SUM(H53:H54)</f>
        <v>2956</v>
      </c>
      <c r="I55" s="30">
        <f t="shared" si="5"/>
        <v>1.0445229681978798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55">
        <v>40</v>
      </c>
      <c r="F56" s="28">
        <f t="shared" si="4"/>
        <v>0.48192771084337349</v>
      </c>
      <c r="G56" s="66">
        <f>D56+'2019MAY'!G56</f>
        <v>498</v>
      </c>
      <c r="H56" s="66">
        <f>E56+'2019MAY'!H56</f>
        <v>337</v>
      </c>
      <c r="I56" s="28">
        <f t="shared" si="5"/>
        <v>0.67670682730923692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1101</v>
      </c>
      <c r="E57" s="455">
        <v>1424</v>
      </c>
      <c r="F57" s="28">
        <f t="shared" si="4"/>
        <v>1.293369663941871</v>
      </c>
      <c r="G57" s="66">
        <f>D57+'2019MAY'!G57</f>
        <v>6860</v>
      </c>
      <c r="H57" s="66">
        <f>E57+'2019MAY'!H57</f>
        <v>7831</v>
      </c>
      <c r="I57" s="28">
        <f t="shared" si="5"/>
        <v>1.1415451895043731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61">
        <f>SUM(D56:D57)</f>
        <v>1184</v>
      </c>
      <c r="E58" s="461">
        <f>SUM(E56:E57)</f>
        <v>1464</v>
      </c>
      <c r="F58" s="28">
        <f t="shared" si="4"/>
        <v>1.2364864864864864</v>
      </c>
      <c r="G58" s="461">
        <f>SUM(G56:G57)</f>
        <v>7358</v>
      </c>
      <c r="H58" s="461">
        <f>SUM(H56:H57)</f>
        <v>8168</v>
      </c>
      <c r="I58" s="31">
        <f t="shared" si="5"/>
        <v>1.1100842620277249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62">
        <f>SUM(D53,D56)</f>
        <v>103</v>
      </c>
      <c r="E59" s="462">
        <f>SUM(E53,E56)</f>
        <v>54</v>
      </c>
      <c r="F59" s="32">
        <f t="shared" si="4"/>
        <v>0.52427184466019416</v>
      </c>
      <c r="G59" s="462">
        <f>SUM(G53,G56)</f>
        <v>618</v>
      </c>
      <c r="H59" s="462">
        <f>SUM(H53,H56)</f>
        <v>447</v>
      </c>
      <c r="I59" s="32">
        <f t="shared" si="5"/>
        <v>0.72330097087378642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62">
        <f>SUM(D54,D57)</f>
        <v>1536</v>
      </c>
      <c r="E60" s="462">
        <f>SUM(E54,E57)</f>
        <v>1936</v>
      </c>
      <c r="F60" s="32">
        <f t="shared" si="4"/>
        <v>1.2604166666666667</v>
      </c>
      <c r="G60" s="462">
        <f>SUM(G54,G57)</f>
        <v>9570</v>
      </c>
      <c r="H60" s="462">
        <f>SUM(H54,H57)</f>
        <v>10677</v>
      </c>
      <c r="I60" s="32">
        <f t="shared" si="5"/>
        <v>1.1156739811912226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63">
        <f>SUM(D59:D60)</f>
        <v>1639</v>
      </c>
      <c r="E61" s="463">
        <f>SUM(E59:E60)</f>
        <v>1990</v>
      </c>
      <c r="F61" s="33">
        <f t="shared" si="4"/>
        <v>1.2141549725442342</v>
      </c>
      <c r="G61" s="463">
        <f>SUM(G59:G60)</f>
        <v>10188</v>
      </c>
      <c r="H61" s="463">
        <f>SUM(H59:H60)</f>
        <v>11124</v>
      </c>
      <c r="I61" s="33">
        <f t="shared" si="5"/>
        <v>1.0918727915194346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51">
        <f>E71/10</f>
        <v>48.7</v>
      </c>
      <c r="F62" s="28">
        <f t="shared" si="4"/>
        <v>0.69571428571428573</v>
      </c>
      <c r="G62" s="66">
        <f>D62+'2019MAY'!G62</f>
        <v>420</v>
      </c>
      <c r="H62" s="66">
        <f>E62+'2019MAY'!H62</f>
        <v>382.59999999999997</v>
      </c>
      <c r="I62" s="28">
        <f t="shared" si="5"/>
        <v>0.91095238095238085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1513</v>
      </c>
      <c r="E63" s="451">
        <f>E72/10</f>
        <v>1780.9</v>
      </c>
      <c r="F63" s="28">
        <f t="shared" si="4"/>
        <v>1.177065432914739</v>
      </c>
      <c r="G63" s="248">
        <f>D63+'2019MAY'!G63</f>
        <v>9433</v>
      </c>
      <c r="H63" s="66">
        <f>E63+'2019MAY'!H63</f>
        <v>9899.2000000000007</v>
      </c>
      <c r="I63" s="28">
        <f t="shared" si="5"/>
        <v>1.0494222410685892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1583</v>
      </c>
      <c r="E64" s="456">
        <f>SUM(E62:E63)</f>
        <v>1829.6000000000001</v>
      </c>
      <c r="F64" s="30">
        <f t="shared" si="4"/>
        <v>1.1557801642451042</v>
      </c>
      <c r="G64" s="456">
        <f>SUM(G62:G63)</f>
        <v>9853</v>
      </c>
      <c r="H64" s="456">
        <f>SUM(H62:H63)</f>
        <v>10281.800000000001</v>
      </c>
      <c r="I64" s="30">
        <f t="shared" si="5"/>
        <v>1.0435197401806557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51">
        <f>E74/10</f>
        <v>56.5</v>
      </c>
      <c r="F65" s="28">
        <f t="shared" si="4"/>
        <v>0.45564516129032256</v>
      </c>
      <c r="G65" s="66">
        <f>D65+'2019MAY'!G65</f>
        <v>744</v>
      </c>
      <c r="H65" s="66">
        <f>E65+'2019MAY'!H65</f>
        <v>462.9</v>
      </c>
      <c r="I65" s="28">
        <f t="shared" si="5"/>
        <v>0.62217741935483872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1640</v>
      </c>
      <c r="E66" s="451">
        <f>E75/10</f>
        <v>2045.3</v>
      </c>
      <c r="F66" s="28">
        <f t="shared" si="4"/>
        <v>1.2471341463414634</v>
      </c>
      <c r="G66" s="66">
        <f>D66+'2019MAY'!G66</f>
        <v>10222</v>
      </c>
      <c r="H66" s="66">
        <f>E66+'2019MAY'!H66</f>
        <v>11357.099999999999</v>
      </c>
      <c r="I66" s="28">
        <f t="shared" si="5"/>
        <v>1.1110448053218547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61">
        <f>SUM(D65:D66)</f>
        <v>1764</v>
      </c>
      <c r="E67" s="461">
        <f>SUM(E65:E66)</f>
        <v>2101.8000000000002</v>
      </c>
      <c r="F67" s="31">
        <f t="shared" si="4"/>
        <v>1.1914965986394559</v>
      </c>
      <c r="G67" s="461">
        <f>SUM(G65:G66)</f>
        <v>10966</v>
      </c>
      <c r="H67" s="461">
        <f>SUM(H65:H66)</f>
        <v>11819.999999999998</v>
      </c>
      <c r="I67" s="31">
        <f t="shared" si="5"/>
        <v>1.0778770745942001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62">
        <f>SUM(D62,D65)</f>
        <v>194</v>
      </c>
      <c r="E68" s="462">
        <f>SUM(E62,E65)</f>
        <v>105.2</v>
      </c>
      <c r="F68" s="32">
        <f t="shared" si="4"/>
        <v>0.54226804123711336</v>
      </c>
      <c r="G68" s="462">
        <f>SUM(G62,G65)</f>
        <v>1164</v>
      </c>
      <c r="H68" s="462">
        <f>SUM(H62,H65)</f>
        <v>845.5</v>
      </c>
      <c r="I68" s="32">
        <f t="shared" si="5"/>
        <v>0.72637457044673537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62">
        <f>SUM(D63,D66)</f>
        <v>3153</v>
      </c>
      <c r="E69" s="462">
        <f>SUM(E63,E66)</f>
        <v>3826.2</v>
      </c>
      <c r="F69" s="32">
        <f t="shared" si="4"/>
        <v>1.2135109419600381</v>
      </c>
      <c r="G69" s="462">
        <f>SUM(G63,G66)</f>
        <v>19655</v>
      </c>
      <c r="H69" s="462">
        <f>SUM(H63,H66)</f>
        <v>21256.3</v>
      </c>
      <c r="I69" s="32">
        <f t="shared" si="5"/>
        <v>1.0814703637751208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63">
        <f>SUM(D68:D69)</f>
        <v>3347</v>
      </c>
      <c r="E70" s="463">
        <f>SUM(E68:E69)</f>
        <v>3931.3999999999996</v>
      </c>
      <c r="F70" s="34">
        <f t="shared" si="4"/>
        <v>1.174604123095309</v>
      </c>
      <c r="G70" s="463">
        <f>SUM(G68:G69)</f>
        <v>20819</v>
      </c>
      <c r="H70" s="463">
        <f>SUM(H68:H69)</f>
        <v>22101.8</v>
      </c>
      <c r="I70" s="34">
        <f t="shared" si="5"/>
        <v>1.061616792353139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4176</v>
      </c>
      <c r="E71" s="455">
        <v>487</v>
      </c>
      <c r="F71" s="28">
        <f t="shared" si="4"/>
        <v>0.11661877394636015</v>
      </c>
      <c r="G71" s="179">
        <f>D71+'2019MAY'!G71</f>
        <v>14616</v>
      </c>
      <c r="H71" s="66">
        <f>E71+'2019MAY'!H71</f>
        <v>3826</v>
      </c>
      <c r="I71" s="28">
        <f t="shared" si="5"/>
        <v>0.26176792556102901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15133</v>
      </c>
      <c r="E72" s="341">
        <f>E23-E71</f>
        <v>17809</v>
      </c>
      <c r="F72" s="28">
        <f t="shared" si="4"/>
        <v>1.176832088812529</v>
      </c>
      <c r="G72" s="248">
        <f>D72+'2019MAY'!G72</f>
        <v>94327</v>
      </c>
      <c r="H72" s="332">
        <f>E72+'2019MAY'!H72</f>
        <v>98992</v>
      </c>
      <c r="I72" s="28">
        <f t="shared" si="5"/>
        <v>1.0494556171615763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56">
        <f>SUM(D71:D72)</f>
        <v>19309</v>
      </c>
      <c r="E73" s="456">
        <f>SUM(E71:E72)</f>
        <v>18296</v>
      </c>
      <c r="F73" s="30">
        <f t="shared" si="4"/>
        <v>0.94753741778445288</v>
      </c>
      <c r="G73" s="456">
        <f>SUM(G71:G72)</f>
        <v>108943</v>
      </c>
      <c r="H73" s="456">
        <f>SUM(H71:H72)</f>
        <v>102818</v>
      </c>
      <c r="I73" s="30">
        <f t="shared" si="5"/>
        <v>0.94377793892218864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7420</v>
      </c>
      <c r="E74" s="455">
        <v>565</v>
      </c>
      <c r="F74" s="28">
        <f t="shared" si="4"/>
        <v>7.6145552560646895E-2</v>
      </c>
      <c r="G74" s="179">
        <f>D74+'2019MAY'!G74</f>
        <v>25971</v>
      </c>
      <c r="H74" s="66">
        <f>E74+'2019MAY'!H74</f>
        <v>4629</v>
      </c>
      <c r="I74" s="28">
        <f t="shared" si="5"/>
        <v>0.17823726464133072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16399</v>
      </c>
      <c r="E75" s="454">
        <f>E25-E74</f>
        <v>20453</v>
      </c>
      <c r="F75" s="28">
        <f t="shared" si="4"/>
        <v>1.247210195743643</v>
      </c>
      <c r="G75" s="248">
        <f>D75+'2019MAY'!G75</f>
        <v>102217</v>
      </c>
      <c r="H75" s="66">
        <f>E75+'2019MAY'!H75</f>
        <v>113571</v>
      </c>
      <c r="I75" s="28">
        <f t="shared" si="5"/>
        <v>1.1110774137374408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61">
        <f>SUM(D74:D75)</f>
        <v>23819</v>
      </c>
      <c r="E76" s="461">
        <f>SUM(E74:E75)</f>
        <v>21018</v>
      </c>
      <c r="F76" s="31">
        <f t="shared" si="4"/>
        <v>0.88240480288845036</v>
      </c>
      <c r="G76" s="461">
        <f>SUM(G74:G75)</f>
        <v>128188</v>
      </c>
      <c r="H76" s="461">
        <f>SUM(H74:H75)</f>
        <v>118200</v>
      </c>
      <c r="I76" s="31">
        <f t="shared" si="5"/>
        <v>0.92208319031422603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62">
        <f>SUM(D71,D74)</f>
        <v>11596</v>
      </c>
      <c r="E77" s="462">
        <f>SUM(E71,E74)</f>
        <v>1052</v>
      </c>
      <c r="F77" s="32">
        <f t="shared" si="4"/>
        <v>9.0720938254570546E-2</v>
      </c>
      <c r="G77" s="462">
        <f>SUM(G71,G74)</f>
        <v>40587</v>
      </c>
      <c r="H77" s="462">
        <f>SUM(H71,H74)</f>
        <v>8455</v>
      </c>
      <c r="I77" s="32">
        <f t="shared" si="5"/>
        <v>0.20831793431394288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62">
        <f>SUM(D72,D75)</f>
        <v>31532</v>
      </c>
      <c r="E78" s="462">
        <f>SUM(E72,E75)</f>
        <v>38262</v>
      </c>
      <c r="F78" s="32">
        <f t="shared" si="4"/>
        <v>1.2134339718381326</v>
      </c>
      <c r="G78" s="462">
        <f>SUM(G72,G75)</f>
        <v>196544</v>
      </c>
      <c r="H78" s="462">
        <f>SUM(H72,H75)</f>
        <v>212563</v>
      </c>
      <c r="I78" s="32">
        <f t="shared" si="5"/>
        <v>1.0815033783783783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63">
        <f>SUM(D77:D78)</f>
        <v>43128</v>
      </c>
      <c r="E79" s="463">
        <f>SUM(E77:E78)</f>
        <v>39314</v>
      </c>
      <c r="F79" s="34">
        <f t="shared" si="4"/>
        <v>0.91156557225004642</v>
      </c>
      <c r="G79" s="463">
        <f>SUM(G77:G78)</f>
        <v>237131</v>
      </c>
      <c r="H79" s="463">
        <f>SUM(H77:H78)</f>
        <v>221018</v>
      </c>
      <c r="I79" s="34">
        <f t="shared" si="5"/>
        <v>0.93205021696867973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526</v>
      </c>
      <c r="E87" s="130"/>
      <c r="F87" s="134">
        <f>D87+'2019MAY'!F87</f>
        <v>2956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14</v>
      </c>
      <c r="E88" s="128"/>
      <c r="F88" s="134">
        <f>D88+'2019MAY'!F88</f>
        <v>110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</v>
      </c>
      <c r="E89" s="128">
        <f>D89/D87</f>
        <v>7.6045627376425855E-3</v>
      </c>
      <c r="F89" s="134">
        <f>D89+'2019MAY'!F89</f>
        <v>15</v>
      </c>
      <c r="G89" s="128">
        <f>F89/F87</f>
        <v>5.0744248985115023E-3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9</v>
      </c>
      <c r="E90" s="128">
        <f>D90/D92</f>
        <v>3.9130434782608699E-2</v>
      </c>
      <c r="F90" s="134">
        <f>D90+'2019MAY'!F90</f>
        <v>238</v>
      </c>
      <c r="G90" s="128">
        <f>F90/F92</f>
        <v>0.16643356643356644</v>
      </c>
      <c r="H90" s="128"/>
    </row>
    <row r="91" spans="1:13" ht="15" customHeight="1">
      <c r="A91" s="775"/>
      <c r="B91" s="776" t="s">
        <v>202</v>
      </c>
      <c r="C91" s="776"/>
      <c r="D91" s="131">
        <v>239</v>
      </c>
      <c r="E91" s="128">
        <f>D91/D92</f>
        <v>1.0391304347826087</v>
      </c>
      <c r="F91" s="134">
        <f>D91+'2019MAY'!F91</f>
        <v>1316</v>
      </c>
      <c r="G91" s="128">
        <f>F91/F92</f>
        <v>0.92027972027972027</v>
      </c>
      <c r="H91" s="128"/>
    </row>
    <row r="92" spans="1:13" ht="15" customHeight="1">
      <c r="A92" s="775"/>
      <c r="B92" s="776" t="s">
        <v>203</v>
      </c>
      <c r="C92" s="776"/>
      <c r="D92" s="131">
        <v>230</v>
      </c>
      <c r="E92" s="130"/>
      <c r="F92" s="134">
        <f>D92+'2019MAY'!F92</f>
        <v>1430</v>
      </c>
      <c r="G92" s="130"/>
      <c r="H92" s="128"/>
    </row>
    <row r="93" spans="1:13">
      <c r="C93" s="126" t="s">
        <v>210</v>
      </c>
      <c r="D93" s="132">
        <v>756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57" t="s">
        <v>23</v>
      </c>
      <c r="E97" s="457" t="s">
        <v>24</v>
      </c>
      <c r="F97" s="457" t="s">
        <v>25</v>
      </c>
      <c r="G97" s="457" t="s">
        <v>23</v>
      </c>
      <c r="H97" s="457" t="s">
        <v>24</v>
      </c>
      <c r="I97" s="45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55">
        <v>0</v>
      </c>
      <c r="F98" s="37" t="e">
        <f>E98/D98</f>
        <v>#DIV/0!</v>
      </c>
      <c r="G98" s="66">
        <f>D98+'2019MAY'!G98</f>
        <v>0</v>
      </c>
      <c r="H98" s="66">
        <f>E98+'2019MAY'!H98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55">
        <v>19</v>
      </c>
      <c r="F99" s="28">
        <f t="shared" ref="F99:F115" si="6">E99/D99</f>
        <v>0.48717948717948717</v>
      </c>
      <c r="G99" s="66">
        <f>D99+'2019MAY'!G99</f>
        <v>234</v>
      </c>
      <c r="H99" s="66">
        <f>E99+'2019MAY'!H99</f>
        <v>120</v>
      </c>
      <c r="I99" s="28">
        <f t="shared" ref="I99:I115" si="7">H99/G99</f>
        <v>0.51282051282051277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56">
        <f>SUM(D98:D99)</f>
        <v>39</v>
      </c>
      <c r="E100" s="456">
        <f>SUM(E98:E99)</f>
        <v>19</v>
      </c>
      <c r="F100" s="30">
        <f t="shared" si="6"/>
        <v>0.48717948717948717</v>
      </c>
      <c r="G100" s="456">
        <f>SUM(G98:G99)</f>
        <v>234</v>
      </c>
      <c r="H100" s="456">
        <f>SUM(H98:H99)</f>
        <v>121</v>
      </c>
      <c r="I100" s="30">
        <f t="shared" si="7"/>
        <v>0.51709401709401714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55">
        <v>0</v>
      </c>
      <c r="F101" s="28" t="e">
        <f t="shared" si="6"/>
        <v>#DIV/0!</v>
      </c>
      <c r="G101" s="66">
        <f>D101+'2019MAY'!G101</f>
        <v>0</v>
      </c>
      <c r="H101" s="66">
        <f>E101+'2019MAY'!H101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55">
        <v>8</v>
      </c>
      <c r="F102" s="28">
        <f t="shared" si="6"/>
        <v>0.88888888888888884</v>
      </c>
      <c r="G102" s="66">
        <f>D102+'2019MAY'!G102</f>
        <v>54</v>
      </c>
      <c r="H102" s="66">
        <f>E102+'2019MAY'!H102</f>
        <v>53</v>
      </c>
      <c r="I102" s="28">
        <f t="shared" si="7"/>
        <v>0.98148148148148151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56">
        <f>SUM(D101:D102)</f>
        <v>9</v>
      </c>
      <c r="E103" s="456">
        <f>SUM(E101:E102)</f>
        <v>8</v>
      </c>
      <c r="F103" s="30">
        <f t="shared" si="6"/>
        <v>0.88888888888888884</v>
      </c>
      <c r="G103" s="456">
        <f>SUM(G101:G102)</f>
        <v>54</v>
      </c>
      <c r="H103" s="456">
        <f>SUM(H101:H102)</f>
        <v>54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55">
        <v>11</v>
      </c>
      <c r="F104" s="28">
        <f t="shared" si="6"/>
        <v>1.375</v>
      </c>
      <c r="G104" s="66">
        <f>D104+'2019MAY'!G104</f>
        <v>51</v>
      </c>
      <c r="H104" s="66">
        <f>E104+'2019MAY'!H104</f>
        <v>53</v>
      </c>
      <c r="I104" s="28">
        <f t="shared" si="7"/>
        <v>1.0392156862745099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114</v>
      </c>
      <c r="E105" s="455">
        <v>110</v>
      </c>
      <c r="F105" s="28">
        <f t="shared" si="6"/>
        <v>0.96491228070175439</v>
      </c>
      <c r="G105" s="66">
        <f>D105+'2019MAY'!G105</f>
        <v>560</v>
      </c>
      <c r="H105" s="66">
        <f>E105+'2019MAY'!H105</f>
        <v>496</v>
      </c>
      <c r="I105" s="28">
        <f t="shared" si="7"/>
        <v>0.88571428571428568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56">
        <f>SUM(D104:D105)</f>
        <v>122</v>
      </c>
      <c r="E106" s="456">
        <f>SUM(E104:E105)</f>
        <v>121</v>
      </c>
      <c r="F106" s="30">
        <f t="shared" si="6"/>
        <v>0.99180327868852458</v>
      </c>
      <c r="G106" s="456">
        <f>SUM(G104:G105)</f>
        <v>611</v>
      </c>
      <c r="H106" s="456">
        <f>SUM(H104:H105)</f>
        <v>549</v>
      </c>
      <c r="I106" s="30">
        <f t="shared" si="7"/>
        <v>0.89852700490998361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455">
        <v>0</v>
      </c>
      <c r="F107" s="28">
        <f>E107/D107</f>
        <v>0</v>
      </c>
      <c r="G107" s="66">
        <f>D107+'2019MAY'!G107</f>
        <v>8</v>
      </c>
      <c r="H107" s="66">
        <f>E107+'2019MAY'!H107</f>
        <v>5</v>
      </c>
      <c r="I107" s="28">
        <f>H107/G107</f>
        <v>0.625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145</v>
      </c>
      <c r="E108" s="455">
        <v>140</v>
      </c>
      <c r="F108" s="28">
        <f>E108/D108</f>
        <v>0.96551724137931039</v>
      </c>
      <c r="G108" s="66">
        <f>D108+'2019MAY'!G108</f>
        <v>850</v>
      </c>
      <c r="H108" s="66">
        <f>E108+'2019MAY'!H108</f>
        <v>828</v>
      </c>
      <c r="I108" s="28">
        <f t="shared" si="7"/>
        <v>0.97411764705882353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56">
        <f>SUM(D107:D108)</f>
        <v>147</v>
      </c>
      <c r="E109" s="456">
        <f>SUM(E107:E108)</f>
        <v>140</v>
      </c>
      <c r="F109" s="30">
        <f t="shared" si="6"/>
        <v>0.95238095238095233</v>
      </c>
      <c r="G109" s="456">
        <f>SUM(G107:G108)</f>
        <v>858</v>
      </c>
      <c r="H109" s="456">
        <f>SUM(H107:H108)</f>
        <v>833</v>
      </c>
      <c r="I109" s="30">
        <f t="shared" si="7"/>
        <v>0.97086247086247091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455">
        <v>3</v>
      </c>
      <c r="F110" s="30">
        <f>E110/D110</f>
        <v>0.375</v>
      </c>
      <c r="G110" s="66">
        <f>D110+'2019MAY'!G110</f>
        <v>54</v>
      </c>
      <c r="H110" s="66">
        <f>E110+'2019MAY'!H110</f>
        <v>43</v>
      </c>
      <c r="I110" s="30">
        <f>H110/G110</f>
        <v>0.79629629629629628</v>
      </c>
      <c r="J110" s="458"/>
      <c r="K110" s="459"/>
      <c r="L110" s="459"/>
      <c r="M110" s="460"/>
    </row>
    <row r="111" spans="1:13">
      <c r="A111" s="553"/>
      <c r="B111" s="803"/>
      <c r="C111" s="27" t="s">
        <v>70</v>
      </c>
      <c r="D111" s="65">
        <v>128</v>
      </c>
      <c r="E111" s="455">
        <v>109</v>
      </c>
      <c r="F111" s="30">
        <f t="shared" ref="F111:F112" si="8">E111/D111</f>
        <v>0.8515625</v>
      </c>
      <c r="G111" s="66">
        <f>D111+'2019MAY'!G111</f>
        <v>632</v>
      </c>
      <c r="H111" s="66">
        <f>E111+'2019MAY'!H111</f>
        <v>599</v>
      </c>
      <c r="I111" s="30">
        <f t="shared" ref="I111:I112" si="9">H111/G111</f>
        <v>0.94778481012658233</v>
      </c>
      <c r="J111" s="458"/>
      <c r="K111" s="459"/>
      <c r="L111" s="459"/>
      <c r="M111" s="460"/>
    </row>
    <row r="112" spans="1:13">
      <c r="A112" s="553"/>
      <c r="B112" s="804"/>
      <c r="C112" s="38" t="s">
        <v>166</v>
      </c>
      <c r="D112" s="456">
        <f>SUM(D110:D111)</f>
        <v>136</v>
      </c>
      <c r="E112" s="456">
        <f>SUM(E110:E111)</f>
        <v>112</v>
      </c>
      <c r="F112" s="30">
        <f t="shared" si="8"/>
        <v>0.82352941176470584</v>
      </c>
      <c r="G112" s="456">
        <f>SUM(G110:G111)</f>
        <v>686</v>
      </c>
      <c r="H112" s="456">
        <f>SUM(H110:H111)</f>
        <v>642</v>
      </c>
      <c r="I112" s="30">
        <f t="shared" si="9"/>
        <v>0.93586005830903785</v>
      </c>
      <c r="J112" s="458"/>
      <c r="K112" s="459"/>
      <c r="L112" s="459"/>
      <c r="M112" s="460"/>
    </row>
    <row r="113" spans="1:13">
      <c r="A113" s="553"/>
      <c r="B113" s="611" t="s">
        <v>46</v>
      </c>
      <c r="C113" s="39" t="s">
        <v>69</v>
      </c>
      <c r="D113" s="461">
        <f>SUM(D98,D101,D104,D107,D110)</f>
        <v>18</v>
      </c>
      <c r="E113" s="461">
        <f>SUM(E98,E101,E104,E107,E110)</f>
        <v>14</v>
      </c>
      <c r="F113" s="31">
        <f t="shared" si="6"/>
        <v>0.77777777777777779</v>
      </c>
      <c r="G113" s="461">
        <f>SUM(G98,G101,G104,G107,G110)</f>
        <v>113</v>
      </c>
      <c r="H113" s="461">
        <f>SUM(H98,H101,H104,H107,H110)</f>
        <v>103</v>
      </c>
      <c r="I113" s="31">
        <f t="shared" si="7"/>
        <v>0.91150442477876104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61">
        <f>SUM(D99,D102,D105,D108,D111)</f>
        <v>435</v>
      </c>
      <c r="E114" s="461">
        <f>SUM(E99,E102,E105,E108,E111)</f>
        <v>386</v>
      </c>
      <c r="F114" s="31">
        <f t="shared" si="6"/>
        <v>0.88735632183908042</v>
      </c>
      <c r="G114" s="461">
        <f>SUM(G99,G102,G105,G108,G111)</f>
        <v>2330</v>
      </c>
      <c r="H114" s="461">
        <f>SUM(H99,H102,H105,H108,H111)</f>
        <v>2096</v>
      </c>
      <c r="I114" s="31">
        <f t="shared" si="7"/>
        <v>0.89957081545064377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64">
        <f>SUM(D113:D114)</f>
        <v>453</v>
      </c>
      <c r="E115" s="464">
        <f>SUM(E113:E114)</f>
        <v>400</v>
      </c>
      <c r="F115" s="41">
        <f t="shared" si="6"/>
        <v>0.88300220750551872</v>
      </c>
      <c r="G115" s="464">
        <f>SUM(G113:G114)</f>
        <v>2443</v>
      </c>
      <c r="H115" s="464">
        <f>SUM(H113:H114)</f>
        <v>2199</v>
      </c>
      <c r="I115" s="41">
        <f t="shared" si="7"/>
        <v>0.90012279983626686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D116+'2019MAY'!G116</f>
        <v>4</v>
      </c>
      <c r="H116" s="70">
        <f>E116+'2019MAY'!H116</f>
        <v>3</v>
      </c>
      <c r="I116" s="43">
        <f>H116/G116</f>
        <v>0.75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80</v>
      </c>
      <c r="E117" s="455">
        <v>79</v>
      </c>
      <c r="F117" s="28">
        <f t="shared" ref="F117:F126" si="10">E117/D117</f>
        <v>0.98750000000000004</v>
      </c>
      <c r="G117" s="71">
        <f>D117+'2019MAY'!G117</f>
        <v>468</v>
      </c>
      <c r="H117" s="71">
        <f>E117+'2019MAY'!H117</f>
        <v>472</v>
      </c>
      <c r="I117" s="28">
        <f t="shared" ref="I117:I126" si="11">H117/G117</f>
        <v>1.0085470085470085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56">
        <f>SUM(D116:D117)</f>
        <v>81</v>
      </c>
      <c r="E118" s="456">
        <f>SUM(E116:E117)</f>
        <v>79</v>
      </c>
      <c r="F118" s="30">
        <f t="shared" si="10"/>
        <v>0.97530864197530864</v>
      </c>
      <c r="G118" s="456">
        <f>SUM(G116:G117)</f>
        <v>472</v>
      </c>
      <c r="H118" s="456">
        <f>SUM(H116:H117)</f>
        <v>475</v>
      </c>
      <c r="I118" s="30">
        <f t="shared" si="11"/>
        <v>1.0063559322033899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55">
        <v>0</v>
      </c>
      <c r="F119" s="28">
        <f t="shared" si="10"/>
        <v>0</v>
      </c>
      <c r="G119" s="66">
        <f>D119+'2019MAY'!G119</f>
        <v>3</v>
      </c>
      <c r="H119" s="66">
        <f>E119+'2019MAY'!H119</f>
        <v>4</v>
      </c>
      <c r="I119" s="28">
        <f t="shared" si="11"/>
        <v>1.3333333333333333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54</v>
      </c>
      <c r="E120" s="455">
        <v>47</v>
      </c>
      <c r="F120" s="28">
        <f t="shared" si="10"/>
        <v>0.87037037037037035</v>
      </c>
      <c r="G120" s="66">
        <f>D120+'2019MAY'!G120</f>
        <v>316</v>
      </c>
      <c r="H120" s="66">
        <f>E120+'2019MAY'!H120</f>
        <v>278</v>
      </c>
      <c r="I120" s="28">
        <f t="shared" si="11"/>
        <v>0.879746835443038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56">
        <f>SUM(D119:D120)</f>
        <v>55</v>
      </c>
      <c r="E121" s="456">
        <f>SUM(E119:E120)</f>
        <v>47</v>
      </c>
      <c r="F121" s="30">
        <f t="shared" si="10"/>
        <v>0.8545454545454545</v>
      </c>
      <c r="G121" s="456">
        <f>SUM(G119:G120)</f>
        <v>319</v>
      </c>
      <c r="H121" s="456">
        <f>SUM(H119:H120)</f>
        <v>282</v>
      </c>
      <c r="I121" s="30">
        <f t="shared" si="11"/>
        <v>0.88401253918495293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61">
        <f>SUM(D116,D119)</f>
        <v>2</v>
      </c>
      <c r="E122" s="461">
        <f>SUM(E116,E119)</f>
        <v>0</v>
      </c>
      <c r="F122" s="30">
        <f t="shared" si="10"/>
        <v>0</v>
      </c>
      <c r="G122" s="461">
        <f>SUM(G116,G119)</f>
        <v>7</v>
      </c>
      <c r="H122" s="461">
        <f>SUM(H116,H119)</f>
        <v>7</v>
      </c>
      <c r="I122" s="30">
        <f t="shared" si="11"/>
        <v>1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61">
        <f>SUM(D117,D120)</f>
        <v>134</v>
      </c>
      <c r="E123" s="461">
        <f>SUM(E117,E120)</f>
        <v>126</v>
      </c>
      <c r="F123" s="30">
        <f t="shared" si="10"/>
        <v>0.94029850746268662</v>
      </c>
      <c r="G123" s="461">
        <f>SUM(G117,G120)</f>
        <v>784</v>
      </c>
      <c r="H123" s="461">
        <f>SUM(H117,H120)</f>
        <v>750</v>
      </c>
      <c r="I123" s="30">
        <f t="shared" si="11"/>
        <v>0.95663265306122447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64">
        <f>SUM(D122:D123)</f>
        <v>136</v>
      </c>
      <c r="E124" s="464">
        <f>SUM(E122:E123)</f>
        <v>126</v>
      </c>
      <c r="F124" s="41">
        <f t="shared" si="10"/>
        <v>0.92647058823529416</v>
      </c>
      <c r="G124" s="464">
        <f>SUM(G122:G123)</f>
        <v>791</v>
      </c>
      <c r="H124" s="464">
        <f>SUM(H122:H123)</f>
        <v>757</v>
      </c>
      <c r="I124" s="41">
        <f t="shared" si="11"/>
        <v>0.95701643489254107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66">
        <f>SUM(D113,D122)</f>
        <v>20</v>
      </c>
      <c r="E125" s="466">
        <f>SUM(E113,E122)</f>
        <v>14</v>
      </c>
      <c r="F125" s="45">
        <f t="shared" si="10"/>
        <v>0.7</v>
      </c>
      <c r="G125" s="46">
        <f>SUM(G113,G122)</f>
        <v>120</v>
      </c>
      <c r="H125" s="46">
        <f>SUM(H113,H122)</f>
        <v>110</v>
      </c>
      <c r="I125" s="45">
        <f t="shared" si="11"/>
        <v>0.91666666666666663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62">
        <f>SUM(D114,D123)</f>
        <v>569</v>
      </c>
      <c r="E126" s="462">
        <f>SUM(E114,E123)</f>
        <v>512</v>
      </c>
      <c r="F126" s="32">
        <f t="shared" si="10"/>
        <v>0.89982425307557112</v>
      </c>
      <c r="G126" s="462">
        <f>SUM(G114,G123)</f>
        <v>3114</v>
      </c>
      <c r="H126" s="462">
        <f>SUM(H114,H123)</f>
        <v>2846</v>
      </c>
      <c r="I126" s="32">
        <f t="shared" si="11"/>
        <v>0.91393705844572892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62">
        <f>SUM(D125:D126)</f>
        <v>589</v>
      </c>
      <c r="E127" s="462">
        <f>SUM(E125:E126)</f>
        <v>526</v>
      </c>
      <c r="F127" s="49">
        <f>E127/D127</f>
        <v>0.8930390492359932</v>
      </c>
      <c r="G127" s="466">
        <f>SUM(G125:G126)</f>
        <v>3234</v>
      </c>
      <c r="H127" s="466">
        <f>SUM(H125:H126)</f>
        <v>2956</v>
      </c>
      <c r="I127" s="49">
        <f>H127/G127</f>
        <v>0.91403834260977113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2</v>
      </c>
      <c r="F135" s="592"/>
      <c r="G135" s="591">
        <v>2</v>
      </c>
      <c r="H135" s="592"/>
      <c r="I135" s="591">
        <v>9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6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6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6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65" t="s">
        <v>99</v>
      </c>
      <c r="C140" s="590">
        <v>0</v>
      </c>
      <c r="D140" s="590"/>
      <c r="E140" s="590">
        <v>231</v>
      </c>
      <c r="F140" s="590"/>
      <c r="G140" s="590">
        <v>10</v>
      </c>
      <c r="H140" s="590"/>
      <c r="I140" s="772">
        <v>4863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301</v>
      </c>
      <c r="D146" s="736"/>
      <c r="E146" s="737"/>
      <c r="F146" s="750" t="s">
        <v>300</v>
      </c>
      <c r="G146" s="754"/>
      <c r="H146" s="754"/>
      <c r="I146" s="755"/>
      <c r="J146" s="751" t="s">
        <v>302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67" t="s">
        <v>109</v>
      </c>
      <c r="C154" s="467" t="s">
        <v>110</v>
      </c>
      <c r="D154" s="467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'2019MAY'!H155</f>
        <v>-34467</v>
      </c>
      <c r="C155" s="63">
        <f>E45-E44</f>
        <v>445590</v>
      </c>
      <c r="D155" s="73">
        <f>400000</f>
        <v>400000</v>
      </c>
      <c r="E155" s="531" t="s">
        <v>114</v>
      </c>
      <c r="F155" s="531"/>
      <c r="G155" s="531"/>
      <c r="H155" s="72">
        <f>C155+A155+B155-D155</f>
        <v>11123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78870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54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19037</v>
      </c>
      <c r="H165" s="778"/>
      <c r="I165" s="779"/>
      <c r="J165" s="779"/>
      <c r="K165" s="780"/>
    </row>
    <row r="166" spans="1:11" ht="14">
      <c r="A166" s="468" t="s">
        <v>126</v>
      </c>
      <c r="B166" s="777" t="s">
        <v>127</v>
      </c>
      <c r="C166" s="777"/>
      <c r="D166" s="777"/>
      <c r="E166" s="777"/>
      <c r="F166" s="777"/>
      <c r="G166" s="455">
        <v>1909</v>
      </c>
      <c r="H166" s="778"/>
      <c r="I166" s="779"/>
      <c r="J166" s="779"/>
      <c r="K166" s="780"/>
    </row>
    <row r="167" spans="1:11" ht="14">
      <c r="A167" s="468" t="s">
        <v>128</v>
      </c>
      <c r="B167" s="777" t="s">
        <v>129</v>
      </c>
      <c r="C167" s="777"/>
      <c r="D167" s="777"/>
      <c r="E167" s="777"/>
      <c r="F167" s="777"/>
      <c r="G167" s="454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7332A690-4775-4C5D-AD0C-7D8427DBB00D}">
      <formula1>"Jan, Feb, March, April, May, June, July, Aug, Sep, Oct, Nov, Dec"</formula1>
    </dataValidation>
    <dataValidation type="list" allowBlank="1" showInputMessage="1" showErrorMessage="1" sqref="L3" xr:uid="{0120D53E-622B-4357-8E97-9232807EC4B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30</vt:i4>
      </vt:variant>
    </vt:vector>
  </HeadingPairs>
  <TitlesOfParts>
    <vt:vector size="62" baseType="lpstr">
      <vt:lpstr>Sheet1</vt:lpstr>
      <vt:lpstr>Data</vt:lpstr>
      <vt:lpstr>2017JAN</vt:lpstr>
      <vt:lpstr>2017FEB</vt:lpstr>
      <vt:lpstr>2017MAR</vt:lpstr>
      <vt:lpstr>2017APR</vt:lpstr>
      <vt:lpstr>2017MAY</vt:lpstr>
      <vt:lpstr>2017JUN</vt:lpstr>
      <vt:lpstr>2017JUL</vt:lpstr>
      <vt:lpstr>2017AUG</vt:lpstr>
      <vt:lpstr>2017SEP</vt:lpstr>
      <vt:lpstr>2017OCT</vt:lpstr>
      <vt:lpstr>2017NOV</vt:lpstr>
      <vt:lpstr>2017DEC</vt:lpstr>
      <vt:lpstr>2018JAN</vt:lpstr>
      <vt:lpstr>2018FEB</vt:lpstr>
      <vt:lpstr>2018MAR</vt:lpstr>
      <vt:lpstr>2018APR</vt:lpstr>
      <vt:lpstr>2018MAY</vt:lpstr>
      <vt:lpstr>2018JUN</vt:lpstr>
      <vt:lpstr>2018JUL</vt:lpstr>
      <vt:lpstr>2018AUG</vt:lpstr>
      <vt:lpstr>2018SEP</vt:lpstr>
      <vt:lpstr>2018OCT</vt:lpstr>
      <vt:lpstr>2018NOV</vt:lpstr>
      <vt:lpstr>2018DEC</vt:lpstr>
      <vt:lpstr>2019JAN</vt:lpstr>
      <vt:lpstr>2019FEB</vt:lpstr>
      <vt:lpstr>2019MAR</vt:lpstr>
      <vt:lpstr>2019APR</vt:lpstr>
      <vt:lpstr>2019MAY</vt:lpstr>
      <vt:lpstr>2019JUN</vt:lpstr>
      <vt:lpstr>'2017APR'!Print_Area</vt:lpstr>
      <vt:lpstr>'2017AUG'!Print_Area</vt:lpstr>
      <vt:lpstr>'2017DEC'!Print_Area</vt:lpstr>
      <vt:lpstr>'2017FEB'!Print_Area</vt:lpstr>
      <vt:lpstr>'2017JAN'!Print_Area</vt:lpstr>
      <vt:lpstr>'2017JUL'!Print_Area</vt:lpstr>
      <vt:lpstr>'2017JUN'!Print_Area</vt:lpstr>
      <vt:lpstr>'2017MAR'!Print_Area</vt:lpstr>
      <vt:lpstr>'2017MAY'!Print_Area</vt:lpstr>
      <vt:lpstr>'2017NOV'!Print_Area</vt:lpstr>
      <vt:lpstr>'2017OCT'!Print_Area</vt:lpstr>
      <vt:lpstr>'2017SEP'!Print_Area</vt:lpstr>
      <vt:lpstr>'2018APR'!Print_Area</vt:lpstr>
      <vt:lpstr>'2018AUG'!Print_Area</vt:lpstr>
      <vt:lpstr>'2018DEC'!Print_Area</vt:lpstr>
      <vt:lpstr>'2018FEB'!Print_Area</vt:lpstr>
      <vt:lpstr>'2018JAN'!Print_Area</vt:lpstr>
      <vt:lpstr>'2018JUL'!Print_Area</vt:lpstr>
      <vt:lpstr>'2018JUN'!Print_Area</vt:lpstr>
      <vt:lpstr>'2018MAR'!Print_Area</vt:lpstr>
      <vt:lpstr>'2018MAY'!Print_Area</vt:lpstr>
      <vt:lpstr>'2018NOV'!Print_Area</vt:lpstr>
      <vt:lpstr>'2018OCT'!Print_Area</vt:lpstr>
      <vt:lpstr>'2018SEP'!Print_Area</vt:lpstr>
      <vt:lpstr>'2019APR'!Print_Area</vt:lpstr>
      <vt:lpstr>'2019FEB'!Print_Area</vt:lpstr>
      <vt:lpstr>'2019JAN'!Print_Area</vt:lpstr>
      <vt:lpstr>'2019JUN'!Print_Area</vt:lpstr>
      <vt:lpstr>'2019MAR'!Print_Area</vt:lpstr>
      <vt:lpstr>'2019MAY'!Print_Area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GiminKim</dc:creator>
  <cp:lastModifiedBy>Microsoft Office User</cp:lastModifiedBy>
  <dcterms:created xsi:type="dcterms:W3CDTF">2017-02-21T03:49:21Z</dcterms:created>
  <dcterms:modified xsi:type="dcterms:W3CDTF">2019-11-06T21:46:56Z</dcterms:modified>
</cp:coreProperties>
</file>