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unjinkim/Dropbox (CSU Fullerton)/GitHub/Fundraising-Data-Analysis/"/>
    </mc:Choice>
  </mc:AlternateContent>
  <xr:revisionPtr revIDLastSave="0" documentId="13_ncr:1_{609B5FBB-BF35-B648-95B7-B4BE70D24C62}" xr6:coauthVersionLast="44" xr6:coauthVersionMax="44" xr10:uidLastSave="{00000000-0000-0000-0000-000000000000}"/>
  <bookViews>
    <workbookView xWindow="-36760" yWindow="620" windowWidth="28800" windowHeight="17540" xr2:uid="{00000000-000D-0000-FFFF-FFFF00000000}"/>
  </bookViews>
  <sheets>
    <sheet name="Data" sheetId="49" r:id="rId1"/>
    <sheet name="2017JAN" sheetId="36" r:id="rId2"/>
    <sheet name="2017FEB" sheetId="37" r:id="rId3"/>
    <sheet name="2017MAR" sheetId="38" r:id="rId4"/>
    <sheet name="2017APR" sheetId="39" r:id="rId5"/>
    <sheet name="2017MAY" sheetId="40" r:id="rId6"/>
    <sheet name="2017JUN" sheetId="41" r:id="rId7"/>
    <sheet name="2017JUL" sheetId="42" r:id="rId8"/>
    <sheet name="2017AUG" sheetId="43" r:id="rId9"/>
    <sheet name="2017SEP" sheetId="44" r:id="rId10"/>
    <sheet name="2017OCT" sheetId="45" r:id="rId11"/>
    <sheet name="2017NOV" sheetId="46" r:id="rId12"/>
    <sheet name="2017DEC" sheetId="47" r:id="rId13"/>
    <sheet name="2018JAN" sheetId="15" r:id="rId14"/>
    <sheet name="2018FEB" sheetId="16" r:id="rId15"/>
    <sheet name="2018MAR" sheetId="17" r:id="rId16"/>
    <sheet name="2018APR" sheetId="18" r:id="rId17"/>
    <sheet name="2018MAY" sheetId="19" r:id="rId18"/>
    <sheet name="2018JUN" sheetId="20" r:id="rId19"/>
    <sheet name="2018JUL" sheetId="21" r:id="rId20"/>
    <sheet name="2018AUG" sheetId="22" r:id="rId21"/>
    <sheet name="2018SEP" sheetId="23" r:id="rId22"/>
    <sheet name="2018OCT" sheetId="24" r:id="rId23"/>
    <sheet name="2018NOV" sheetId="25" r:id="rId24"/>
    <sheet name="2018DEC" sheetId="26" r:id="rId25"/>
    <sheet name="2019JAN" sheetId="27" r:id="rId26"/>
    <sheet name="2019FEB" sheetId="28" r:id="rId27"/>
    <sheet name="2019MAR" sheetId="29" r:id="rId28"/>
    <sheet name="2019APR" sheetId="30" r:id="rId29"/>
    <sheet name="2019MAY" sheetId="31" r:id="rId30"/>
    <sheet name="2019JUN" sheetId="32" r:id="rId31"/>
  </sheets>
  <definedNames>
    <definedName name="_xlnm.Print_Area" localSheetId="4">'2017APR'!$A$1:$M$151</definedName>
    <definedName name="_xlnm.Print_Area" localSheetId="8">'2017AUG'!$A$1:$M$151</definedName>
    <definedName name="_xlnm.Print_Area" localSheetId="12">'2017DEC'!$A$1:$M$151</definedName>
    <definedName name="_xlnm.Print_Area" localSheetId="2">'2017FEB'!$A$1:$M$151</definedName>
    <definedName name="_xlnm.Print_Area" localSheetId="1">'2017JAN'!$A$1:$M$151</definedName>
    <definedName name="_xlnm.Print_Area" localSheetId="7">'2017JUL'!$A$1:$M$151</definedName>
    <definedName name="_xlnm.Print_Area" localSheetId="6">'2017JUN'!$A$1:$M$151</definedName>
    <definedName name="_xlnm.Print_Area" localSheetId="3">'2017MAR'!$A$1:$M$151</definedName>
    <definedName name="_xlnm.Print_Area" localSheetId="5">'2017MAY'!$A$1:$M$151</definedName>
    <definedName name="_xlnm.Print_Area" localSheetId="11">'2017NOV'!$A$1:$M$151</definedName>
    <definedName name="_xlnm.Print_Area" localSheetId="10">'2017OCT'!$A$1:$M$151</definedName>
    <definedName name="_xlnm.Print_Area" localSheetId="9">'2017SEP'!$A$1:$M$151</definedName>
    <definedName name="_xlnm.Print_Area" localSheetId="16">'2018APR'!$A$1:$M$168</definedName>
    <definedName name="_xlnm.Print_Area" localSheetId="20">'2018AUG'!$A$1:$M$168</definedName>
    <definedName name="_xlnm.Print_Area" localSheetId="24">'2018DEC'!$A$1:$M$168</definedName>
    <definedName name="_xlnm.Print_Area" localSheetId="14">'2018FEB'!$A$1:$M$168</definedName>
    <definedName name="_xlnm.Print_Area" localSheetId="13">'2018JAN'!$A$1:$M$168</definedName>
    <definedName name="_xlnm.Print_Area" localSheetId="19">'2018JUL'!$A$1:$M$168</definedName>
    <definedName name="_xlnm.Print_Area" localSheetId="18">'2018JUN'!$A$1:$M$168</definedName>
    <definedName name="_xlnm.Print_Area" localSheetId="15">'2018MAR'!$A$1:$M$168</definedName>
    <definedName name="_xlnm.Print_Area" localSheetId="17">'2018MAY'!$A$1:$M$168</definedName>
    <definedName name="_xlnm.Print_Area" localSheetId="23">'2018NOV'!$A$1:$M$168</definedName>
    <definedName name="_xlnm.Print_Area" localSheetId="22">'2018OCT'!$A$1:$M$168</definedName>
    <definedName name="_xlnm.Print_Area" localSheetId="21">'2018SEP'!$A$1:$M$168</definedName>
    <definedName name="_xlnm.Print_Area" localSheetId="28">'2019APR'!$A$1:$M$168</definedName>
    <definedName name="_xlnm.Print_Area" localSheetId="26">'2019FEB'!$A$1:$M$168</definedName>
    <definedName name="_xlnm.Print_Area" localSheetId="25">'2019JAN'!$A$1:$M$168</definedName>
    <definedName name="_xlnm.Print_Area" localSheetId="30">'2019JUN'!$A$1:$M$168</definedName>
    <definedName name="_xlnm.Print_Area" localSheetId="27">'2019MAR'!$A$1:$M$168</definedName>
    <definedName name="_xlnm.Print_Area" localSheetId="29">'2019MAY'!$A$1:$M$168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" i="49" l="1"/>
  <c r="D3" i="49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C31" i="49"/>
  <c r="G31" i="49"/>
  <c r="K31" i="49"/>
  <c r="O31" i="49"/>
  <c r="S31" i="49"/>
  <c r="W31" i="49"/>
  <c r="AA31" i="49"/>
  <c r="AE31" i="49"/>
  <c r="AI31" i="49"/>
  <c r="AM31" i="49"/>
  <c r="AQ31" i="49"/>
  <c r="H31" i="49"/>
  <c r="L31" i="49"/>
  <c r="P31" i="49"/>
  <c r="T31" i="49"/>
  <c r="X31" i="49"/>
  <c r="AB31" i="49"/>
  <c r="AF31" i="49"/>
  <c r="AJ31" i="49"/>
  <c r="AN31" i="49"/>
  <c r="AR31" i="49"/>
  <c r="E31" i="49"/>
  <c r="I31" i="49"/>
  <c r="M31" i="49"/>
  <c r="Q31" i="49"/>
  <c r="U31" i="49"/>
  <c r="Y31" i="49"/>
  <c r="AC31" i="49"/>
  <c r="AG31" i="49"/>
  <c r="AK31" i="49"/>
  <c r="AO31" i="49"/>
  <c r="AS31" i="49"/>
  <c r="F31" i="49"/>
  <c r="J31" i="49"/>
  <c r="N31" i="49"/>
  <c r="R31" i="49"/>
  <c r="V31" i="49"/>
  <c r="Z31" i="49"/>
  <c r="AD31" i="49"/>
  <c r="AH31" i="49"/>
  <c r="AL31" i="49"/>
  <c r="AP31" i="49"/>
  <c r="AQ15" i="49"/>
  <c r="AQ19" i="49"/>
  <c r="AQ23" i="49"/>
  <c r="AQ27" i="49"/>
  <c r="AQ25" i="49"/>
  <c r="AQ18" i="49"/>
  <c r="AQ26" i="49"/>
  <c r="AQ16" i="49"/>
  <c r="AQ20" i="49"/>
  <c r="AQ24" i="49"/>
  <c r="AQ28" i="49"/>
  <c r="AQ21" i="49"/>
  <c r="AQ29" i="49"/>
  <c r="AQ22" i="49"/>
  <c r="AQ30" i="49"/>
  <c r="AQ17" i="49"/>
  <c r="AQ14" i="49"/>
  <c r="AP14" i="49"/>
  <c r="AP15" i="49"/>
  <c r="AP19" i="49"/>
  <c r="AP27" i="49"/>
  <c r="AP16" i="49"/>
  <c r="AP20" i="49"/>
  <c r="AP24" i="49"/>
  <c r="AP28" i="49"/>
  <c r="AP17" i="49"/>
  <c r="AP21" i="49"/>
  <c r="AP25" i="49"/>
  <c r="AP29" i="49"/>
  <c r="AP18" i="49"/>
  <c r="AP22" i="49"/>
  <c r="AP26" i="49"/>
  <c r="AP30" i="49"/>
  <c r="AP23" i="49"/>
  <c r="AN14" i="49"/>
  <c r="AP13" i="49"/>
  <c r="AQ11" i="49"/>
  <c r="D16" i="15" l="1"/>
  <c r="A138" i="47" l="1"/>
  <c r="E109" i="47"/>
  <c r="D109" i="47"/>
  <c r="F106" i="47"/>
  <c r="E106" i="47"/>
  <c r="D106" i="47"/>
  <c r="E105" i="47"/>
  <c r="D105" i="47"/>
  <c r="D107" i="47" s="1"/>
  <c r="F104" i="47"/>
  <c r="E104" i="47"/>
  <c r="D104" i="47"/>
  <c r="F103" i="47"/>
  <c r="F102" i="47"/>
  <c r="E101" i="47"/>
  <c r="D101" i="47"/>
  <c r="F100" i="47"/>
  <c r="F99" i="47"/>
  <c r="E97" i="47"/>
  <c r="D97" i="47"/>
  <c r="F96" i="47"/>
  <c r="E96" i="47"/>
  <c r="E108" i="47" s="1"/>
  <c r="D96" i="47"/>
  <c r="D108" i="47" s="1"/>
  <c r="E95" i="47"/>
  <c r="D95" i="47"/>
  <c r="F94" i="47"/>
  <c r="F93" i="47"/>
  <c r="F92" i="47"/>
  <c r="E92" i="47"/>
  <c r="D92" i="47"/>
  <c r="F91" i="47"/>
  <c r="F90" i="47"/>
  <c r="E89" i="47"/>
  <c r="F89" i="47" s="1"/>
  <c r="D89" i="47"/>
  <c r="F88" i="47"/>
  <c r="F87" i="47"/>
  <c r="F86" i="47"/>
  <c r="E86" i="47"/>
  <c r="D86" i="47"/>
  <c r="F85" i="47"/>
  <c r="F84" i="47"/>
  <c r="D77" i="47"/>
  <c r="D76" i="47"/>
  <c r="E75" i="47"/>
  <c r="D75" i="47"/>
  <c r="D74" i="47"/>
  <c r="E73" i="47"/>
  <c r="F72" i="47"/>
  <c r="F71" i="47"/>
  <c r="E71" i="47"/>
  <c r="D71" i="47"/>
  <c r="E70" i="47"/>
  <c r="E76" i="47" s="1"/>
  <c r="F76" i="47" s="1"/>
  <c r="F69" i="47"/>
  <c r="D68" i="47"/>
  <c r="D67" i="47"/>
  <c r="D66" i="47"/>
  <c r="D65" i="47"/>
  <c r="E64" i="47"/>
  <c r="F64" i="47" s="1"/>
  <c r="E63" i="47"/>
  <c r="D62" i="47"/>
  <c r="E61" i="47"/>
  <c r="F60" i="47"/>
  <c r="E60" i="47"/>
  <c r="E58" i="47"/>
  <c r="D58" i="47"/>
  <c r="F57" i="47"/>
  <c r="E57" i="47"/>
  <c r="E59" i="47" s="1"/>
  <c r="D57" i="47"/>
  <c r="D59" i="47" s="1"/>
  <c r="F59" i="47" s="1"/>
  <c r="E56" i="47"/>
  <c r="D56" i="47"/>
  <c r="F55" i="47"/>
  <c r="F54" i="47"/>
  <c r="F53" i="47"/>
  <c r="E53" i="47"/>
  <c r="D53" i="47"/>
  <c r="F52" i="47"/>
  <c r="F51" i="47"/>
  <c r="F42" i="47"/>
  <c r="F41" i="47"/>
  <c r="F40" i="47"/>
  <c r="E40" i="47"/>
  <c r="D39" i="47"/>
  <c r="E38" i="47"/>
  <c r="F38" i="47" s="1"/>
  <c r="D38" i="47"/>
  <c r="I37" i="47"/>
  <c r="F37" i="47"/>
  <c r="F36" i="47"/>
  <c r="E35" i="47"/>
  <c r="D35" i="47"/>
  <c r="I34" i="47"/>
  <c r="F34" i="47"/>
  <c r="F33" i="47"/>
  <c r="E32" i="47"/>
  <c r="F32" i="47" s="1"/>
  <c r="F31" i="47"/>
  <c r="E30" i="47"/>
  <c r="D30" i="47"/>
  <c r="D32" i="47" s="1"/>
  <c r="I29" i="47"/>
  <c r="H29" i="47"/>
  <c r="G29" i="47"/>
  <c r="F29" i="47"/>
  <c r="F28" i="47"/>
  <c r="E26" i="47"/>
  <c r="E25" i="47"/>
  <c r="D25" i="47"/>
  <c r="I24" i="47"/>
  <c r="H24" i="47"/>
  <c r="G24" i="47"/>
  <c r="F24" i="47"/>
  <c r="F23" i="47"/>
  <c r="E22" i="47"/>
  <c r="F22" i="47" s="1"/>
  <c r="D22" i="47"/>
  <c r="F21" i="47"/>
  <c r="D14" i="47"/>
  <c r="C14" i="47"/>
  <c r="A138" i="46"/>
  <c r="D109" i="46"/>
  <c r="E108" i="46"/>
  <c r="D108" i="46"/>
  <c r="D110" i="46" s="1"/>
  <c r="D107" i="46"/>
  <c r="E106" i="46"/>
  <c r="F106" i="46" s="1"/>
  <c r="D106" i="46"/>
  <c r="F105" i="46"/>
  <c r="E105" i="46"/>
  <c r="D105" i="46"/>
  <c r="E104" i="46"/>
  <c r="F104" i="46" s="1"/>
  <c r="D104" i="46"/>
  <c r="F103" i="46"/>
  <c r="F102" i="46"/>
  <c r="F101" i="46"/>
  <c r="E101" i="46"/>
  <c r="D101" i="46"/>
  <c r="F100" i="46"/>
  <c r="F99" i="46"/>
  <c r="F98" i="46"/>
  <c r="E98" i="46"/>
  <c r="F97" i="46"/>
  <c r="E97" i="46"/>
  <c r="D97" i="46"/>
  <c r="E96" i="46"/>
  <c r="F96" i="46" s="1"/>
  <c r="D96" i="46"/>
  <c r="D98" i="46" s="1"/>
  <c r="E95" i="46"/>
  <c r="D95" i="46"/>
  <c r="F95" i="46" s="1"/>
  <c r="F94" i="46"/>
  <c r="F93" i="46"/>
  <c r="E92" i="46"/>
  <c r="D92" i="46"/>
  <c r="F91" i="46"/>
  <c r="F90" i="46"/>
  <c r="F89" i="46"/>
  <c r="E89" i="46"/>
  <c r="D89" i="46"/>
  <c r="F88" i="46"/>
  <c r="F87" i="46"/>
  <c r="E86" i="46"/>
  <c r="F86" i="46" s="1"/>
  <c r="D86" i="46"/>
  <c r="F85" i="46"/>
  <c r="F84" i="46"/>
  <c r="D76" i="46"/>
  <c r="D77" i="46" s="1"/>
  <c r="F75" i="46"/>
  <c r="E75" i="46"/>
  <c r="D75" i="46"/>
  <c r="F74" i="46"/>
  <c r="E74" i="46"/>
  <c r="D74" i="46"/>
  <c r="F73" i="46"/>
  <c r="E73" i="46"/>
  <c r="F72" i="46"/>
  <c r="D71" i="46"/>
  <c r="E70" i="46"/>
  <c r="F69" i="46"/>
  <c r="D67" i="46"/>
  <c r="D66" i="46"/>
  <c r="D68" i="46" s="1"/>
  <c r="D65" i="46"/>
  <c r="F64" i="46"/>
  <c r="E64" i="46"/>
  <c r="E63" i="46"/>
  <c r="D62" i="46"/>
  <c r="E60" i="46"/>
  <c r="E59" i="46"/>
  <c r="F59" i="46" s="1"/>
  <c r="E58" i="46"/>
  <c r="F58" i="46" s="1"/>
  <c r="D58" i="46"/>
  <c r="E57" i="46"/>
  <c r="F57" i="46" s="1"/>
  <c r="D57" i="46"/>
  <c r="D59" i="46" s="1"/>
  <c r="E56" i="46"/>
  <c r="F56" i="46" s="1"/>
  <c r="D56" i="46"/>
  <c r="F55" i="46"/>
  <c r="F54" i="46"/>
  <c r="E53" i="46"/>
  <c r="F53" i="46" s="1"/>
  <c r="D53" i="46"/>
  <c r="F52" i="46"/>
  <c r="F51" i="46"/>
  <c r="F42" i="46"/>
  <c r="F41" i="46"/>
  <c r="E40" i="46"/>
  <c r="E38" i="46"/>
  <c r="D38" i="46"/>
  <c r="I37" i="46"/>
  <c r="F37" i="46"/>
  <c r="F36" i="46"/>
  <c r="E35" i="46"/>
  <c r="D35" i="46"/>
  <c r="I34" i="46"/>
  <c r="F34" i="46"/>
  <c r="F33" i="46"/>
  <c r="E32" i="46"/>
  <c r="F32" i="46" s="1"/>
  <c r="D32" i="46"/>
  <c r="F31" i="46"/>
  <c r="F30" i="46"/>
  <c r="E30" i="46"/>
  <c r="D30" i="46"/>
  <c r="I29" i="46"/>
  <c r="H29" i="46"/>
  <c r="G29" i="46"/>
  <c r="F29" i="46"/>
  <c r="F28" i="46"/>
  <c r="D26" i="46"/>
  <c r="F25" i="46"/>
  <c r="E25" i="46"/>
  <c r="D25" i="46"/>
  <c r="I24" i="46"/>
  <c r="H24" i="46"/>
  <c r="G24" i="46"/>
  <c r="F24" i="46"/>
  <c r="F23" i="46"/>
  <c r="E22" i="46"/>
  <c r="F22" i="46" s="1"/>
  <c r="D22" i="46"/>
  <c r="F21" i="46"/>
  <c r="D14" i="46"/>
  <c r="C14" i="46"/>
  <c r="E106" i="45"/>
  <c r="D106" i="45"/>
  <c r="E105" i="45"/>
  <c r="D105" i="45"/>
  <c r="E104" i="45"/>
  <c r="F104" i="45" s="1"/>
  <c r="D104" i="45"/>
  <c r="F103" i="45"/>
  <c r="F102" i="45"/>
  <c r="E101" i="45"/>
  <c r="F101" i="45" s="1"/>
  <c r="D101" i="45"/>
  <c r="F100" i="45"/>
  <c r="F99" i="45"/>
  <c r="E98" i="45"/>
  <c r="F97" i="45"/>
  <c r="E97" i="45"/>
  <c r="E109" i="45" s="1"/>
  <c r="D97" i="45"/>
  <c r="E96" i="45"/>
  <c r="D96" i="45"/>
  <c r="E95" i="45"/>
  <c r="F95" i="45" s="1"/>
  <c r="D95" i="45"/>
  <c r="F94" i="45"/>
  <c r="F93" i="45"/>
  <c r="E92" i="45"/>
  <c r="F92" i="45" s="1"/>
  <c r="D92" i="45"/>
  <c r="F91" i="45"/>
  <c r="F90" i="45"/>
  <c r="E89" i="45"/>
  <c r="F89" i="45" s="1"/>
  <c r="D89" i="45"/>
  <c r="F88" i="45"/>
  <c r="F87" i="45"/>
  <c r="E86" i="45"/>
  <c r="F86" i="45" s="1"/>
  <c r="D86" i="45"/>
  <c r="F85" i="45"/>
  <c r="F84" i="45"/>
  <c r="E76" i="45"/>
  <c r="F76" i="45" s="1"/>
  <c r="D76" i="45"/>
  <c r="E75" i="45"/>
  <c r="D75" i="45"/>
  <c r="D74" i="45"/>
  <c r="E73" i="45"/>
  <c r="F72" i="45"/>
  <c r="F71" i="45"/>
  <c r="D71" i="45"/>
  <c r="F70" i="45"/>
  <c r="E70" i="45"/>
  <c r="E71" i="45" s="1"/>
  <c r="F69" i="45"/>
  <c r="D67" i="45"/>
  <c r="F66" i="45"/>
  <c r="E66" i="45"/>
  <c r="D66" i="45"/>
  <c r="D68" i="45" s="1"/>
  <c r="D65" i="45"/>
  <c r="E64" i="45"/>
  <c r="F63" i="45"/>
  <c r="E63" i="45"/>
  <c r="E62" i="45"/>
  <c r="F62" i="45" s="1"/>
  <c r="D62" i="45"/>
  <c r="E61" i="45"/>
  <c r="F60" i="45"/>
  <c r="E60" i="45"/>
  <c r="E59" i="45"/>
  <c r="F58" i="45"/>
  <c r="E58" i="45"/>
  <c r="D58" i="45"/>
  <c r="E57" i="45"/>
  <c r="D57" i="45"/>
  <c r="D59" i="45" s="1"/>
  <c r="E56" i="45"/>
  <c r="F56" i="45" s="1"/>
  <c r="D56" i="45"/>
  <c r="F55" i="45"/>
  <c r="F54" i="45"/>
  <c r="E53" i="45"/>
  <c r="F53" i="45" s="1"/>
  <c r="D53" i="45"/>
  <c r="F52" i="45"/>
  <c r="F51" i="45"/>
  <c r="E42" i="45"/>
  <c r="F41" i="45"/>
  <c r="E40" i="45"/>
  <c r="E38" i="45"/>
  <c r="D38" i="45"/>
  <c r="I37" i="45"/>
  <c r="F37" i="45"/>
  <c r="F36" i="45"/>
  <c r="E35" i="45"/>
  <c r="D35" i="45"/>
  <c r="I34" i="45"/>
  <c r="F34" i="45"/>
  <c r="F33" i="45"/>
  <c r="D32" i="45"/>
  <c r="F31" i="45"/>
  <c r="F30" i="45"/>
  <c r="E30" i="45"/>
  <c r="E32" i="45" s="1"/>
  <c r="F32" i="45" s="1"/>
  <c r="D30" i="45"/>
  <c r="H29" i="45"/>
  <c r="I29" i="45" s="1"/>
  <c r="G29" i="45"/>
  <c r="F29" i="45"/>
  <c r="F28" i="45"/>
  <c r="D26" i="45"/>
  <c r="E25" i="45"/>
  <c r="F25" i="45" s="1"/>
  <c r="D25" i="45"/>
  <c r="H24" i="45"/>
  <c r="G24" i="45"/>
  <c r="I24" i="45" s="1"/>
  <c r="F24" i="45"/>
  <c r="F23" i="45"/>
  <c r="E22" i="45"/>
  <c r="D22" i="45"/>
  <c r="F21" i="45"/>
  <c r="D14" i="45"/>
  <c r="C14" i="45"/>
  <c r="A138" i="44"/>
  <c r="E108" i="44"/>
  <c r="D108" i="44"/>
  <c r="E107" i="44"/>
  <c r="E106" i="44"/>
  <c r="F106" i="44" s="1"/>
  <c r="D106" i="44"/>
  <c r="F105" i="44"/>
  <c r="E105" i="44"/>
  <c r="D105" i="44"/>
  <c r="E104" i="44"/>
  <c r="D104" i="44"/>
  <c r="F103" i="44"/>
  <c r="F102" i="44"/>
  <c r="F101" i="44"/>
  <c r="E101" i="44"/>
  <c r="D101" i="44"/>
  <c r="F100" i="44"/>
  <c r="F99" i="44"/>
  <c r="D98" i="44"/>
  <c r="E97" i="44"/>
  <c r="F97" i="44" s="1"/>
  <c r="D97" i="44"/>
  <c r="D109" i="44" s="1"/>
  <c r="D110" i="44" s="1"/>
  <c r="E96" i="44"/>
  <c r="D96" i="44"/>
  <c r="F95" i="44"/>
  <c r="E95" i="44"/>
  <c r="D95" i="44"/>
  <c r="F94" i="44"/>
  <c r="F93" i="44"/>
  <c r="E92" i="44"/>
  <c r="D92" i="44"/>
  <c r="F91" i="44"/>
  <c r="F90" i="44"/>
  <c r="E89" i="44"/>
  <c r="F89" i="44" s="1"/>
  <c r="D89" i="44"/>
  <c r="F88" i="44"/>
  <c r="F87" i="44"/>
  <c r="F86" i="44"/>
  <c r="E86" i="44"/>
  <c r="D86" i="44"/>
  <c r="F85" i="44"/>
  <c r="F84" i="44"/>
  <c r="D77" i="44"/>
  <c r="D76" i="44"/>
  <c r="E75" i="44"/>
  <c r="F75" i="44" s="1"/>
  <c r="D75" i="44"/>
  <c r="D74" i="44"/>
  <c r="E73" i="44"/>
  <c r="F72" i="44"/>
  <c r="F71" i="44"/>
  <c r="E71" i="44"/>
  <c r="D71" i="44"/>
  <c r="F70" i="44"/>
  <c r="E70" i="44"/>
  <c r="F69" i="44"/>
  <c r="D67" i="44"/>
  <c r="E66" i="44"/>
  <c r="D66" i="44"/>
  <c r="D68" i="44" s="1"/>
  <c r="D65" i="44"/>
  <c r="F63" i="44"/>
  <c r="E63" i="44"/>
  <c r="D62" i="44"/>
  <c r="E61" i="44"/>
  <c r="E60" i="44"/>
  <c r="E58" i="44"/>
  <c r="D58" i="44"/>
  <c r="F57" i="44"/>
  <c r="E57" i="44"/>
  <c r="D57" i="44"/>
  <c r="E56" i="44"/>
  <c r="D56" i="44"/>
  <c r="F55" i="44"/>
  <c r="F54" i="44"/>
  <c r="F53" i="44"/>
  <c r="E53" i="44"/>
  <c r="D53" i="44"/>
  <c r="F52" i="44"/>
  <c r="F51" i="44"/>
  <c r="D43" i="44"/>
  <c r="D44" i="44" s="1"/>
  <c r="D45" i="44" s="1"/>
  <c r="F42" i="44"/>
  <c r="F41" i="44"/>
  <c r="F40" i="44"/>
  <c r="E40" i="44"/>
  <c r="D39" i="44"/>
  <c r="F38" i="44"/>
  <c r="E38" i="44"/>
  <c r="D38" i="44"/>
  <c r="I37" i="44"/>
  <c r="F37" i="44"/>
  <c r="F36" i="44"/>
  <c r="F35" i="44"/>
  <c r="E35" i="44"/>
  <c r="E39" i="44" s="1"/>
  <c r="F39" i="44" s="1"/>
  <c r="D35" i="44"/>
  <c r="I34" i="44"/>
  <c r="F34" i="44"/>
  <c r="F33" i="44"/>
  <c r="F31" i="44"/>
  <c r="E30" i="44"/>
  <c r="E32" i="44" s="1"/>
  <c r="F32" i="44" s="1"/>
  <c r="D30" i="44"/>
  <c r="D32" i="44" s="1"/>
  <c r="H29" i="44"/>
  <c r="I29" i="44" s="1"/>
  <c r="G29" i="44"/>
  <c r="F29" i="44"/>
  <c r="F28" i="44"/>
  <c r="D26" i="44"/>
  <c r="E25" i="44"/>
  <c r="F25" i="44" s="1"/>
  <c r="D25" i="44"/>
  <c r="H24" i="44"/>
  <c r="G24" i="44"/>
  <c r="F24" i="44"/>
  <c r="F23" i="44"/>
  <c r="E22" i="44"/>
  <c r="D22" i="44"/>
  <c r="F21" i="44"/>
  <c r="D14" i="44"/>
  <c r="C14" i="44"/>
  <c r="A138" i="43"/>
  <c r="E109" i="43"/>
  <c r="F109" i="43" s="1"/>
  <c r="E106" i="43"/>
  <c r="F106" i="43" s="1"/>
  <c r="D106" i="43"/>
  <c r="E105" i="43"/>
  <c r="E107" i="43" s="1"/>
  <c r="F107" i="43" s="1"/>
  <c r="D105" i="43"/>
  <c r="D107" i="43" s="1"/>
  <c r="E104" i="43"/>
  <c r="F104" i="43" s="1"/>
  <c r="D104" i="43"/>
  <c r="F103" i="43"/>
  <c r="F102" i="43"/>
  <c r="E101" i="43"/>
  <c r="F101" i="43" s="1"/>
  <c r="D101" i="43"/>
  <c r="F100" i="43"/>
  <c r="F99" i="43"/>
  <c r="F97" i="43"/>
  <c r="E97" i="43"/>
  <c r="D97" i="43"/>
  <c r="D109" i="43" s="1"/>
  <c r="E96" i="43"/>
  <c r="D96" i="43"/>
  <c r="D108" i="43" s="1"/>
  <c r="D110" i="43" s="1"/>
  <c r="F95" i="43"/>
  <c r="E95" i="43"/>
  <c r="D95" i="43"/>
  <c r="F94" i="43"/>
  <c r="F93" i="43"/>
  <c r="E92" i="43"/>
  <c r="D92" i="43"/>
  <c r="F92" i="43" s="1"/>
  <c r="F91" i="43"/>
  <c r="F90" i="43"/>
  <c r="E89" i="43"/>
  <c r="F89" i="43" s="1"/>
  <c r="D89" i="43"/>
  <c r="F88" i="43"/>
  <c r="F87" i="43"/>
  <c r="E86" i="43"/>
  <c r="D86" i="43"/>
  <c r="F85" i="43"/>
  <c r="F84" i="43"/>
  <c r="D76" i="43"/>
  <c r="E75" i="43"/>
  <c r="D75" i="43"/>
  <c r="D77" i="43" s="1"/>
  <c r="D74" i="43"/>
  <c r="E73" i="43"/>
  <c r="F72" i="43"/>
  <c r="D71" i="43"/>
  <c r="E70" i="43"/>
  <c r="F69" i="43"/>
  <c r="D67" i="43"/>
  <c r="F66" i="43"/>
  <c r="E66" i="43"/>
  <c r="D66" i="43"/>
  <c r="D68" i="43" s="1"/>
  <c r="D65" i="43"/>
  <c r="E64" i="43"/>
  <c r="F63" i="43"/>
  <c r="E63" i="43"/>
  <c r="E65" i="43" s="1"/>
  <c r="F65" i="43" s="1"/>
  <c r="D62" i="43"/>
  <c r="F60" i="43"/>
  <c r="E60" i="43"/>
  <c r="D59" i="43"/>
  <c r="E58" i="43"/>
  <c r="F58" i="43" s="1"/>
  <c r="D58" i="43"/>
  <c r="E57" i="43"/>
  <c r="D57" i="43"/>
  <c r="E56" i="43"/>
  <c r="F56" i="43" s="1"/>
  <c r="D56" i="43"/>
  <c r="F55" i="43"/>
  <c r="F54" i="43"/>
  <c r="E53" i="43"/>
  <c r="F53" i="43" s="1"/>
  <c r="D53" i="43"/>
  <c r="F52" i="43"/>
  <c r="F51" i="43"/>
  <c r="F42" i="43"/>
  <c r="F41" i="43"/>
  <c r="F40" i="43"/>
  <c r="D39" i="43"/>
  <c r="F38" i="43"/>
  <c r="E38" i="43"/>
  <c r="D38" i="43"/>
  <c r="I37" i="43"/>
  <c r="F37" i="43"/>
  <c r="F36" i="43"/>
  <c r="F35" i="43"/>
  <c r="E35" i="43"/>
  <c r="E39" i="43" s="1"/>
  <c r="D35" i="43"/>
  <c r="I34" i="43"/>
  <c r="F34" i="43"/>
  <c r="F33" i="43"/>
  <c r="E32" i="43"/>
  <c r="F31" i="43"/>
  <c r="E30" i="43"/>
  <c r="D30" i="43"/>
  <c r="I29" i="43"/>
  <c r="H29" i="43"/>
  <c r="G29" i="43"/>
  <c r="F29" i="43"/>
  <c r="F28" i="43"/>
  <c r="F26" i="43"/>
  <c r="E25" i="43"/>
  <c r="D25" i="43"/>
  <c r="F25" i="43" s="1"/>
  <c r="I24" i="43"/>
  <c r="H24" i="43"/>
  <c r="G24" i="43"/>
  <c r="F24" i="43"/>
  <c r="F23" i="43"/>
  <c r="E22" i="43"/>
  <c r="E26" i="43" s="1"/>
  <c r="E43" i="43" s="1"/>
  <c r="D22" i="43"/>
  <c r="D26" i="43" s="1"/>
  <c r="F21" i="43"/>
  <c r="D14" i="43"/>
  <c r="C14" i="43"/>
  <c r="A138" i="42"/>
  <c r="E108" i="42"/>
  <c r="F106" i="42"/>
  <c r="E106" i="42"/>
  <c r="D106" i="42"/>
  <c r="E105" i="42"/>
  <c r="D105" i="42"/>
  <c r="D107" i="42" s="1"/>
  <c r="F104" i="42"/>
  <c r="E104" i="42"/>
  <c r="D104" i="42"/>
  <c r="F103" i="42"/>
  <c r="F102" i="42"/>
  <c r="E101" i="42"/>
  <c r="D101" i="42"/>
  <c r="F101" i="42" s="1"/>
  <c r="F100" i="42"/>
  <c r="F99" i="42"/>
  <c r="E98" i="42"/>
  <c r="E97" i="42"/>
  <c r="D97" i="42"/>
  <c r="D109" i="42" s="1"/>
  <c r="E96" i="42"/>
  <c r="F96" i="42" s="1"/>
  <c r="D96" i="42"/>
  <c r="D108" i="42" s="1"/>
  <c r="E95" i="42"/>
  <c r="D95" i="42"/>
  <c r="F95" i="42" s="1"/>
  <c r="F94" i="42"/>
  <c r="F93" i="42"/>
  <c r="E92" i="42"/>
  <c r="F92" i="42" s="1"/>
  <c r="D92" i="42"/>
  <c r="F91" i="42"/>
  <c r="F90" i="42"/>
  <c r="E89" i="42"/>
  <c r="D89" i="42"/>
  <c r="F89" i="42" s="1"/>
  <c r="F88" i="42"/>
  <c r="F87" i="42"/>
  <c r="E86" i="42"/>
  <c r="F86" i="42" s="1"/>
  <c r="D86" i="42"/>
  <c r="F85" i="42"/>
  <c r="F84" i="42"/>
  <c r="F76" i="42"/>
  <c r="E76" i="42"/>
  <c r="D76" i="42"/>
  <c r="E75" i="42"/>
  <c r="E77" i="42" s="1"/>
  <c r="D75" i="42"/>
  <c r="F75" i="42" s="1"/>
  <c r="F74" i="42"/>
  <c r="E74" i="42"/>
  <c r="D74" i="42"/>
  <c r="E73" i="42"/>
  <c r="F73" i="42" s="1"/>
  <c r="F72" i="42"/>
  <c r="E71" i="42"/>
  <c r="D71" i="42"/>
  <c r="F70" i="42"/>
  <c r="E70" i="42"/>
  <c r="F69" i="42"/>
  <c r="E67" i="42"/>
  <c r="F67" i="42" s="1"/>
  <c r="D67" i="42"/>
  <c r="D66" i="42"/>
  <c r="D68" i="42" s="1"/>
  <c r="D65" i="42"/>
  <c r="F64" i="42"/>
  <c r="E64" i="42"/>
  <c r="E63" i="42"/>
  <c r="D62" i="42"/>
  <c r="F61" i="42"/>
  <c r="E61" i="42"/>
  <c r="E60" i="42"/>
  <c r="E58" i="42"/>
  <c r="F58" i="42" s="1"/>
  <c r="D58" i="42"/>
  <c r="E57" i="42"/>
  <c r="E59" i="42" s="1"/>
  <c r="F59" i="42" s="1"/>
  <c r="D57" i="42"/>
  <c r="D59" i="42" s="1"/>
  <c r="E56" i="42"/>
  <c r="F56" i="42" s="1"/>
  <c r="D56" i="42"/>
  <c r="F55" i="42"/>
  <c r="F54" i="42"/>
  <c r="E53" i="42"/>
  <c r="F53" i="42" s="1"/>
  <c r="D53" i="42"/>
  <c r="F52" i="42"/>
  <c r="F51" i="42"/>
  <c r="F42" i="42"/>
  <c r="F41" i="42"/>
  <c r="F40" i="42"/>
  <c r="F39" i="42"/>
  <c r="E39" i="42"/>
  <c r="E38" i="42"/>
  <c r="F38" i="42" s="1"/>
  <c r="D38" i="42"/>
  <c r="I37" i="42"/>
  <c r="F37" i="42"/>
  <c r="H36" i="42"/>
  <c r="F36" i="42"/>
  <c r="E35" i="42"/>
  <c r="D35" i="42"/>
  <c r="D39" i="42" s="1"/>
  <c r="I34" i="42"/>
  <c r="F34" i="42"/>
  <c r="F33" i="42"/>
  <c r="D32" i="42"/>
  <c r="F31" i="42"/>
  <c r="E30" i="42"/>
  <c r="D30" i="42"/>
  <c r="H29" i="42"/>
  <c r="G29" i="42"/>
  <c r="F29" i="42"/>
  <c r="F28" i="42"/>
  <c r="E25" i="42"/>
  <c r="F25" i="42" s="1"/>
  <c r="D25" i="42"/>
  <c r="H24" i="42"/>
  <c r="G24" i="42"/>
  <c r="F24" i="42"/>
  <c r="F23" i="42"/>
  <c r="E22" i="42"/>
  <c r="D22" i="42"/>
  <c r="D26" i="42" s="1"/>
  <c r="D43" i="42" s="1"/>
  <c r="D44" i="42" s="1"/>
  <c r="D45" i="42" s="1"/>
  <c r="F21" i="42"/>
  <c r="D14" i="42"/>
  <c r="C14" i="42"/>
  <c r="A138" i="41"/>
  <c r="E109" i="41"/>
  <c r="F109" i="41" s="1"/>
  <c r="E107" i="41"/>
  <c r="F107" i="41" s="1"/>
  <c r="E106" i="41"/>
  <c r="D106" i="41"/>
  <c r="F106" i="41" s="1"/>
  <c r="F105" i="41"/>
  <c r="E105" i="41"/>
  <c r="D105" i="41"/>
  <c r="D107" i="41" s="1"/>
  <c r="E104" i="41"/>
  <c r="D104" i="41"/>
  <c r="F104" i="41" s="1"/>
  <c r="F103" i="41"/>
  <c r="F102" i="41"/>
  <c r="F101" i="41"/>
  <c r="E101" i="41"/>
  <c r="D101" i="41"/>
  <c r="F100" i="41"/>
  <c r="F99" i="41"/>
  <c r="E97" i="41"/>
  <c r="F97" i="41" s="1"/>
  <c r="D97" i="41"/>
  <c r="D109" i="41" s="1"/>
  <c r="E96" i="41"/>
  <c r="E108" i="41" s="1"/>
  <c r="D96" i="41"/>
  <c r="F96" i="41" s="1"/>
  <c r="E95" i="41"/>
  <c r="F95" i="41" s="1"/>
  <c r="D95" i="41"/>
  <c r="F94" i="41"/>
  <c r="F93" i="41"/>
  <c r="E92" i="41"/>
  <c r="D92" i="41"/>
  <c r="F92" i="41" s="1"/>
  <c r="F91" i="41"/>
  <c r="F90" i="41"/>
  <c r="E89" i="41"/>
  <c r="F89" i="41" s="1"/>
  <c r="D89" i="41"/>
  <c r="F88" i="41"/>
  <c r="F87" i="41"/>
  <c r="E86" i="41"/>
  <c r="D86" i="41"/>
  <c r="F86" i="41" s="1"/>
  <c r="F85" i="41"/>
  <c r="F84" i="41"/>
  <c r="D76" i="41"/>
  <c r="E75" i="41"/>
  <c r="D75" i="41"/>
  <c r="D77" i="41" s="1"/>
  <c r="D74" i="41"/>
  <c r="E73" i="41"/>
  <c r="F72" i="41"/>
  <c r="D71" i="41"/>
  <c r="E70" i="41"/>
  <c r="F69" i="41"/>
  <c r="D67" i="41"/>
  <c r="E66" i="41"/>
  <c r="F66" i="41" s="1"/>
  <c r="D66" i="41"/>
  <c r="D65" i="41"/>
  <c r="F63" i="41"/>
  <c r="E63" i="41"/>
  <c r="D62" i="41"/>
  <c r="F60" i="41"/>
  <c r="E60" i="41"/>
  <c r="E58" i="41"/>
  <c r="F58" i="41" s="1"/>
  <c r="D58" i="41"/>
  <c r="E57" i="41"/>
  <c r="D57" i="41"/>
  <c r="F57" i="41" s="1"/>
  <c r="E56" i="41"/>
  <c r="F56" i="41" s="1"/>
  <c r="D56" i="41"/>
  <c r="F55" i="41"/>
  <c r="F54" i="41"/>
  <c r="E53" i="41"/>
  <c r="D53" i="41"/>
  <c r="F53" i="41" s="1"/>
  <c r="F52" i="41"/>
  <c r="F51" i="41"/>
  <c r="F42" i="41"/>
  <c r="F41" i="41"/>
  <c r="F40" i="41"/>
  <c r="D39" i="41"/>
  <c r="I38" i="41"/>
  <c r="H38" i="41"/>
  <c r="E38" i="41"/>
  <c r="F38" i="41" s="1"/>
  <c r="D38" i="41"/>
  <c r="I37" i="41"/>
  <c r="F37" i="41"/>
  <c r="I36" i="41"/>
  <c r="F36" i="41"/>
  <c r="E35" i="41"/>
  <c r="D35" i="41"/>
  <c r="I34" i="41"/>
  <c r="F34" i="41"/>
  <c r="F33" i="41"/>
  <c r="E32" i="41"/>
  <c r="F32" i="41" s="1"/>
  <c r="D32" i="41"/>
  <c r="F31" i="41"/>
  <c r="F30" i="41"/>
  <c r="E30" i="41"/>
  <c r="D30" i="41"/>
  <c r="I29" i="41"/>
  <c r="H29" i="41"/>
  <c r="G29" i="41"/>
  <c r="F29" i="41"/>
  <c r="F28" i="41"/>
  <c r="D26" i="41"/>
  <c r="F25" i="41"/>
  <c r="E25" i="41"/>
  <c r="D25" i="41"/>
  <c r="I24" i="41"/>
  <c r="H24" i="41"/>
  <c r="G24" i="41"/>
  <c r="F24" i="41"/>
  <c r="F23" i="41"/>
  <c r="E22" i="41"/>
  <c r="D22" i="41"/>
  <c r="F21" i="41"/>
  <c r="D14" i="41"/>
  <c r="C14" i="41"/>
  <c r="A138" i="40"/>
  <c r="E108" i="40"/>
  <c r="D108" i="40"/>
  <c r="D110" i="40" s="1"/>
  <c r="E106" i="40"/>
  <c r="F106" i="40" s="1"/>
  <c r="D106" i="40"/>
  <c r="F105" i="40"/>
  <c r="E105" i="40"/>
  <c r="D105" i="40"/>
  <c r="D107" i="40" s="1"/>
  <c r="E104" i="40"/>
  <c r="D104" i="40"/>
  <c r="F103" i="40"/>
  <c r="F102" i="40"/>
  <c r="E101" i="40"/>
  <c r="F101" i="40" s="1"/>
  <c r="D101" i="40"/>
  <c r="F100" i="40"/>
  <c r="F99" i="40"/>
  <c r="F97" i="40"/>
  <c r="E97" i="40"/>
  <c r="E109" i="40" s="1"/>
  <c r="F109" i="40" s="1"/>
  <c r="D97" i="40"/>
  <c r="D109" i="40" s="1"/>
  <c r="E96" i="40"/>
  <c r="D96" i="40"/>
  <c r="D98" i="40" s="1"/>
  <c r="F95" i="40"/>
  <c r="E95" i="40"/>
  <c r="D95" i="40"/>
  <c r="F94" i="40"/>
  <c r="F93" i="40"/>
  <c r="E92" i="40"/>
  <c r="D92" i="40"/>
  <c r="F91" i="40"/>
  <c r="F90" i="40"/>
  <c r="E89" i="40"/>
  <c r="F89" i="40" s="1"/>
  <c r="D89" i="40"/>
  <c r="F88" i="40"/>
  <c r="F87" i="40"/>
  <c r="E86" i="40"/>
  <c r="D86" i="40"/>
  <c r="F85" i="40"/>
  <c r="F84" i="40"/>
  <c r="D76" i="40"/>
  <c r="E75" i="40"/>
  <c r="D75" i="40"/>
  <c r="D74" i="40"/>
  <c r="E73" i="40"/>
  <c r="F72" i="40"/>
  <c r="D71" i="40"/>
  <c r="E70" i="40"/>
  <c r="F69" i="40"/>
  <c r="D67" i="40"/>
  <c r="F66" i="40"/>
  <c r="E66" i="40"/>
  <c r="D66" i="40"/>
  <c r="D68" i="40" s="1"/>
  <c r="D65" i="40"/>
  <c r="E64" i="40"/>
  <c r="F63" i="40"/>
  <c r="E63" i="40"/>
  <c r="D62" i="40"/>
  <c r="F60" i="40"/>
  <c r="E60" i="40"/>
  <c r="E58" i="40"/>
  <c r="F58" i="40" s="1"/>
  <c r="D58" i="40"/>
  <c r="E57" i="40"/>
  <c r="D57" i="40"/>
  <c r="D59" i="40" s="1"/>
  <c r="E56" i="40"/>
  <c r="F56" i="40" s="1"/>
  <c r="D56" i="40"/>
  <c r="F55" i="40"/>
  <c r="F54" i="40"/>
  <c r="E53" i="40"/>
  <c r="F53" i="40" s="1"/>
  <c r="D53" i="40"/>
  <c r="F52" i="40"/>
  <c r="F51" i="40"/>
  <c r="F42" i="40"/>
  <c r="F41" i="40"/>
  <c r="F40" i="40"/>
  <c r="D39" i="40"/>
  <c r="I38" i="40"/>
  <c r="H38" i="40"/>
  <c r="G38" i="40"/>
  <c r="E38" i="40"/>
  <c r="F38" i="40" s="1"/>
  <c r="D38" i="40"/>
  <c r="I37" i="40"/>
  <c r="F37" i="40"/>
  <c r="I36" i="40"/>
  <c r="G36" i="40"/>
  <c r="G36" i="41" s="1"/>
  <c r="G38" i="41" s="1"/>
  <c r="F36" i="40"/>
  <c r="E35" i="40"/>
  <c r="D35" i="40"/>
  <c r="I34" i="40"/>
  <c r="F34" i="40"/>
  <c r="F33" i="40"/>
  <c r="E32" i="40"/>
  <c r="D32" i="40"/>
  <c r="F31" i="40"/>
  <c r="F30" i="40"/>
  <c r="E30" i="40"/>
  <c r="D30" i="40"/>
  <c r="H29" i="40"/>
  <c r="I29" i="40" s="1"/>
  <c r="G29" i="40"/>
  <c r="F29" i="40"/>
  <c r="F28" i="40"/>
  <c r="E26" i="40"/>
  <c r="D26" i="40"/>
  <c r="D43" i="40" s="1"/>
  <c r="D44" i="40" s="1"/>
  <c r="D45" i="40" s="1"/>
  <c r="F25" i="40"/>
  <c r="E25" i="40"/>
  <c r="D25" i="40"/>
  <c r="I24" i="40"/>
  <c r="H24" i="40"/>
  <c r="G24" i="40"/>
  <c r="F24" i="40"/>
  <c r="F23" i="40"/>
  <c r="E22" i="40"/>
  <c r="D22" i="40"/>
  <c r="F21" i="40"/>
  <c r="D14" i="40"/>
  <c r="C14" i="40"/>
  <c r="A138" i="39"/>
  <c r="E106" i="39"/>
  <c r="F106" i="39" s="1"/>
  <c r="D106" i="39"/>
  <c r="F105" i="39"/>
  <c r="E105" i="39"/>
  <c r="D105" i="39"/>
  <c r="D107" i="39" s="1"/>
  <c r="E104" i="39"/>
  <c r="F104" i="39" s="1"/>
  <c r="D104" i="39"/>
  <c r="F103" i="39"/>
  <c r="F102" i="39"/>
  <c r="F101" i="39"/>
  <c r="E101" i="39"/>
  <c r="D101" i="39"/>
  <c r="F100" i="39"/>
  <c r="F99" i="39"/>
  <c r="F97" i="39"/>
  <c r="E97" i="39"/>
  <c r="D97" i="39"/>
  <c r="D109" i="39" s="1"/>
  <c r="E96" i="39"/>
  <c r="D96" i="39"/>
  <c r="D108" i="39" s="1"/>
  <c r="D110" i="39" s="1"/>
  <c r="F95" i="39"/>
  <c r="E95" i="39"/>
  <c r="D95" i="39"/>
  <c r="F94" i="39"/>
  <c r="F93" i="39"/>
  <c r="E92" i="39"/>
  <c r="F92" i="39" s="1"/>
  <c r="D92" i="39"/>
  <c r="F91" i="39"/>
  <c r="F90" i="39"/>
  <c r="F89" i="39"/>
  <c r="E89" i="39"/>
  <c r="D89" i="39"/>
  <c r="F88" i="39"/>
  <c r="F87" i="39"/>
  <c r="E86" i="39"/>
  <c r="D86" i="39"/>
  <c r="F85" i="39"/>
  <c r="F84" i="39"/>
  <c r="E76" i="39"/>
  <c r="F76" i="39" s="1"/>
  <c r="D76" i="39"/>
  <c r="F75" i="39"/>
  <c r="E75" i="39"/>
  <c r="D75" i="39"/>
  <c r="D77" i="39" s="1"/>
  <c r="E74" i="39"/>
  <c r="F74" i="39" s="1"/>
  <c r="D74" i="39"/>
  <c r="F73" i="39"/>
  <c r="E73" i="39"/>
  <c r="F72" i="39"/>
  <c r="D71" i="39"/>
  <c r="F70" i="39"/>
  <c r="E70" i="39"/>
  <c r="F69" i="39"/>
  <c r="D67" i="39"/>
  <c r="D66" i="39"/>
  <c r="D68" i="39" s="1"/>
  <c r="E65" i="39"/>
  <c r="D65" i="39"/>
  <c r="F64" i="39"/>
  <c r="E64" i="39"/>
  <c r="E63" i="39"/>
  <c r="F63" i="39" s="1"/>
  <c r="D62" i="39"/>
  <c r="E60" i="39"/>
  <c r="E66" i="39" s="1"/>
  <c r="F58" i="39"/>
  <c r="E58" i="39"/>
  <c r="D58" i="39"/>
  <c r="E57" i="39"/>
  <c r="D57" i="39"/>
  <c r="D59" i="39" s="1"/>
  <c r="F56" i="39"/>
  <c r="E56" i="39"/>
  <c r="D56" i="39"/>
  <c r="F55" i="39"/>
  <c r="F54" i="39"/>
  <c r="E53" i="39"/>
  <c r="F53" i="39" s="1"/>
  <c r="D53" i="39"/>
  <c r="F52" i="39"/>
  <c r="F51" i="39"/>
  <c r="F42" i="39"/>
  <c r="F41" i="39"/>
  <c r="F40" i="39"/>
  <c r="H38" i="39"/>
  <c r="G38" i="39"/>
  <c r="F38" i="39"/>
  <c r="E38" i="39"/>
  <c r="D38" i="39"/>
  <c r="I37" i="39"/>
  <c r="F37" i="39"/>
  <c r="I36" i="39"/>
  <c r="F36" i="39"/>
  <c r="E35" i="39"/>
  <c r="D35" i="39"/>
  <c r="D39" i="39" s="1"/>
  <c r="I34" i="39"/>
  <c r="F34" i="39"/>
  <c r="F33" i="39"/>
  <c r="E32" i="39"/>
  <c r="D32" i="39"/>
  <c r="F31" i="39"/>
  <c r="F30" i="39"/>
  <c r="E30" i="39"/>
  <c r="D30" i="39"/>
  <c r="H29" i="39"/>
  <c r="I29" i="39" s="1"/>
  <c r="G29" i="39"/>
  <c r="F29" i="39"/>
  <c r="F28" i="39"/>
  <c r="E26" i="39"/>
  <c r="F25" i="39"/>
  <c r="E25" i="39"/>
  <c r="D25" i="39"/>
  <c r="H24" i="39"/>
  <c r="I24" i="39" s="1"/>
  <c r="G24" i="39"/>
  <c r="F24" i="39"/>
  <c r="F23" i="39"/>
  <c r="E22" i="39"/>
  <c r="D22" i="39"/>
  <c r="D26" i="39" s="1"/>
  <c r="F21" i="39"/>
  <c r="D14" i="39"/>
  <c r="C14" i="39"/>
  <c r="A138" i="38"/>
  <c r="E106" i="38"/>
  <c r="D106" i="38"/>
  <c r="F105" i="38"/>
  <c r="E105" i="38"/>
  <c r="E107" i="38" s="1"/>
  <c r="D105" i="38"/>
  <c r="E104" i="38"/>
  <c r="D104" i="38"/>
  <c r="F103" i="38"/>
  <c r="F102" i="38"/>
  <c r="F101" i="38"/>
  <c r="E101" i="38"/>
  <c r="D101" i="38"/>
  <c r="F100" i="38"/>
  <c r="F99" i="38"/>
  <c r="F97" i="38"/>
  <c r="E97" i="38"/>
  <c r="E109" i="38" s="1"/>
  <c r="D97" i="38"/>
  <c r="E96" i="38"/>
  <c r="F96" i="38" s="1"/>
  <c r="D96" i="38"/>
  <c r="D108" i="38" s="1"/>
  <c r="F95" i="38"/>
  <c r="E95" i="38"/>
  <c r="D95" i="38"/>
  <c r="F94" i="38"/>
  <c r="F93" i="38"/>
  <c r="E92" i="38"/>
  <c r="D92" i="38"/>
  <c r="F91" i="38"/>
  <c r="F90" i="38"/>
  <c r="F89" i="38"/>
  <c r="E89" i="38"/>
  <c r="D89" i="38"/>
  <c r="F88" i="38"/>
  <c r="F87" i="38"/>
  <c r="E86" i="38"/>
  <c r="F86" i="38" s="1"/>
  <c r="D86" i="38"/>
  <c r="F85" i="38"/>
  <c r="F84" i="38"/>
  <c r="E76" i="38"/>
  <c r="F76" i="38" s="1"/>
  <c r="D76" i="38"/>
  <c r="E75" i="38"/>
  <c r="F75" i="38" s="1"/>
  <c r="D75" i="38"/>
  <c r="D77" i="38" s="1"/>
  <c r="E74" i="38"/>
  <c r="F74" i="38" s="1"/>
  <c r="D74" i="38"/>
  <c r="E73" i="38"/>
  <c r="F73" i="38" s="1"/>
  <c r="F72" i="38"/>
  <c r="E71" i="38"/>
  <c r="F71" i="38" s="1"/>
  <c r="D71" i="38"/>
  <c r="F70" i="38"/>
  <c r="E70" i="38"/>
  <c r="F69" i="38"/>
  <c r="E67" i="38"/>
  <c r="F67" i="38" s="1"/>
  <c r="D67" i="38"/>
  <c r="D66" i="38"/>
  <c r="D68" i="38" s="1"/>
  <c r="E65" i="38"/>
  <c r="F65" i="38" s="1"/>
  <c r="D65" i="38"/>
  <c r="E64" i="38"/>
  <c r="F64" i="38" s="1"/>
  <c r="E63" i="38"/>
  <c r="F63" i="38" s="1"/>
  <c r="E62" i="38"/>
  <c r="F62" i="38" s="1"/>
  <c r="D62" i="38"/>
  <c r="E61" i="38"/>
  <c r="F61" i="38" s="1"/>
  <c r="E60" i="38"/>
  <c r="E66" i="38" s="1"/>
  <c r="E58" i="38"/>
  <c r="F58" i="38" s="1"/>
  <c r="D58" i="38"/>
  <c r="E57" i="38"/>
  <c r="F57" i="38" s="1"/>
  <c r="D57" i="38"/>
  <c r="D59" i="38" s="1"/>
  <c r="E56" i="38"/>
  <c r="F56" i="38" s="1"/>
  <c r="D56" i="38"/>
  <c r="F55" i="38"/>
  <c r="F54" i="38"/>
  <c r="E53" i="38"/>
  <c r="F53" i="38" s="1"/>
  <c r="D53" i="38"/>
  <c r="F52" i="38"/>
  <c r="F51" i="38"/>
  <c r="F42" i="38"/>
  <c r="F41" i="38"/>
  <c r="F40" i="38"/>
  <c r="H38" i="38"/>
  <c r="I38" i="38" s="1"/>
  <c r="G38" i="38"/>
  <c r="E38" i="38"/>
  <c r="F38" i="38" s="1"/>
  <c r="D38" i="38"/>
  <c r="I37" i="38"/>
  <c r="F37" i="38"/>
  <c r="I36" i="38"/>
  <c r="F36" i="38"/>
  <c r="E35" i="38"/>
  <c r="F35" i="38" s="1"/>
  <c r="D35" i="38"/>
  <c r="D39" i="38" s="1"/>
  <c r="I34" i="38"/>
  <c r="F34" i="38"/>
  <c r="F33" i="38"/>
  <c r="E32" i="38"/>
  <c r="F32" i="38" s="1"/>
  <c r="F31" i="38"/>
  <c r="E30" i="38"/>
  <c r="F30" i="38" s="1"/>
  <c r="D30" i="38"/>
  <c r="D32" i="38" s="1"/>
  <c r="I29" i="38"/>
  <c r="H29" i="38"/>
  <c r="G29" i="38"/>
  <c r="F29" i="38"/>
  <c r="F28" i="38"/>
  <c r="E25" i="38"/>
  <c r="F25" i="38" s="1"/>
  <c r="D25" i="38"/>
  <c r="I24" i="38"/>
  <c r="H24" i="38"/>
  <c r="G24" i="38"/>
  <c r="F24" i="38"/>
  <c r="F23" i="38"/>
  <c r="E22" i="38"/>
  <c r="E26" i="38" s="1"/>
  <c r="D22" i="38"/>
  <c r="D26" i="38" s="1"/>
  <c r="D43" i="38" s="1"/>
  <c r="D44" i="38" s="1"/>
  <c r="D45" i="38" s="1"/>
  <c r="F21" i="38"/>
  <c r="D14" i="38"/>
  <c r="C14" i="38"/>
  <c r="A138" i="37"/>
  <c r="E106" i="37"/>
  <c r="F106" i="37" s="1"/>
  <c r="D106" i="37"/>
  <c r="E105" i="37"/>
  <c r="F105" i="37" s="1"/>
  <c r="D105" i="37"/>
  <c r="D107" i="37" s="1"/>
  <c r="E104" i="37"/>
  <c r="F104" i="37" s="1"/>
  <c r="D104" i="37"/>
  <c r="H103" i="37"/>
  <c r="H103" i="38" s="1"/>
  <c r="G103" i="37"/>
  <c r="G103" i="38" s="1"/>
  <c r="G103" i="39" s="1"/>
  <c r="G103" i="40" s="1"/>
  <c r="G103" i="41" s="1"/>
  <c r="G103" i="42" s="1"/>
  <c r="G103" i="43" s="1"/>
  <c r="G103" i="44" s="1"/>
  <c r="G103" i="45" s="1"/>
  <c r="G103" i="46" s="1"/>
  <c r="G103" i="47" s="1"/>
  <c r="F103" i="37"/>
  <c r="H102" i="37"/>
  <c r="H102" i="38" s="1"/>
  <c r="G102" i="37"/>
  <c r="G102" i="38" s="1"/>
  <c r="F102" i="37"/>
  <c r="E101" i="37"/>
  <c r="F101" i="37" s="1"/>
  <c r="D101" i="37"/>
  <c r="F100" i="37"/>
  <c r="F99" i="37"/>
  <c r="E97" i="37"/>
  <c r="F97" i="37" s="1"/>
  <c r="D97" i="37"/>
  <c r="D109" i="37" s="1"/>
  <c r="E96" i="37"/>
  <c r="F96" i="37" s="1"/>
  <c r="D96" i="37"/>
  <c r="D108" i="37" s="1"/>
  <c r="D110" i="37" s="1"/>
  <c r="E95" i="37"/>
  <c r="F95" i="37" s="1"/>
  <c r="D95" i="37"/>
  <c r="F94" i="37"/>
  <c r="F93" i="37"/>
  <c r="E92" i="37"/>
  <c r="F92" i="37" s="1"/>
  <c r="D92" i="37"/>
  <c r="H91" i="37"/>
  <c r="H91" i="38" s="1"/>
  <c r="G91" i="37"/>
  <c r="G91" i="38" s="1"/>
  <c r="G91" i="39" s="1"/>
  <c r="G91" i="40" s="1"/>
  <c r="G91" i="41" s="1"/>
  <c r="G91" i="42" s="1"/>
  <c r="G91" i="43" s="1"/>
  <c r="G91" i="44" s="1"/>
  <c r="G91" i="45" s="1"/>
  <c r="G91" i="46" s="1"/>
  <c r="G91" i="47" s="1"/>
  <c r="F91" i="37"/>
  <c r="H90" i="37"/>
  <c r="H92" i="37" s="1"/>
  <c r="G90" i="37"/>
  <c r="G92" i="37" s="1"/>
  <c r="F90" i="37"/>
  <c r="E89" i="37"/>
  <c r="F89" i="37" s="1"/>
  <c r="D89" i="37"/>
  <c r="F88" i="37"/>
  <c r="F87" i="37"/>
  <c r="E86" i="37"/>
  <c r="F86" i="37" s="1"/>
  <c r="D86" i="37"/>
  <c r="H85" i="37"/>
  <c r="H85" i="38" s="1"/>
  <c r="G85" i="37"/>
  <c r="F85" i="37"/>
  <c r="H84" i="37"/>
  <c r="G84" i="37"/>
  <c r="F84" i="37"/>
  <c r="E76" i="37"/>
  <c r="F76" i="37" s="1"/>
  <c r="D76" i="37"/>
  <c r="E75" i="37"/>
  <c r="F75" i="37" s="1"/>
  <c r="D75" i="37"/>
  <c r="D77" i="37" s="1"/>
  <c r="E74" i="37"/>
  <c r="F74" i="37" s="1"/>
  <c r="D74" i="37"/>
  <c r="H73" i="37"/>
  <c r="H73" i="38" s="1"/>
  <c r="G73" i="37"/>
  <c r="G73" i="38" s="1"/>
  <c r="G73" i="39" s="1"/>
  <c r="G73" i="40" s="1"/>
  <c r="G73" i="41" s="1"/>
  <c r="G73" i="42" s="1"/>
  <c r="G73" i="43" s="1"/>
  <c r="G73" i="44" s="1"/>
  <c r="G73" i="45" s="1"/>
  <c r="G73" i="46" s="1"/>
  <c r="G73" i="47" s="1"/>
  <c r="E73" i="37"/>
  <c r="F73" i="37" s="1"/>
  <c r="H72" i="37"/>
  <c r="H74" i="37" s="1"/>
  <c r="F72" i="37"/>
  <c r="E71" i="37"/>
  <c r="F71" i="37" s="1"/>
  <c r="D71" i="37"/>
  <c r="G70" i="37"/>
  <c r="G70" i="38" s="1"/>
  <c r="F70" i="37"/>
  <c r="E70" i="37"/>
  <c r="H69" i="37"/>
  <c r="H75" i="37" s="1"/>
  <c r="G69" i="37"/>
  <c r="G71" i="37" s="1"/>
  <c r="F69" i="37"/>
  <c r="E67" i="37"/>
  <c r="F67" i="37" s="1"/>
  <c r="D67" i="37"/>
  <c r="D66" i="37"/>
  <c r="D68" i="37" s="1"/>
  <c r="E65" i="37"/>
  <c r="F65" i="37" s="1"/>
  <c r="D65" i="37"/>
  <c r="H64" i="37"/>
  <c r="I64" i="37" s="1"/>
  <c r="G64" i="37"/>
  <c r="G64" i="38" s="1"/>
  <c r="G64" i="39" s="1"/>
  <c r="G64" i="40" s="1"/>
  <c r="G64" i="41" s="1"/>
  <c r="G64" i="42" s="1"/>
  <c r="G64" i="43" s="1"/>
  <c r="G64" i="44" s="1"/>
  <c r="G64" i="45" s="1"/>
  <c r="G64" i="46" s="1"/>
  <c r="G64" i="47" s="1"/>
  <c r="E64" i="37"/>
  <c r="F64" i="37" s="1"/>
  <c r="H63" i="37"/>
  <c r="H65" i="37" s="1"/>
  <c r="E63" i="37"/>
  <c r="F63" i="37" s="1"/>
  <c r="E62" i="37"/>
  <c r="F62" i="37" s="1"/>
  <c r="D62" i="37"/>
  <c r="G61" i="37"/>
  <c r="G67" i="37" s="1"/>
  <c r="E61" i="37"/>
  <c r="F61" i="37" s="1"/>
  <c r="H60" i="37"/>
  <c r="E60" i="37"/>
  <c r="E66" i="37" s="1"/>
  <c r="E58" i="37"/>
  <c r="F58" i="37" s="1"/>
  <c r="D58" i="37"/>
  <c r="E57" i="37"/>
  <c r="F57" i="37" s="1"/>
  <c r="D57" i="37"/>
  <c r="D59" i="37" s="1"/>
  <c r="E56" i="37"/>
  <c r="F56" i="37" s="1"/>
  <c r="D56" i="37"/>
  <c r="F55" i="37"/>
  <c r="F54" i="37"/>
  <c r="E53" i="37"/>
  <c r="F53" i="37" s="1"/>
  <c r="D53" i="37"/>
  <c r="H52" i="37"/>
  <c r="G52" i="37"/>
  <c r="G52" i="38" s="1"/>
  <c r="F52" i="37"/>
  <c r="H51" i="37"/>
  <c r="G51" i="37"/>
  <c r="G51" i="38" s="1"/>
  <c r="F51" i="37"/>
  <c r="F42" i="37"/>
  <c r="F41" i="37"/>
  <c r="F40" i="37"/>
  <c r="H38" i="37"/>
  <c r="I38" i="37" s="1"/>
  <c r="G38" i="37"/>
  <c r="E38" i="37"/>
  <c r="F38" i="37" s="1"/>
  <c r="D38" i="37"/>
  <c r="I37" i="37"/>
  <c r="F37" i="37"/>
  <c r="I36" i="37"/>
  <c r="F36" i="37"/>
  <c r="E35" i="37"/>
  <c r="E39" i="37" s="1"/>
  <c r="D35" i="37"/>
  <c r="D39" i="37" s="1"/>
  <c r="I34" i="37"/>
  <c r="F34" i="37"/>
  <c r="F33" i="37"/>
  <c r="E32" i="37"/>
  <c r="F32" i="37" s="1"/>
  <c r="H31" i="37"/>
  <c r="H31" i="38" s="1"/>
  <c r="G31" i="37"/>
  <c r="G31" i="38" s="1"/>
  <c r="G31" i="39" s="1"/>
  <c r="G31" i="40" s="1"/>
  <c r="G31" i="41" s="1"/>
  <c r="G31" i="42" s="1"/>
  <c r="G31" i="43" s="1"/>
  <c r="G31" i="44" s="1"/>
  <c r="G31" i="45" s="1"/>
  <c r="G31" i="46" s="1"/>
  <c r="G31" i="47" s="1"/>
  <c r="F31" i="37"/>
  <c r="E30" i="37"/>
  <c r="F30" i="37" s="1"/>
  <c r="D30" i="37"/>
  <c r="D32" i="37" s="1"/>
  <c r="I29" i="37"/>
  <c r="H29" i="37"/>
  <c r="G29" i="37"/>
  <c r="F29" i="37"/>
  <c r="F28" i="37"/>
  <c r="E25" i="37"/>
  <c r="F25" i="37" s="1"/>
  <c r="D25" i="37"/>
  <c r="I24" i="37"/>
  <c r="H24" i="37"/>
  <c r="G24" i="37"/>
  <c r="F24" i="37"/>
  <c r="F23" i="37"/>
  <c r="E22" i="37"/>
  <c r="F22" i="37" s="1"/>
  <c r="D22" i="37"/>
  <c r="D26" i="37" s="1"/>
  <c r="H21" i="37"/>
  <c r="H22" i="37" s="1"/>
  <c r="G21" i="37"/>
  <c r="G21" i="38" s="1"/>
  <c r="F21" i="37"/>
  <c r="D14" i="37"/>
  <c r="C14" i="37"/>
  <c r="A138" i="36"/>
  <c r="E106" i="36"/>
  <c r="F106" i="36" s="1"/>
  <c r="D106" i="36"/>
  <c r="F105" i="36"/>
  <c r="E105" i="36"/>
  <c r="E107" i="36" s="1"/>
  <c r="D105" i="36"/>
  <c r="D107" i="36" s="1"/>
  <c r="H104" i="36"/>
  <c r="I104" i="36" s="1"/>
  <c r="E104" i="36"/>
  <c r="F104" i="36" s="1"/>
  <c r="D104" i="36"/>
  <c r="H103" i="36"/>
  <c r="I103" i="36" s="1"/>
  <c r="G103" i="36"/>
  <c r="F103" i="36"/>
  <c r="H102" i="36"/>
  <c r="I102" i="36" s="1"/>
  <c r="G102" i="36"/>
  <c r="G104" i="36" s="1"/>
  <c r="F102" i="36"/>
  <c r="G101" i="36"/>
  <c r="F101" i="36"/>
  <c r="E101" i="36"/>
  <c r="D101" i="36"/>
  <c r="H100" i="36"/>
  <c r="H100" i="37" s="1"/>
  <c r="G100" i="36"/>
  <c r="G106" i="36" s="1"/>
  <c r="F100" i="36"/>
  <c r="H99" i="36"/>
  <c r="H99" i="37" s="1"/>
  <c r="G99" i="36"/>
  <c r="G99" i="37" s="1"/>
  <c r="F99" i="36"/>
  <c r="F97" i="36"/>
  <c r="E97" i="36"/>
  <c r="E109" i="36" s="1"/>
  <c r="D97" i="36"/>
  <c r="D109" i="36" s="1"/>
  <c r="E96" i="36"/>
  <c r="E108" i="36" s="1"/>
  <c r="D96" i="36"/>
  <c r="D108" i="36" s="1"/>
  <c r="G95" i="36"/>
  <c r="F95" i="36"/>
  <c r="E95" i="36"/>
  <c r="D95" i="36"/>
  <c r="H94" i="36"/>
  <c r="H94" i="37" s="1"/>
  <c r="G94" i="36"/>
  <c r="G94" i="37" s="1"/>
  <c r="G94" i="38" s="1"/>
  <c r="G94" i="39" s="1"/>
  <c r="G94" i="40" s="1"/>
  <c r="G94" i="41" s="1"/>
  <c r="G94" i="42" s="1"/>
  <c r="G94" i="43" s="1"/>
  <c r="G94" i="44" s="1"/>
  <c r="G94" i="45" s="1"/>
  <c r="G94" i="46" s="1"/>
  <c r="G94" i="47" s="1"/>
  <c r="F94" i="36"/>
  <c r="H93" i="36"/>
  <c r="H93" i="37" s="1"/>
  <c r="G93" i="36"/>
  <c r="G93" i="37" s="1"/>
  <c r="F93" i="36"/>
  <c r="H92" i="36"/>
  <c r="E92" i="36"/>
  <c r="F92" i="36" s="1"/>
  <c r="D92" i="36"/>
  <c r="H91" i="36"/>
  <c r="I91" i="36" s="1"/>
  <c r="G91" i="36"/>
  <c r="F91" i="36"/>
  <c r="H90" i="36"/>
  <c r="I90" i="36" s="1"/>
  <c r="G90" i="36"/>
  <c r="G92" i="36" s="1"/>
  <c r="F90" i="36"/>
  <c r="G89" i="36"/>
  <c r="F89" i="36"/>
  <c r="E89" i="36"/>
  <c r="D89" i="36"/>
  <c r="H88" i="36"/>
  <c r="H88" i="37" s="1"/>
  <c r="G88" i="36"/>
  <c r="G88" i="37" s="1"/>
  <c r="G88" i="38" s="1"/>
  <c r="G88" i="39" s="1"/>
  <c r="G88" i="40" s="1"/>
  <c r="G88" i="41" s="1"/>
  <c r="G88" i="42" s="1"/>
  <c r="G88" i="43" s="1"/>
  <c r="G88" i="44" s="1"/>
  <c r="G88" i="45" s="1"/>
  <c r="G88" i="46" s="1"/>
  <c r="G88" i="47" s="1"/>
  <c r="F88" i="36"/>
  <c r="H87" i="36"/>
  <c r="H87" i="37" s="1"/>
  <c r="G87" i="36"/>
  <c r="G87" i="37" s="1"/>
  <c r="F87" i="36"/>
  <c r="H86" i="36"/>
  <c r="E86" i="36"/>
  <c r="F86" i="36" s="1"/>
  <c r="D86" i="36"/>
  <c r="H85" i="36"/>
  <c r="I85" i="36" s="1"/>
  <c r="G85" i="36"/>
  <c r="G97" i="36" s="1"/>
  <c r="G109" i="36" s="1"/>
  <c r="F85" i="36"/>
  <c r="H84" i="36"/>
  <c r="I84" i="36" s="1"/>
  <c r="G84" i="36"/>
  <c r="G96" i="36" s="1"/>
  <c r="F84" i="36"/>
  <c r="D76" i="36"/>
  <c r="F75" i="36"/>
  <c r="E75" i="36"/>
  <c r="D75" i="36"/>
  <c r="D77" i="36" s="1"/>
  <c r="H74" i="36"/>
  <c r="E74" i="36"/>
  <c r="F74" i="36" s="1"/>
  <c r="D74" i="36"/>
  <c r="H73" i="36"/>
  <c r="I73" i="36" s="1"/>
  <c r="G73" i="36"/>
  <c r="F73" i="36"/>
  <c r="E73" i="36"/>
  <c r="H72" i="36"/>
  <c r="I72" i="36" s="1"/>
  <c r="G72" i="36"/>
  <c r="G72" i="37" s="1"/>
  <c r="F72" i="36"/>
  <c r="G71" i="36"/>
  <c r="D71" i="36"/>
  <c r="G70" i="36"/>
  <c r="G76" i="36" s="1"/>
  <c r="E70" i="36"/>
  <c r="H70" i="36" s="1"/>
  <c r="H69" i="36"/>
  <c r="I69" i="36" s="1"/>
  <c r="G69" i="36"/>
  <c r="G75" i="36" s="1"/>
  <c r="G77" i="36" s="1"/>
  <c r="F69" i="36"/>
  <c r="D67" i="36"/>
  <c r="D66" i="36"/>
  <c r="D68" i="36" s="1"/>
  <c r="H65" i="36"/>
  <c r="E65" i="36"/>
  <c r="F65" i="36" s="1"/>
  <c r="D65" i="36"/>
  <c r="H64" i="36"/>
  <c r="I64" i="36" s="1"/>
  <c r="G64" i="36"/>
  <c r="F64" i="36"/>
  <c r="E64" i="36"/>
  <c r="H63" i="36"/>
  <c r="I63" i="36" s="1"/>
  <c r="G63" i="36"/>
  <c r="G63" i="37" s="1"/>
  <c r="E63" i="36"/>
  <c r="F63" i="36" s="1"/>
  <c r="D62" i="36"/>
  <c r="G61" i="36"/>
  <c r="G67" i="36" s="1"/>
  <c r="H60" i="36"/>
  <c r="H66" i="36" s="1"/>
  <c r="G60" i="36"/>
  <c r="G60" i="37" s="1"/>
  <c r="E60" i="36"/>
  <c r="E66" i="36" s="1"/>
  <c r="F58" i="36"/>
  <c r="E58" i="36"/>
  <c r="D58" i="36"/>
  <c r="E57" i="36"/>
  <c r="F57" i="36" s="1"/>
  <c r="D57" i="36"/>
  <c r="D59" i="36" s="1"/>
  <c r="G56" i="36"/>
  <c r="F56" i="36"/>
  <c r="E56" i="36"/>
  <c r="D56" i="36"/>
  <c r="H55" i="36"/>
  <c r="H55" i="37" s="1"/>
  <c r="G55" i="36"/>
  <c r="G55" i="37" s="1"/>
  <c r="G55" i="38" s="1"/>
  <c r="G55" i="39" s="1"/>
  <c r="G55" i="40" s="1"/>
  <c r="G55" i="41" s="1"/>
  <c r="G55" i="42" s="1"/>
  <c r="G55" i="43" s="1"/>
  <c r="G55" i="44" s="1"/>
  <c r="G55" i="45" s="1"/>
  <c r="G55" i="46" s="1"/>
  <c r="G55" i="47" s="1"/>
  <c r="F55" i="36"/>
  <c r="H54" i="36"/>
  <c r="H54" i="37" s="1"/>
  <c r="G54" i="36"/>
  <c r="G54" i="37" s="1"/>
  <c r="F54" i="36"/>
  <c r="H53" i="36"/>
  <c r="E53" i="36"/>
  <c r="F53" i="36" s="1"/>
  <c r="D53" i="36"/>
  <c r="H52" i="36"/>
  <c r="I52" i="36" s="1"/>
  <c r="G52" i="36"/>
  <c r="G58" i="36" s="1"/>
  <c r="F52" i="36"/>
  <c r="H51" i="36"/>
  <c r="I51" i="36" s="1"/>
  <c r="G51" i="36"/>
  <c r="G57" i="36" s="1"/>
  <c r="F51" i="36"/>
  <c r="H42" i="36"/>
  <c r="G42" i="36"/>
  <c r="G42" i="37" s="1"/>
  <c r="G42" i="38" s="1"/>
  <c r="G42" i="39" s="1"/>
  <c r="G42" i="40" s="1"/>
  <c r="G42" i="41" s="1"/>
  <c r="G42" i="42" s="1"/>
  <c r="G42" i="43" s="1"/>
  <c r="G42" i="44" s="1"/>
  <c r="G42" i="45" s="1"/>
  <c r="G42" i="46" s="1"/>
  <c r="G42" i="47" s="1"/>
  <c r="F42" i="36"/>
  <c r="H41" i="36"/>
  <c r="G41" i="36"/>
  <c r="G41" i="37" s="1"/>
  <c r="G41" i="38" s="1"/>
  <c r="G41" i="39" s="1"/>
  <c r="G41" i="40" s="1"/>
  <c r="G41" i="41" s="1"/>
  <c r="G41" i="42" s="1"/>
  <c r="G41" i="43" s="1"/>
  <c r="G41" i="44" s="1"/>
  <c r="G41" i="45" s="1"/>
  <c r="G41" i="46" s="1"/>
  <c r="G41" i="47" s="1"/>
  <c r="F41" i="36"/>
  <c r="H40" i="36"/>
  <c r="G40" i="36"/>
  <c r="G40" i="37" s="1"/>
  <c r="G40" i="38" s="1"/>
  <c r="G40" i="39" s="1"/>
  <c r="G40" i="40" s="1"/>
  <c r="G40" i="41" s="1"/>
  <c r="G40" i="42" s="1"/>
  <c r="G40" i="43" s="1"/>
  <c r="G40" i="44" s="1"/>
  <c r="G40" i="45" s="1"/>
  <c r="G40" i="46" s="1"/>
  <c r="G40" i="47" s="1"/>
  <c r="F40" i="36"/>
  <c r="H38" i="36"/>
  <c r="I38" i="36" s="1"/>
  <c r="G38" i="36"/>
  <c r="F38" i="36"/>
  <c r="E38" i="36"/>
  <c r="D38" i="36"/>
  <c r="I37" i="36"/>
  <c r="F37" i="36"/>
  <c r="I36" i="36"/>
  <c r="F36" i="36"/>
  <c r="E35" i="36"/>
  <c r="E39" i="36" s="1"/>
  <c r="D35" i="36"/>
  <c r="D39" i="36" s="1"/>
  <c r="I34" i="36"/>
  <c r="F34" i="36"/>
  <c r="H33" i="36"/>
  <c r="G33" i="36"/>
  <c r="G35" i="36" s="1"/>
  <c r="G39" i="36" s="1"/>
  <c r="F33" i="36"/>
  <c r="E32" i="36"/>
  <c r="F32" i="36" s="1"/>
  <c r="D32" i="36"/>
  <c r="H31" i="36"/>
  <c r="G31" i="36"/>
  <c r="I31" i="36" s="1"/>
  <c r="F31" i="36"/>
  <c r="G30" i="36"/>
  <c r="G32" i="36" s="1"/>
  <c r="F30" i="36"/>
  <c r="E30" i="36"/>
  <c r="D30" i="36"/>
  <c r="H29" i="36"/>
  <c r="I29" i="36" s="1"/>
  <c r="G29" i="36"/>
  <c r="F29" i="36"/>
  <c r="H28" i="36"/>
  <c r="G28" i="36"/>
  <c r="G28" i="37" s="1"/>
  <c r="F28" i="36"/>
  <c r="D26" i="36"/>
  <c r="G25" i="36"/>
  <c r="F25" i="36"/>
  <c r="E25" i="36"/>
  <c r="D25" i="36"/>
  <c r="H24" i="36"/>
  <c r="I24" i="36" s="1"/>
  <c r="G24" i="36"/>
  <c r="F24" i="36"/>
  <c r="H23" i="36"/>
  <c r="G23" i="36"/>
  <c r="G23" i="37" s="1"/>
  <c r="F23" i="36"/>
  <c r="H22" i="36"/>
  <c r="E22" i="36"/>
  <c r="F22" i="36" s="1"/>
  <c r="D22" i="36"/>
  <c r="H21" i="36"/>
  <c r="I21" i="36" s="1"/>
  <c r="G21" i="36"/>
  <c r="G22" i="36" s="1"/>
  <c r="G26" i="36" s="1"/>
  <c r="G43" i="36" s="1"/>
  <c r="G44" i="36" s="1"/>
  <c r="G45" i="36" s="1"/>
  <c r="F21" i="36"/>
  <c r="D14" i="36"/>
  <c r="C14" i="36"/>
  <c r="H23" i="37" l="1"/>
  <c r="H25" i="36"/>
  <c r="I25" i="36" s="1"/>
  <c r="I23" i="36"/>
  <c r="G56" i="37"/>
  <c r="G54" i="38"/>
  <c r="H55" i="38"/>
  <c r="I55" i="37"/>
  <c r="G63" i="38"/>
  <c r="G65" i="37"/>
  <c r="I86" i="36"/>
  <c r="H42" i="37"/>
  <c r="I42" i="36"/>
  <c r="G93" i="38"/>
  <c r="G95" i="37"/>
  <c r="I94" i="37"/>
  <c r="H94" i="38"/>
  <c r="F109" i="36"/>
  <c r="H105" i="37"/>
  <c r="H101" i="37"/>
  <c r="H99" i="38"/>
  <c r="I99" i="37"/>
  <c r="F66" i="36"/>
  <c r="G87" i="38"/>
  <c r="G89" i="37"/>
  <c r="G57" i="38"/>
  <c r="G59" i="38" s="1"/>
  <c r="G53" i="38"/>
  <c r="G51" i="39"/>
  <c r="H58" i="37"/>
  <c r="I58" i="37" s="1"/>
  <c r="G70" i="39"/>
  <c r="G76" i="38"/>
  <c r="I74" i="37"/>
  <c r="H96" i="37"/>
  <c r="I92" i="37"/>
  <c r="F66" i="38"/>
  <c r="E68" i="38"/>
  <c r="F68" i="38" s="1"/>
  <c r="D43" i="36"/>
  <c r="D44" i="36" s="1"/>
  <c r="D45" i="36" s="1"/>
  <c r="H28" i="37"/>
  <c r="H30" i="36"/>
  <c r="I28" i="36"/>
  <c r="H33" i="37"/>
  <c r="I33" i="36"/>
  <c r="F39" i="36"/>
  <c r="G99" i="38"/>
  <c r="G105" i="37"/>
  <c r="G101" i="37"/>
  <c r="H100" i="38"/>
  <c r="H106" i="37"/>
  <c r="I65" i="37"/>
  <c r="G97" i="37"/>
  <c r="I22" i="36"/>
  <c r="H26" i="36"/>
  <c r="H35" i="36"/>
  <c r="H54" i="38"/>
  <c r="H56" i="37"/>
  <c r="I56" i="37" s="1"/>
  <c r="I54" i="37"/>
  <c r="G98" i="36"/>
  <c r="D43" i="37"/>
  <c r="D44" i="37" s="1"/>
  <c r="D45" i="37" s="1"/>
  <c r="F39" i="37"/>
  <c r="G58" i="38"/>
  <c r="G52" i="39"/>
  <c r="F66" i="37"/>
  <c r="E68" i="37"/>
  <c r="F68" i="37" s="1"/>
  <c r="H73" i="39"/>
  <c r="I73" i="39" s="1"/>
  <c r="I73" i="38"/>
  <c r="G96" i="37"/>
  <c r="H85" i="39"/>
  <c r="I85" i="38"/>
  <c r="G104" i="38"/>
  <c r="G102" i="39"/>
  <c r="F26" i="38"/>
  <c r="E77" i="40"/>
  <c r="F77" i="40" s="1"/>
  <c r="H41" i="37"/>
  <c r="I41" i="36"/>
  <c r="H76" i="36"/>
  <c r="I76" i="36" s="1"/>
  <c r="I70" i="36"/>
  <c r="H70" i="37"/>
  <c r="H71" i="36"/>
  <c r="I71" i="36" s="1"/>
  <c r="H88" i="38"/>
  <c r="I88" i="37"/>
  <c r="H95" i="37"/>
  <c r="H93" i="38"/>
  <c r="I93" i="37"/>
  <c r="D110" i="36"/>
  <c r="G23" i="38"/>
  <c r="G25" i="37"/>
  <c r="G28" i="38"/>
  <c r="G30" i="37"/>
  <c r="G32" i="37" s="1"/>
  <c r="H40" i="37"/>
  <c r="I40" i="36"/>
  <c r="G59" i="36"/>
  <c r="G60" i="38"/>
  <c r="G66" i="37"/>
  <c r="G68" i="37" s="1"/>
  <c r="G62" i="37"/>
  <c r="G72" i="38"/>
  <c r="G74" i="37"/>
  <c r="H89" i="37"/>
  <c r="I89" i="37" s="1"/>
  <c r="I87" i="37"/>
  <c r="H87" i="38"/>
  <c r="I92" i="36"/>
  <c r="E110" i="36"/>
  <c r="F110" i="36" s="1"/>
  <c r="F108" i="36"/>
  <c r="F107" i="36"/>
  <c r="G21" i="39"/>
  <c r="G22" i="38"/>
  <c r="H31" i="39"/>
  <c r="I31" i="38"/>
  <c r="H57" i="37"/>
  <c r="I75" i="37"/>
  <c r="D43" i="39"/>
  <c r="D44" i="39" s="1"/>
  <c r="D45" i="39" s="1"/>
  <c r="H96" i="36"/>
  <c r="D98" i="36"/>
  <c r="G58" i="37"/>
  <c r="E98" i="37"/>
  <c r="E108" i="37"/>
  <c r="E59" i="38"/>
  <c r="F59" i="38" s="1"/>
  <c r="G61" i="38"/>
  <c r="H63" i="38"/>
  <c r="G69" i="38"/>
  <c r="H72" i="38"/>
  <c r="G84" i="38"/>
  <c r="G85" i="38"/>
  <c r="E98" i="38"/>
  <c r="E43" i="39"/>
  <c r="F26" i="39"/>
  <c r="E77" i="39"/>
  <c r="F77" i="39" s="1"/>
  <c r="E39" i="40"/>
  <c r="F39" i="40" s="1"/>
  <c r="F35" i="40"/>
  <c r="D77" i="40"/>
  <c r="E39" i="41"/>
  <c r="F39" i="41" s="1"/>
  <c r="F35" i="41"/>
  <c r="F63" i="42"/>
  <c r="F108" i="42"/>
  <c r="F108" i="44"/>
  <c r="E110" i="44"/>
  <c r="F110" i="44" s="1"/>
  <c r="I54" i="36"/>
  <c r="E59" i="36"/>
  <c r="F59" i="36" s="1"/>
  <c r="E76" i="36"/>
  <c r="F76" i="36" s="1"/>
  <c r="I88" i="36"/>
  <c r="I93" i="36"/>
  <c r="I94" i="36"/>
  <c r="I100" i="36"/>
  <c r="G105" i="36"/>
  <c r="G107" i="36" s="1"/>
  <c r="F35" i="37"/>
  <c r="I91" i="38"/>
  <c r="H91" i="39"/>
  <c r="I103" i="38"/>
  <c r="H103" i="39"/>
  <c r="F22" i="38"/>
  <c r="H52" i="38"/>
  <c r="H64" i="38"/>
  <c r="H69" i="38"/>
  <c r="H84" i="38"/>
  <c r="G90" i="38"/>
  <c r="F22" i="39"/>
  <c r="I38" i="39"/>
  <c r="F65" i="39"/>
  <c r="F66" i="39"/>
  <c r="F92" i="40"/>
  <c r="F108" i="40"/>
  <c r="F75" i="41"/>
  <c r="D108" i="41"/>
  <c r="D110" i="41" s="1"/>
  <c r="F108" i="46"/>
  <c r="F35" i="36"/>
  <c r="H56" i="36"/>
  <c r="I56" i="36" s="1"/>
  <c r="H58" i="36"/>
  <c r="I58" i="36" s="1"/>
  <c r="I60" i="36"/>
  <c r="E71" i="36"/>
  <c r="F71" i="36" s="1"/>
  <c r="H75" i="36"/>
  <c r="H89" i="36"/>
  <c r="I89" i="36" s="1"/>
  <c r="H95" i="36"/>
  <c r="I95" i="36" s="1"/>
  <c r="F96" i="36"/>
  <c r="H97" i="36"/>
  <c r="H101" i="36"/>
  <c r="I101" i="36" s="1"/>
  <c r="H105" i="36"/>
  <c r="I21" i="37"/>
  <c r="G22" i="37"/>
  <c r="G26" i="37" s="1"/>
  <c r="I31" i="37"/>
  <c r="G33" i="37"/>
  <c r="I51" i="37"/>
  <c r="I52" i="37"/>
  <c r="G53" i="37"/>
  <c r="G57" i="37"/>
  <c r="G59" i="37" s="1"/>
  <c r="F60" i="37"/>
  <c r="I69" i="37"/>
  <c r="I73" i="37"/>
  <c r="G76" i="37"/>
  <c r="E77" i="37"/>
  <c r="F77" i="37" s="1"/>
  <c r="I84" i="37"/>
  <c r="I85" i="37"/>
  <c r="G86" i="37"/>
  <c r="I90" i="37"/>
  <c r="I91" i="37"/>
  <c r="G100" i="37"/>
  <c r="I100" i="37" s="1"/>
  <c r="I102" i="37"/>
  <c r="I103" i="37"/>
  <c r="G104" i="37"/>
  <c r="E107" i="37"/>
  <c r="F107" i="37" s="1"/>
  <c r="E109" i="37"/>
  <c r="F109" i="37" s="1"/>
  <c r="F60" i="38"/>
  <c r="E77" i="38"/>
  <c r="F77" i="38" s="1"/>
  <c r="H90" i="38"/>
  <c r="F92" i="38"/>
  <c r="F104" i="38"/>
  <c r="F106" i="38"/>
  <c r="F35" i="39"/>
  <c r="F57" i="39"/>
  <c r="E59" i="39"/>
  <c r="F59" i="39" s="1"/>
  <c r="F86" i="39"/>
  <c r="F96" i="39"/>
  <c r="E109" i="39"/>
  <c r="F109" i="39" s="1"/>
  <c r="E98" i="39"/>
  <c r="E108" i="39"/>
  <c r="F26" i="40"/>
  <c r="F57" i="40"/>
  <c r="E71" i="40"/>
  <c r="F71" i="40" s="1"/>
  <c r="E76" i="40"/>
  <c r="F76" i="40" s="1"/>
  <c r="F70" i="40"/>
  <c r="H73" i="40"/>
  <c r="I73" i="40" s="1"/>
  <c r="E74" i="40"/>
  <c r="F74" i="40" s="1"/>
  <c r="F75" i="40"/>
  <c r="E107" i="40"/>
  <c r="F107" i="40" s="1"/>
  <c r="D59" i="41"/>
  <c r="D98" i="41"/>
  <c r="E32" i="42"/>
  <c r="F32" i="42" s="1"/>
  <c r="F30" i="42"/>
  <c r="D110" i="42"/>
  <c r="F66" i="44"/>
  <c r="H57" i="36"/>
  <c r="H106" i="36"/>
  <c r="I106" i="36" s="1"/>
  <c r="E26" i="37"/>
  <c r="E59" i="37"/>
  <c r="F59" i="37" s="1"/>
  <c r="G75" i="37"/>
  <c r="G77" i="37" s="1"/>
  <c r="E39" i="38"/>
  <c r="F39" i="38" s="1"/>
  <c r="H60" i="38"/>
  <c r="E108" i="38"/>
  <c r="E107" i="39"/>
  <c r="F107" i="39" s="1"/>
  <c r="E65" i="40"/>
  <c r="F65" i="40" s="1"/>
  <c r="F22" i="41"/>
  <c r="E26" i="41"/>
  <c r="E74" i="41"/>
  <c r="F74" i="41" s="1"/>
  <c r="E64" i="41"/>
  <c r="F73" i="41"/>
  <c r="E65" i="42"/>
  <c r="F65" i="42" s="1"/>
  <c r="D32" i="43"/>
  <c r="F32" i="43" s="1"/>
  <c r="F30" i="43"/>
  <c r="E74" i="44"/>
  <c r="F74" i="44" s="1"/>
  <c r="F73" i="44"/>
  <c r="E64" i="44"/>
  <c r="E26" i="36"/>
  <c r="I55" i="36"/>
  <c r="G66" i="36"/>
  <c r="G68" i="36" s="1"/>
  <c r="F70" i="36"/>
  <c r="I87" i="36"/>
  <c r="E98" i="36"/>
  <c r="I99" i="36"/>
  <c r="I60" i="37"/>
  <c r="I63" i="37"/>
  <c r="H66" i="37"/>
  <c r="I72" i="37"/>
  <c r="H97" i="37"/>
  <c r="I102" i="38"/>
  <c r="H102" i="39"/>
  <c r="H21" i="38"/>
  <c r="H51" i="38"/>
  <c r="D107" i="38"/>
  <c r="F107" i="38" s="1"/>
  <c r="F32" i="39"/>
  <c r="D98" i="39"/>
  <c r="F64" i="40"/>
  <c r="E110" i="40"/>
  <c r="F110" i="40" s="1"/>
  <c r="F71" i="42"/>
  <c r="E77" i="43"/>
  <c r="F77" i="43" s="1"/>
  <c r="F75" i="43"/>
  <c r="F56" i="44"/>
  <c r="F59" i="45"/>
  <c r="G53" i="36"/>
  <c r="I53" i="36" s="1"/>
  <c r="F60" i="36"/>
  <c r="E61" i="36"/>
  <c r="G62" i="36"/>
  <c r="G65" i="36"/>
  <c r="I65" i="36" s="1"/>
  <c r="G74" i="36"/>
  <c r="I74" i="36" s="1"/>
  <c r="G86" i="36"/>
  <c r="H53" i="37"/>
  <c r="I53" i="37" s="1"/>
  <c r="H86" i="37"/>
  <c r="I86" i="37" s="1"/>
  <c r="D98" i="37"/>
  <c r="H104" i="37"/>
  <c r="D109" i="38"/>
  <c r="F109" i="38" s="1"/>
  <c r="D98" i="38"/>
  <c r="H104" i="38"/>
  <c r="E39" i="39"/>
  <c r="F39" i="39" s="1"/>
  <c r="E61" i="39"/>
  <c r="E71" i="39"/>
  <c r="F71" i="39" s="1"/>
  <c r="F22" i="40"/>
  <c r="F32" i="40"/>
  <c r="E61" i="40"/>
  <c r="F73" i="40"/>
  <c r="F86" i="40"/>
  <c r="F96" i="40"/>
  <c r="E59" i="41"/>
  <c r="D68" i="41"/>
  <c r="E71" i="41"/>
  <c r="F71" i="41" s="1"/>
  <c r="E76" i="41"/>
  <c r="F76" i="41" s="1"/>
  <c r="F70" i="41"/>
  <c r="E61" i="41"/>
  <c r="H36" i="43"/>
  <c r="I36" i="42"/>
  <c r="H38" i="42"/>
  <c r="F57" i="42"/>
  <c r="E44" i="43"/>
  <c r="F64" i="43"/>
  <c r="F105" i="43"/>
  <c r="C138" i="43"/>
  <c r="F38" i="45"/>
  <c r="E39" i="45"/>
  <c r="E59" i="40"/>
  <c r="F59" i="40" s="1"/>
  <c r="E98" i="40"/>
  <c r="F98" i="40" s="1"/>
  <c r="F104" i="40"/>
  <c r="D43" i="41"/>
  <c r="D44" i="41" s="1"/>
  <c r="D45" i="41" s="1"/>
  <c r="E110" i="41"/>
  <c r="F110" i="41" s="1"/>
  <c r="F22" i="42"/>
  <c r="I24" i="42"/>
  <c r="E66" i="42"/>
  <c r="F60" i="42"/>
  <c r="E62" i="42"/>
  <c r="F62" i="42" s="1"/>
  <c r="D77" i="42"/>
  <c r="F97" i="42"/>
  <c r="F57" i="43"/>
  <c r="E71" i="43"/>
  <c r="F71" i="43" s="1"/>
  <c r="E76" i="43"/>
  <c r="F76" i="43" s="1"/>
  <c r="F70" i="43"/>
  <c r="E74" i="43"/>
  <c r="F74" i="43" s="1"/>
  <c r="D98" i="43"/>
  <c r="D59" i="44"/>
  <c r="F58" i="44"/>
  <c r="D43" i="45"/>
  <c r="D44" i="45" s="1"/>
  <c r="D45" i="45" s="1"/>
  <c r="F40" i="45"/>
  <c r="E65" i="45"/>
  <c r="F65" i="45" s="1"/>
  <c r="F64" i="45"/>
  <c r="E77" i="45"/>
  <c r="F77" i="45" s="1"/>
  <c r="F75" i="45"/>
  <c r="F38" i="46"/>
  <c r="F60" i="39"/>
  <c r="E62" i="41"/>
  <c r="F62" i="41" s="1"/>
  <c r="I29" i="42"/>
  <c r="F35" i="42"/>
  <c r="G36" i="42"/>
  <c r="F77" i="42"/>
  <c r="F105" i="42"/>
  <c r="F22" i="43"/>
  <c r="F39" i="43"/>
  <c r="E61" i="43"/>
  <c r="F73" i="43"/>
  <c r="F86" i="43"/>
  <c r="F96" i="43"/>
  <c r="F22" i="44"/>
  <c r="I24" i="44"/>
  <c r="F30" i="44"/>
  <c r="E59" i="44"/>
  <c r="F59" i="44" s="1"/>
  <c r="F61" i="44"/>
  <c r="F107" i="44"/>
  <c r="E67" i="45"/>
  <c r="F61" i="45"/>
  <c r="D107" i="45"/>
  <c r="F35" i="46"/>
  <c r="E39" i="46"/>
  <c r="E98" i="41"/>
  <c r="E26" i="42"/>
  <c r="E107" i="42"/>
  <c r="F107" i="42" s="1"/>
  <c r="E109" i="42"/>
  <c r="F109" i="42" s="1"/>
  <c r="E59" i="43"/>
  <c r="F59" i="43" s="1"/>
  <c r="E98" i="43"/>
  <c r="F98" i="43" s="1"/>
  <c r="E108" i="43"/>
  <c r="E26" i="44"/>
  <c r="E62" i="44"/>
  <c r="F62" i="44" s="1"/>
  <c r="E76" i="44"/>
  <c r="F76" i="44" s="1"/>
  <c r="E77" i="44"/>
  <c r="F77" i="44" s="1"/>
  <c r="E109" i="44"/>
  <c r="F109" i="44" s="1"/>
  <c r="D39" i="45"/>
  <c r="D98" i="45"/>
  <c r="F98" i="45" s="1"/>
  <c r="D108" i="45"/>
  <c r="D110" i="45" s="1"/>
  <c r="E107" i="45"/>
  <c r="F105" i="45"/>
  <c r="E61" i="46"/>
  <c r="E71" i="46"/>
  <c r="F71" i="46" s="1"/>
  <c r="F70" i="46"/>
  <c r="D98" i="42"/>
  <c r="F98" i="42" s="1"/>
  <c r="F60" i="44"/>
  <c r="F96" i="44"/>
  <c r="E98" i="44"/>
  <c r="F98" i="44" s="1"/>
  <c r="F22" i="45"/>
  <c r="E26" i="45"/>
  <c r="A138" i="45"/>
  <c r="F42" i="45"/>
  <c r="F63" i="46"/>
  <c r="E65" i="46"/>
  <c r="F65" i="46" s="1"/>
  <c r="E76" i="46"/>
  <c r="F76" i="46" s="1"/>
  <c r="F92" i="44"/>
  <c r="F104" i="44"/>
  <c r="D107" i="44"/>
  <c r="F35" i="45"/>
  <c r="F57" i="45"/>
  <c r="F96" i="45"/>
  <c r="D109" i="45"/>
  <c r="F109" i="45" s="1"/>
  <c r="F106" i="45"/>
  <c r="E26" i="46"/>
  <c r="E66" i="46"/>
  <c r="F60" i="46"/>
  <c r="E77" i="46"/>
  <c r="F77" i="46" s="1"/>
  <c r="F92" i="46"/>
  <c r="E43" i="47"/>
  <c r="E39" i="47"/>
  <c r="F39" i="47" s="1"/>
  <c r="F35" i="47"/>
  <c r="F73" i="45"/>
  <c r="E74" i="45"/>
  <c r="F74" i="45" s="1"/>
  <c r="D77" i="45"/>
  <c r="E108" i="45"/>
  <c r="D39" i="46"/>
  <c r="D43" i="46" s="1"/>
  <c r="D44" i="46" s="1"/>
  <c r="D45" i="46" s="1"/>
  <c r="F40" i="46"/>
  <c r="E62" i="46"/>
  <c r="F62" i="46" s="1"/>
  <c r="E109" i="46"/>
  <c r="F109" i="46" s="1"/>
  <c r="E107" i="46"/>
  <c r="F107" i="46" s="1"/>
  <c r="E62" i="47"/>
  <c r="F62" i="47" s="1"/>
  <c r="E66" i="47"/>
  <c r="E74" i="47"/>
  <c r="F74" i="47" s="1"/>
  <c r="F73" i="47"/>
  <c r="F75" i="47"/>
  <c r="E77" i="47"/>
  <c r="F77" i="47" s="1"/>
  <c r="F109" i="47"/>
  <c r="E65" i="47"/>
  <c r="F65" i="47" s="1"/>
  <c r="F63" i="47"/>
  <c r="F101" i="47"/>
  <c r="F25" i="47"/>
  <c r="D110" i="47"/>
  <c r="F108" i="47"/>
  <c r="D26" i="47"/>
  <c r="D43" i="47" s="1"/>
  <c r="D44" i="47" s="1"/>
  <c r="D45" i="47" s="1"/>
  <c r="F30" i="47"/>
  <c r="F56" i="47"/>
  <c r="F58" i="47"/>
  <c r="E67" i="47"/>
  <c r="F67" i="47" s="1"/>
  <c r="F61" i="47"/>
  <c r="F95" i="47"/>
  <c r="E110" i="47"/>
  <c r="F110" i="47" s="1"/>
  <c r="F97" i="47"/>
  <c r="F105" i="47"/>
  <c r="E107" i="47"/>
  <c r="F107" i="47" s="1"/>
  <c r="D98" i="47"/>
  <c r="F70" i="47"/>
  <c r="E98" i="47"/>
  <c r="AN17" i="49"/>
  <c r="AN2" i="49"/>
  <c r="AM30" i="49"/>
  <c r="AL23" i="49"/>
  <c r="AL7" i="49"/>
  <c r="AK25" i="49"/>
  <c r="AK5" i="49"/>
  <c r="AJ16" i="49"/>
  <c r="AJ8" i="49"/>
  <c r="AI18" i="49"/>
  <c r="AI10" i="49"/>
  <c r="AH18" i="49"/>
  <c r="AG19" i="49"/>
  <c r="AG3" i="49"/>
  <c r="AF21" i="49"/>
  <c r="AF9" i="49"/>
  <c r="AE16" i="49"/>
  <c r="AE4" i="49"/>
  <c r="AD29" i="49"/>
  <c r="AD9" i="49"/>
  <c r="AC16" i="49"/>
  <c r="AB15" i="49"/>
  <c r="AB14" i="49"/>
  <c r="AA26" i="49"/>
  <c r="AA9" i="49"/>
  <c r="Z18" i="49"/>
  <c r="Y20" i="49"/>
  <c r="Z6" i="49"/>
  <c r="Y13" i="49"/>
  <c r="X17" i="49"/>
  <c r="W28" i="49"/>
  <c r="AN19" i="49"/>
  <c r="AN10" i="49"/>
  <c r="AM18" i="49"/>
  <c r="AL30" i="49"/>
  <c r="AL2" i="49"/>
  <c r="AK12" i="49"/>
  <c r="AJ25" i="49"/>
  <c r="AI24" i="49"/>
  <c r="AI9" i="49"/>
  <c r="AH11" i="49"/>
  <c r="AG28" i="49"/>
  <c r="AF27" i="49"/>
  <c r="AF12" i="49"/>
  <c r="AE3" i="49"/>
  <c r="AD25" i="49"/>
  <c r="AC23" i="49"/>
  <c r="AC8" i="49"/>
  <c r="AB30" i="49"/>
  <c r="AB9" i="49"/>
  <c r="Z15" i="49"/>
  <c r="Y16" i="49"/>
  <c r="Z13" i="49"/>
  <c r="X22" i="49"/>
  <c r="W24" i="49"/>
  <c r="W11" i="49"/>
  <c r="V25" i="49"/>
  <c r="U17" i="49"/>
  <c r="V5" i="49"/>
  <c r="U5" i="49"/>
  <c r="T18" i="49"/>
  <c r="T6" i="49"/>
  <c r="S26" i="49"/>
  <c r="R19" i="49"/>
  <c r="R3" i="49"/>
  <c r="Q21" i="49"/>
  <c r="Q9" i="49"/>
  <c r="P17" i="49"/>
  <c r="P13" i="49"/>
  <c r="O29" i="49"/>
  <c r="O9" i="49"/>
  <c r="N25" i="49"/>
  <c r="M15" i="49"/>
  <c r="M14" i="49"/>
  <c r="L27" i="49"/>
  <c r="L11" i="49"/>
  <c r="K18" i="49"/>
  <c r="K13" i="49"/>
  <c r="J16" i="49"/>
  <c r="J12" i="49"/>
  <c r="I28" i="49"/>
  <c r="I10" i="49"/>
  <c r="H29" i="49"/>
  <c r="AD22" i="49"/>
  <c r="AC29" i="49"/>
  <c r="AA24" i="49"/>
  <c r="Y15" i="49"/>
  <c r="X23" i="49"/>
  <c r="X3" i="49"/>
  <c r="V18" i="49"/>
  <c r="V13" i="49"/>
  <c r="T20" i="49"/>
  <c r="S27" i="49"/>
  <c r="R22" i="49"/>
  <c r="Q29" i="49"/>
  <c r="AN22" i="49"/>
  <c r="AM15" i="49"/>
  <c r="AM10" i="49"/>
  <c r="AL25" i="49"/>
  <c r="AK18" i="49"/>
  <c r="AK11" i="49"/>
  <c r="AJ11" i="49"/>
  <c r="AI22" i="49"/>
  <c r="AH21" i="49"/>
  <c r="AH5" i="49"/>
  <c r="AG7" i="49"/>
  <c r="AF24" i="49"/>
  <c r="AE20" i="49"/>
  <c r="AD14" i="49"/>
  <c r="AB28" i="49"/>
  <c r="AA10" i="49"/>
  <c r="Y14" i="49"/>
  <c r="AN15" i="49"/>
  <c r="AM27" i="49"/>
  <c r="AM11" i="49"/>
  <c r="AL22" i="49"/>
  <c r="AL12" i="49"/>
  <c r="AK20" i="49"/>
  <c r="AK10" i="49"/>
  <c r="AJ17" i="49"/>
  <c r="AJ2" i="49"/>
  <c r="AI26" i="49"/>
  <c r="AH23" i="49"/>
  <c r="AH7" i="49"/>
  <c r="AG29" i="49"/>
  <c r="AG12" i="49"/>
  <c r="AF16" i="49"/>
  <c r="AF8" i="49"/>
  <c r="AE17" i="49"/>
  <c r="AE6" i="49"/>
  <c r="AD18" i="49"/>
  <c r="AC19" i="49"/>
  <c r="AC3" i="49"/>
  <c r="AB20" i="49"/>
  <c r="AA27" i="49"/>
  <c r="AB11" i="49"/>
  <c r="AA12" i="49"/>
  <c r="Z24" i="49"/>
  <c r="Y21" i="49"/>
  <c r="Z5" i="49"/>
  <c r="X15" i="49"/>
  <c r="X14" i="49"/>
  <c r="W30" i="49"/>
  <c r="AN29" i="49"/>
  <c r="AN6" i="49"/>
  <c r="AM5" i="49"/>
  <c r="AL17" i="49"/>
  <c r="AK17" i="49"/>
  <c r="AK7" i="49"/>
  <c r="AJ7" i="49"/>
  <c r="AI29" i="49"/>
  <c r="AH27" i="49"/>
  <c r="AH12" i="49"/>
  <c r="AG14" i="49"/>
  <c r="AF20" i="49"/>
  <c r="AE19" i="49"/>
  <c r="AE10" i="49"/>
  <c r="AD26" i="49"/>
  <c r="AC17" i="49"/>
  <c r="AC2" i="49"/>
  <c r="AA21" i="49"/>
  <c r="AB12" i="49"/>
  <c r="Z25" i="49"/>
  <c r="Y25" i="49"/>
  <c r="Y11" i="49"/>
  <c r="X28" i="49"/>
  <c r="W14" i="49"/>
  <c r="W4" i="49"/>
  <c r="V20" i="49"/>
  <c r="U16" i="49"/>
  <c r="V8" i="49"/>
  <c r="U2" i="49"/>
  <c r="T22" i="49"/>
  <c r="S23" i="49"/>
  <c r="S7" i="49"/>
  <c r="R29" i="49"/>
  <c r="R6" i="49"/>
  <c r="Q16" i="49"/>
  <c r="Q8" i="49"/>
  <c r="P22" i="49"/>
  <c r="P6" i="49"/>
  <c r="O22" i="49"/>
  <c r="N19" i="49"/>
  <c r="N3" i="49"/>
  <c r="M21" i="49"/>
  <c r="M5" i="49"/>
  <c r="L26" i="49"/>
  <c r="L8" i="49"/>
  <c r="K24" i="49"/>
  <c r="K12" i="49"/>
  <c r="J17" i="49"/>
  <c r="J2" i="49"/>
  <c r="I26" i="49"/>
  <c r="H19" i="49"/>
  <c r="AF26" i="49"/>
  <c r="AD13" i="49"/>
  <c r="AC12" i="49"/>
  <c r="AA14" i="49"/>
  <c r="Y29" i="49"/>
  <c r="X30" i="49"/>
  <c r="X6" i="49"/>
  <c r="V22" i="49"/>
  <c r="V12" i="49"/>
  <c r="T26" i="49"/>
  <c r="S29" i="49"/>
  <c r="R18" i="49"/>
  <c r="Q25" i="49"/>
  <c r="AN25" i="49"/>
  <c r="AM29" i="49"/>
  <c r="AM13" i="49"/>
  <c r="AL11" i="49"/>
  <c r="AK28" i="49"/>
  <c r="AJ27" i="49"/>
  <c r="AJ12" i="49"/>
  <c r="AI3" i="49"/>
  <c r="AH20" i="49"/>
  <c r="AG23" i="49"/>
  <c r="AG13" i="49"/>
  <c r="AF13" i="49"/>
  <c r="AE29" i="49"/>
  <c r="AC27" i="49"/>
  <c r="AA29" i="49"/>
  <c r="Z19" i="49"/>
  <c r="Z10" i="49"/>
  <c r="X4" i="49"/>
  <c r="U19" i="49"/>
  <c r="U13" i="49"/>
  <c r="S28" i="49"/>
  <c r="R24" i="49"/>
  <c r="Q3" i="49"/>
  <c r="AN12" i="49"/>
  <c r="AL20" i="49"/>
  <c r="AK13" i="49"/>
  <c r="AI21" i="49"/>
  <c r="AH6" i="49"/>
  <c r="AF22" i="49"/>
  <c r="AE9" i="49"/>
  <c r="AC20" i="49"/>
  <c r="AN28" i="49"/>
  <c r="AN30" i="49"/>
  <c r="AN8" i="49"/>
  <c r="AM28" i="49"/>
  <c r="AM6" i="49"/>
  <c r="AL18" i="49"/>
  <c r="AK19" i="49"/>
  <c r="AK3" i="49"/>
  <c r="AJ21" i="49"/>
  <c r="AJ5" i="49"/>
  <c r="AI17" i="49"/>
  <c r="AI8" i="49"/>
  <c r="AH24" i="49"/>
  <c r="AH13" i="49"/>
  <c r="AG25" i="49"/>
  <c r="AF15" i="49"/>
  <c r="AF14" i="49"/>
  <c r="AE27" i="49"/>
  <c r="AE11" i="49"/>
  <c r="AD28" i="49"/>
  <c r="AD6" i="49"/>
  <c r="AC25" i="49"/>
  <c r="AC5" i="49"/>
  <c r="AB21" i="49"/>
  <c r="AA28" i="49"/>
  <c r="AB10" i="49"/>
  <c r="Z23" i="49"/>
  <c r="Y19" i="49"/>
  <c r="Z3" i="49"/>
  <c r="Y4" i="49"/>
  <c r="X16" i="49"/>
  <c r="W26" i="49"/>
  <c r="X8" i="49"/>
  <c r="AN3" i="49"/>
  <c r="AM20" i="49"/>
  <c r="AL19" i="49"/>
  <c r="AL5" i="49"/>
  <c r="AK30" i="49"/>
  <c r="AJ30" i="49"/>
  <c r="AI15" i="49"/>
  <c r="AI6" i="49"/>
  <c r="AH25" i="49"/>
  <c r="AG22" i="49"/>
  <c r="AG6" i="49"/>
  <c r="AF11" i="49"/>
  <c r="AE25" i="49"/>
  <c r="AD20" i="49"/>
  <c r="AD12" i="49"/>
  <c r="AC7" i="49"/>
  <c r="AB16" i="49"/>
  <c r="AA18" i="49"/>
  <c r="AA5" i="49"/>
  <c r="Z14" i="49"/>
  <c r="Z9" i="49"/>
  <c r="X19" i="49"/>
  <c r="W25" i="49"/>
  <c r="X13" i="49"/>
  <c r="V19" i="49"/>
  <c r="U15" i="49"/>
  <c r="U14" i="49"/>
  <c r="U10" i="49"/>
  <c r="T17" i="49"/>
  <c r="T8" i="49"/>
  <c r="S25" i="49"/>
  <c r="S9" i="49"/>
  <c r="R25" i="49"/>
  <c r="Q15" i="49"/>
  <c r="Q14" i="49"/>
  <c r="P27" i="49"/>
  <c r="P11" i="49"/>
  <c r="O28" i="49"/>
  <c r="O6" i="49"/>
  <c r="N20" i="49"/>
  <c r="N5" i="49"/>
  <c r="M17" i="49"/>
  <c r="M2" i="49"/>
  <c r="L30" i="49"/>
  <c r="K23" i="49"/>
  <c r="K3" i="49"/>
  <c r="J21" i="49"/>
  <c r="J9" i="49"/>
  <c r="I30" i="49"/>
  <c r="I13" i="49"/>
  <c r="H20" i="49"/>
  <c r="AD15" i="49"/>
  <c r="AC21" i="49"/>
  <c r="AA15" i="49"/>
  <c r="Z26" i="49"/>
  <c r="Y9" i="49"/>
  <c r="W17" i="49"/>
  <c r="V23" i="49"/>
  <c r="U29" i="49"/>
  <c r="T15" i="49"/>
  <c r="T2" i="49"/>
  <c r="S6" i="49"/>
  <c r="R13" i="49"/>
  <c r="AN23" i="49"/>
  <c r="AN4" i="49"/>
  <c r="AM14" i="49"/>
  <c r="AL16" i="49"/>
  <c r="AK15" i="49"/>
  <c r="AK9" i="49"/>
  <c r="AJ22" i="49"/>
  <c r="AI28" i="49"/>
  <c r="AI2" i="49"/>
  <c r="AH9" i="49"/>
  <c r="AG17" i="49"/>
  <c r="AF29" i="49"/>
  <c r="AE23" i="49"/>
  <c r="AD24" i="49"/>
  <c r="AB19" i="49"/>
  <c r="AB5" i="49"/>
  <c r="Y24" i="49"/>
  <c r="X25" i="49"/>
  <c r="X2" i="49"/>
  <c r="V3" i="49"/>
  <c r="T14" i="49"/>
  <c r="S4" i="49"/>
  <c r="Q19" i="49"/>
  <c r="AN27" i="49"/>
  <c r="AM3" i="49"/>
  <c r="AK23" i="49"/>
  <c r="AJ26" i="49"/>
  <c r="AH15" i="49"/>
  <c r="AG18" i="49"/>
  <c r="AF10" i="49"/>
  <c r="AD30" i="49"/>
  <c r="AC13" i="49"/>
  <c r="AN9" i="49"/>
  <c r="AL6" i="49"/>
  <c r="AI27" i="49"/>
  <c r="AG20" i="49"/>
  <c r="AE30" i="49"/>
  <c r="AC10" i="49"/>
  <c r="AB2" i="49"/>
  <c r="X21" i="49"/>
  <c r="AM21" i="49"/>
  <c r="AJ23" i="49"/>
  <c r="AG15" i="49"/>
  <c r="AE2" i="49"/>
  <c r="AA20" i="49"/>
  <c r="Y5" i="49"/>
  <c r="V29" i="49"/>
  <c r="T11" i="49"/>
  <c r="R5" i="49"/>
  <c r="O23" i="49"/>
  <c r="M16" i="49"/>
  <c r="K22" i="49"/>
  <c r="I11" i="49"/>
  <c r="AB17" i="49"/>
  <c r="W8" i="49"/>
  <c r="S11" i="49"/>
  <c r="AM24" i="49"/>
  <c r="AJ20" i="49"/>
  <c r="AG30" i="49"/>
  <c r="AC11" i="49"/>
  <c r="W18" i="49"/>
  <c r="U7" i="49"/>
  <c r="R23" i="49"/>
  <c r="AN18" i="49"/>
  <c r="AK21" i="49"/>
  <c r="AH28" i="49"/>
  <c r="AE24" i="49"/>
  <c r="AB25" i="49"/>
  <c r="AA4" i="49"/>
  <c r="Z7" i="49"/>
  <c r="W23" i="49"/>
  <c r="W2" i="49"/>
  <c r="U22" i="49"/>
  <c r="T24" i="49"/>
  <c r="S17" i="49"/>
  <c r="R28" i="49"/>
  <c r="Q18" i="49"/>
  <c r="P18" i="49"/>
  <c r="O27" i="49"/>
  <c r="O8" i="49"/>
  <c r="N14" i="49"/>
  <c r="M20" i="49"/>
  <c r="L19" i="49"/>
  <c r="L4" i="49"/>
  <c r="K30" i="49"/>
  <c r="J22" i="49"/>
  <c r="J6" i="49"/>
  <c r="I8" i="49"/>
  <c r="H28" i="49"/>
  <c r="AN5" i="49"/>
  <c r="AL28" i="49"/>
  <c r="AK6" i="49"/>
  <c r="AI13" i="49"/>
  <c r="AF30" i="49"/>
  <c r="AC28" i="49"/>
  <c r="AM23" i="49"/>
  <c r="AL14" i="49"/>
  <c r="AJ19" i="49"/>
  <c r="AI16" i="49"/>
  <c r="AH2" i="49"/>
  <c r="AF25" i="49"/>
  <c r="AE5" i="49"/>
  <c r="AC22" i="49"/>
  <c r="AA16" i="49"/>
  <c r="Z20" i="49"/>
  <c r="Y12" i="49"/>
  <c r="X9" i="49"/>
  <c r="V21" i="49"/>
  <c r="V10" i="49"/>
  <c r="T7" i="49"/>
  <c r="S13" i="49"/>
  <c r="R12" i="49"/>
  <c r="Q13" i="49"/>
  <c r="P8" i="49"/>
  <c r="O26" i="49"/>
  <c r="N21" i="49"/>
  <c r="N13" i="49"/>
  <c r="M7" i="49"/>
  <c r="L24" i="49"/>
  <c r="K27" i="49"/>
  <c r="K4" i="49"/>
  <c r="J26" i="49"/>
  <c r="I16" i="49"/>
  <c r="H3" i="49"/>
  <c r="AJ18" i="49"/>
  <c r="AF7" i="49"/>
  <c r="AC14" i="49"/>
  <c r="AJ13" i="49"/>
  <c r="AD3" i="49"/>
  <c r="Z16" i="49"/>
  <c r="X7" i="49"/>
  <c r="V9" i="49"/>
  <c r="S5" i="49"/>
  <c r="Q5" i="49"/>
  <c r="O18" i="49"/>
  <c r="N12" i="49"/>
  <c r="L20" i="49"/>
  <c r="K6" i="49"/>
  <c r="I22" i="49"/>
  <c r="AL26" i="49"/>
  <c r="AB3" i="49"/>
  <c r="U23" i="49"/>
  <c r="Q23" i="49"/>
  <c r="N16" i="49"/>
  <c r="K26" i="49"/>
  <c r="H27" i="49"/>
  <c r="AD17" i="49"/>
  <c r="AM26" i="49"/>
  <c r="AK29" i="49"/>
  <c r="AI11" i="49"/>
  <c r="AG4" i="49"/>
  <c r="AD23" i="49"/>
  <c r="AB18" i="49"/>
  <c r="Z22" i="49"/>
  <c r="W27" i="49"/>
  <c r="AM9" i="49"/>
  <c r="AJ4" i="49"/>
  <c r="AG9" i="49"/>
  <c r="AD5" i="49"/>
  <c r="AA11" i="49"/>
  <c r="W15" i="49"/>
  <c r="U21" i="49"/>
  <c r="S24" i="49"/>
  <c r="Q17" i="49"/>
  <c r="O7" i="49"/>
  <c r="M8" i="49"/>
  <c r="J15" i="49"/>
  <c r="H25" i="49"/>
  <c r="AA13" i="49"/>
  <c r="U25" i="49"/>
  <c r="R4" i="49"/>
  <c r="AL27" i="49"/>
  <c r="AI19" i="49"/>
  <c r="AG2" i="49"/>
  <c r="AB13" i="49"/>
  <c r="W5" i="49"/>
  <c r="T21" i="49"/>
  <c r="R7" i="49"/>
  <c r="AM22" i="49"/>
  <c r="AJ29" i="49"/>
  <c r="AG27" i="49"/>
  <c r="AD19" i="49"/>
  <c r="AA19" i="49"/>
  <c r="Z27" i="49"/>
  <c r="Z2" i="49"/>
  <c r="W29" i="49"/>
  <c r="V26" i="49"/>
  <c r="V6" i="49"/>
  <c r="T30" i="49"/>
  <c r="S14" i="49"/>
  <c r="R11" i="49"/>
  <c r="Q10" i="49"/>
  <c r="P14" i="49"/>
  <c r="O21" i="49"/>
  <c r="N15" i="49"/>
  <c r="N4" i="49"/>
  <c r="M18" i="49"/>
  <c r="L18" i="49"/>
  <c r="L2" i="49"/>
  <c r="K11" i="49"/>
  <c r="J28" i="49"/>
  <c r="I21" i="49"/>
  <c r="I4" i="49"/>
  <c r="H4" i="49"/>
  <c r="AM16" i="49"/>
  <c r="AL8" i="49"/>
  <c r="AJ3" i="49"/>
  <c r="AH19" i="49"/>
  <c r="AE15" i="49"/>
  <c r="AC6" i="49"/>
  <c r="AM25" i="49"/>
  <c r="AL10" i="49"/>
  <c r="AJ28" i="49"/>
  <c r="AI5" i="49"/>
  <c r="AG24" i="49"/>
  <c r="AF4" i="49"/>
  <c r="AD21" i="49"/>
  <c r="AC4" i="49"/>
  <c r="AB7" i="49"/>
  <c r="Y27" i="49"/>
  <c r="X29" i="49"/>
  <c r="W7" i="49"/>
  <c r="U27" i="49"/>
  <c r="U12" i="49"/>
  <c r="T13" i="49"/>
  <c r="R15" i="49"/>
  <c r="Q27" i="49"/>
  <c r="P20" i="49"/>
  <c r="P4" i="49"/>
  <c r="O3" i="49"/>
  <c r="N24" i="49"/>
  <c r="M23" i="49"/>
  <c r="M4" i="49"/>
  <c r="L14" i="49"/>
  <c r="K16" i="49"/>
  <c r="AP2" i="49"/>
  <c r="J10" i="49"/>
  <c r="I25" i="49"/>
  <c r="H17" i="49"/>
  <c r="AH17" i="49"/>
  <c r="AE28" i="49"/>
  <c r="AN16" i="49"/>
  <c r="AH29" i="49"/>
  <c r="AB23" i="49"/>
  <c r="Y18" i="49"/>
  <c r="W12" i="49"/>
  <c r="T19" i="49"/>
  <c r="R26" i="49"/>
  <c r="P21" i="49"/>
  <c r="O13" i="49"/>
  <c r="M22" i="49"/>
  <c r="L9" i="49"/>
  <c r="J27" i="49"/>
  <c r="I3" i="49"/>
  <c r="AK2" i="49"/>
  <c r="Y23" i="49"/>
  <c r="U8" i="49"/>
  <c r="P23" i="49"/>
  <c r="M19" i="49"/>
  <c r="K10" i="49"/>
  <c r="AL13" i="49"/>
  <c r="AA23" i="49"/>
  <c r="V16" i="49"/>
  <c r="AM8" i="49"/>
  <c r="AJ15" i="49"/>
  <c r="AH22" i="49"/>
  <c r="AF17" i="49"/>
  <c r="AD7" i="49"/>
  <c r="AA30" i="49"/>
  <c r="Y22" i="49"/>
  <c r="X11" i="49"/>
  <c r="AL3" i="49"/>
  <c r="AI14" i="49"/>
  <c r="AF18" i="49"/>
  <c r="AC30" i="49"/>
  <c r="Z28" i="49"/>
  <c r="X10" i="49"/>
  <c r="U3" i="49"/>
  <c r="S10" i="49"/>
  <c r="Q2" i="49"/>
  <c r="N29" i="49"/>
  <c r="L28" i="49"/>
  <c r="J14" i="49"/>
  <c r="AE7" i="49"/>
  <c r="Z4" i="49"/>
  <c r="U4" i="49"/>
  <c r="Q6" i="49"/>
  <c r="AL9" i="49"/>
  <c r="AI4" i="49"/>
  <c r="AF5" i="49"/>
  <c r="Z21" i="49"/>
  <c r="V24" i="49"/>
  <c r="T12" i="49"/>
  <c r="Q20" i="49"/>
  <c r="AM2" i="49"/>
  <c r="AJ9" i="49"/>
  <c r="AG10" i="49"/>
  <c r="AD4" i="49"/>
  <c r="AA17" i="49"/>
  <c r="Z29" i="49"/>
  <c r="Y10" i="49"/>
  <c r="X12" i="49"/>
  <c r="V30" i="49"/>
  <c r="U11" i="49"/>
  <c r="T10" i="49"/>
  <c r="S8" i="49"/>
  <c r="R10" i="49"/>
  <c r="P15" i="49"/>
  <c r="P12" i="49"/>
  <c r="O16" i="49"/>
  <c r="N22" i="49"/>
  <c r="N6" i="49"/>
  <c r="M11" i="49"/>
  <c r="L17" i="49"/>
  <c r="K17" i="49"/>
  <c r="K8" i="49"/>
  <c r="J3" i="49"/>
  <c r="I20" i="49"/>
  <c r="H15" i="49"/>
  <c r="AN21" i="49"/>
  <c r="AM7" i="49"/>
  <c r="AK27" i="49"/>
  <c r="AJ6" i="49"/>
  <c r="AH8" i="49"/>
  <c r="AE13" i="49"/>
  <c r="AN20" i="49"/>
  <c r="AM12" i="49"/>
  <c r="AK16" i="49"/>
  <c r="AJ10" i="49"/>
  <c r="AH30" i="49"/>
  <c r="AG8" i="49"/>
  <c r="AE18" i="49"/>
  <c r="AD11" i="49"/>
  <c r="AB27" i="49"/>
  <c r="AA7" i="49"/>
  <c r="Y26" i="49"/>
  <c r="X26" i="49"/>
  <c r="W9" i="49"/>
  <c r="U28" i="49"/>
  <c r="T23" i="49"/>
  <c r="S20" i="49"/>
  <c r="R16" i="49"/>
  <c r="Q28" i="49"/>
  <c r="P25" i="49"/>
  <c r="O19" i="49"/>
  <c r="O4" i="49"/>
  <c r="N26" i="49"/>
  <c r="M30" i="49"/>
  <c r="L15" i="49"/>
  <c r="L10" i="49"/>
  <c r="K29" i="49"/>
  <c r="J29" i="49"/>
  <c r="J13" i="49"/>
  <c r="I7" i="49"/>
  <c r="H24" i="49"/>
  <c r="AG21" i="49"/>
  <c r="AD27" i="49"/>
  <c r="AM4" i="49"/>
  <c r="AG11" i="49"/>
  <c r="AA22" i="49"/>
  <c r="Y8" i="49"/>
  <c r="V28" i="49"/>
  <c r="T3" i="49"/>
  <c r="R8" i="49"/>
  <c r="P7" i="49"/>
  <c r="N27" i="49"/>
  <c r="M3" i="49"/>
  <c r="K19" i="49"/>
  <c r="J18" i="49"/>
  <c r="I2" i="49"/>
  <c r="AF28" i="49"/>
  <c r="X27" i="49"/>
  <c r="T5" i="49"/>
  <c r="P10" i="49"/>
  <c r="M6" i="49"/>
  <c r="J11" i="49"/>
  <c r="AJ24" i="49"/>
  <c r="Z17" i="49"/>
  <c r="V4" i="49"/>
  <c r="Q4" i="49"/>
  <c r="N8" i="49"/>
  <c r="K5" i="49"/>
  <c r="AN11" i="49"/>
  <c r="AH14" i="49"/>
  <c r="AB26" i="49"/>
  <c r="Z11" i="49"/>
  <c r="V15" i="49"/>
  <c r="T28" i="49"/>
  <c r="R17" i="49"/>
  <c r="P30" i="49"/>
  <c r="AL24" i="49"/>
  <c r="AC24" i="49"/>
  <c r="AK24" i="49"/>
  <c r="Y30" i="49"/>
  <c r="P26" i="49"/>
  <c r="AD10" i="49"/>
  <c r="AK14" i="49"/>
  <c r="U20" i="49"/>
  <c r="AI7" i="49"/>
  <c r="Y28" i="49"/>
  <c r="U6" i="49"/>
  <c r="P24" i="49"/>
  <c r="M27" i="49"/>
  <c r="J19" i="49"/>
  <c r="AN26" i="49"/>
  <c r="AG26" i="49"/>
  <c r="AK8" i="49"/>
  <c r="AE14" i="49"/>
  <c r="Z12" i="49"/>
  <c r="T29" i="49"/>
  <c r="P29" i="49"/>
  <c r="M25" i="49"/>
  <c r="J24" i="49"/>
  <c r="AG5" i="49"/>
  <c r="AA3" i="49"/>
  <c r="Q24" i="49"/>
  <c r="K21" i="49"/>
  <c r="W3" i="49"/>
  <c r="I17" i="49"/>
  <c r="T16" i="49"/>
  <c r="O25" i="49"/>
  <c r="K15" i="49"/>
  <c r="AL21" i="49"/>
  <c r="AE22" i="49"/>
  <c r="Z30" i="49"/>
  <c r="V14" i="49"/>
  <c r="S21" i="49"/>
  <c r="P19" i="49"/>
  <c r="O12" i="49"/>
  <c r="M24" i="49"/>
  <c r="L12" i="49"/>
  <c r="J30" i="49"/>
  <c r="I12" i="49"/>
  <c r="AI30" i="49"/>
  <c r="AA6" i="49"/>
  <c r="V7" i="49"/>
  <c r="Q7" i="49"/>
  <c r="N11" i="49"/>
  <c r="K2" i="49"/>
  <c r="AM17" i="49"/>
  <c r="AB8" i="49"/>
  <c r="U26" i="49"/>
  <c r="Q30" i="49"/>
  <c r="N17" i="49"/>
  <c r="K28" i="49"/>
  <c r="H26" i="49"/>
  <c r="AI12" i="49"/>
  <c r="V2" i="49"/>
  <c r="M29" i="49"/>
  <c r="H22" i="49"/>
  <c r="AB6" i="49"/>
  <c r="AL29" i="49"/>
  <c r="AA2" i="49"/>
  <c r="Q11" i="49"/>
  <c r="K7" i="49"/>
  <c r="AE21" i="49"/>
  <c r="S16" i="49"/>
  <c r="AC18" i="49"/>
  <c r="W22" i="49"/>
  <c r="L16" i="49"/>
  <c r="AF19" i="49"/>
  <c r="AA8" i="49"/>
  <c r="T4" i="49"/>
  <c r="O30" i="49"/>
  <c r="L25" i="49"/>
  <c r="I24" i="49"/>
  <c r="AB29" i="49"/>
  <c r="R30" i="49"/>
  <c r="L5" i="49"/>
  <c r="W10" i="49"/>
  <c r="O5" i="49"/>
  <c r="I14" i="49"/>
  <c r="AJ14" i="49"/>
  <c r="AB4" i="49"/>
  <c r="AH16" i="49"/>
  <c r="W6" i="49"/>
  <c r="N10" i="49"/>
  <c r="W19" i="49"/>
  <c r="AH26" i="49"/>
  <c r="S30" i="49"/>
  <c r="AF3" i="49"/>
  <c r="X20" i="49"/>
  <c r="S15" i="49"/>
  <c r="P9" i="49"/>
  <c r="M12" i="49"/>
  <c r="J4" i="49"/>
  <c r="AL15" i="49"/>
  <c r="AD16" i="49"/>
  <c r="AI20" i="49"/>
  <c r="AC15" i="49"/>
  <c r="W20" i="49"/>
  <c r="S22" i="49"/>
  <c r="O17" i="49"/>
  <c r="L29" i="49"/>
  <c r="I23" i="49"/>
  <c r="AD8" i="49"/>
  <c r="X18" i="49"/>
  <c r="O15" i="49"/>
  <c r="J5" i="49"/>
  <c r="S2" i="49"/>
  <c r="AG16" i="49"/>
  <c r="S3" i="49"/>
  <c r="N23" i="49"/>
  <c r="J25" i="49"/>
  <c r="AK4" i="49"/>
  <c r="AD2" i="49"/>
  <c r="Y2" i="49"/>
  <c r="U30" i="49"/>
  <c r="S12" i="49"/>
  <c r="P5" i="49"/>
  <c r="N30" i="49"/>
  <c r="M13" i="49"/>
  <c r="K25" i="49"/>
  <c r="J7" i="49"/>
  <c r="H23" i="49"/>
  <c r="AH10" i="49"/>
  <c r="Z8" i="49"/>
  <c r="T25" i="49"/>
  <c r="P16" i="49"/>
  <c r="M28" i="49"/>
  <c r="J20" i="49"/>
  <c r="Y17" i="49"/>
  <c r="P28" i="49"/>
  <c r="J23" i="49"/>
  <c r="AH4" i="49"/>
  <c r="Y3" i="49"/>
  <c r="AE26" i="49"/>
  <c r="T27" i="49"/>
  <c r="L6" i="49"/>
  <c r="T9" i="49"/>
  <c r="AE8" i="49"/>
  <c r="Q12" i="49"/>
  <c r="AC26" i="49"/>
  <c r="W13" i="49"/>
  <c r="R27" i="49"/>
  <c r="O11" i="49"/>
  <c r="L3" i="49"/>
  <c r="I18" i="49"/>
  <c r="AK22" i="49"/>
  <c r="AN13" i="49"/>
  <c r="AH3" i="49"/>
  <c r="AB22" i="49"/>
  <c r="V17" i="49"/>
  <c r="R14" i="49"/>
  <c r="O2" i="49"/>
  <c r="L13" i="49"/>
  <c r="I6" i="49"/>
  <c r="AK26" i="49"/>
  <c r="U24" i="49"/>
  <c r="N18" i="49"/>
  <c r="H16" i="49"/>
  <c r="O14" i="49"/>
  <c r="Y7" i="49"/>
  <c r="R9" i="49"/>
  <c r="M26" i="49"/>
  <c r="I29" i="49"/>
  <c r="AI23" i="49"/>
  <c r="AA25" i="49"/>
  <c r="W21" i="49"/>
  <c r="U9" i="49"/>
  <c r="R2" i="49"/>
  <c r="O20" i="49"/>
  <c r="N7" i="49"/>
  <c r="L23" i="49"/>
  <c r="K14" i="49"/>
  <c r="I15" i="49"/>
  <c r="H21" i="49"/>
  <c r="AE12" i="49"/>
  <c r="W16" i="49"/>
  <c r="S18" i="49"/>
  <c r="O24" i="49"/>
  <c r="L21" i="49"/>
  <c r="I19" i="49"/>
  <c r="AF6" i="49"/>
  <c r="X24" i="49"/>
  <c r="S19" i="49"/>
  <c r="P2" i="49"/>
  <c r="M9" i="49"/>
  <c r="J8" i="49"/>
  <c r="AF2" i="49"/>
  <c r="AN24" i="49"/>
  <c r="AB24" i="49"/>
  <c r="R20" i="49"/>
  <c r="I27" i="49"/>
  <c r="AN7" i="49"/>
  <c r="Y6" i="49"/>
  <c r="AL4" i="49"/>
  <c r="U18" i="49"/>
  <c r="Q22" i="49"/>
  <c r="N28" i="49"/>
  <c r="K20" i="49"/>
  <c r="H18" i="49"/>
  <c r="AI25" i="49"/>
  <c r="AF23" i="49"/>
  <c r="V11" i="49"/>
  <c r="N9" i="49"/>
  <c r="H30" i="49"/>
  <c r="M10" i="49"/>
  <c r="L22" i="49"/>
  <c r="P3" i="49"/>
  <c r="I9" i="49"/>
  <c r="X5" i="49"/>
  <c r="Q26" i="49"/>
  <c r="N2" i="49"/>
  <c r="K9" i="49"/>
  <c r="AM19" i="49"/>
  <c r="V27" i="49"/>
  <c r="O10" i="49"/>
  <c r="I5" i="49"/>
  <c r="AC9" i="49"/>
  <c r="R21" i="49"/>
  <c r="L7" i="49"/>
  <c r="E9" i="49"/>
  <c r="AR24" i="49"/>
  <c r="E15" i="49"/>
  <c r="AR8" i="49"/>
  <c r="AO2" i="49"/>
  <c r="E11" i="49"/>
  <c r="AS7" i="49"/>
  <c r="AS30" i="49"/>
  <c r="G23" i="49"/>
  <c r="AS20" i="49"/>
  <c r="C18" i="49"/>
  <c r="H5" i="49"/>
  <c r="AR20" i="49"/>
  <c r="B25" i="49"/>
  <c r="B3" i="49"/>
  <c r="B2" i="49"/>
  <c r="E25" i="49"/>
  <c r="AO15" i="49"/>
  <c r="AO8" i="49"/>
  <c r="G30" i="49"/>
  <c r="C25" i="49"/>
  <c r="AO25" i="49"/>
  <c r="F16" i="49"/>
  <c r="F4" i="49"/>
  <c r="AO10" i="49"/>
  <c r="G12" i="49"/>
  <c r="AP5" i="49"/>
  <c r="AR2" i="49"/>
  <c r="B16" i="49"/>
  <c r="B6" i="49"/>
  <c r="E30" i="49"/>
  <c r="AO12" i="49"/>
  <c r="F29" i="49"/>
  <c r="C30" i="49"/>
  <c r="AQ12" i="49"/>
  <c r="F17" i="49"/>
  <c r="F10" i="49"/>
  <c r="AQ9" i="49"/>
  <c r="AR19" i="49"/>
  <c r="AQ6" i="49"/>
  <c r="F12" i="49"/>
  <c r="AQ2" i="49"/>
  <c r="B29" i="49"/>
  <c r="B12" i="49"/>
  <c r="B17" i="49"/>
  <c r="H9" i="49"/>
  <c r="C12" i="49"/>
  <c r="AO6" i="49"/>
  <c r="E26" i="49"/>
  <c r="AO26" i="49"/>
  <c r="E12" i="49"/>
  <c r="C4" i="49"/>
  <c r="B14" i="49"/>
  <c r="AO16" i="49"/>
  <c r="E4" i="49"/>
  <c r="AO19" i="49"/>
  <c r="F20" i="49"/>
  <c r="AS17" i="49"/>
  <c r="B13" i="49"/>
  <c r="B26" i="49"/>
  <c r="G10" i="49"/>
  <c r="F11" i="49"/>
  <c r="E22" i="49"/>
  <c r="B4" i="49"/>
  <c r="C6" i="49"/>
  <c r="AS14" i="49"/>
  <c r="E18" i="49"/>
  <c r="AR28" i="49"/>
  <c r="E8" i="49"/>
  <c r="G17" i="49"/>
  <c r="AO3" i="49"/>
  <c r="B36" i="49"/>
  <c r="AR29" i="49"/>
  <c r="AR4" i="49"/>
  <c r="AR13" i="49"/>
  <c r="H12" i="49"/>
  <c r="F27" i="49"/>
  <c r="F18" i="49"/>
  <c r="C14" i="49"/>
  <c r="B7" i="49"/>
  <c r="AO11" i="49"/>
  <c r="F8" i="49"/>
  <c r="G2" i="49"/>
  <c r="B15" i="49"/>
  <c r="AQ8" i="49"/>
  <c r="G11" i="49"/>
  <c r="AO9" i="49"/>
  <c r="F22" i="49"/>
  <c r="AS25" i="49"/>
  <c r="B30" i="49"/>
  <c r="AS3" i="49"/>
  <c r="C21" i="49"/>
  <c r="G13" i="49"/>
  <c r="AO14" i="49"/>
  <c r="AS5" i="49"/>
  <c r="E16" i="49"/>
  <c r="AO5" i="49"/>
  <c r="F5" i="49"/>
  <c r="G21" i="49"/>
  <c r="G7" i="49"/>
  <c r="C28" i="49"/>
  <c r="AQ7" i="49"/>
  <c r="H8" i="49"/>
  <c r="AR18" i="49"/>
  <c r="F24" i="49"/>
  <c r="E20" i="49"/>
  <c r="AS16" i="49"/>
  <c r="F13" i="49"/>
  <c r="AR3" i="49"/>
  <c r="AO27" i="49"/>
  <c r="AS28" i="49"/>
  <c r="C15" i="49"/>
  <c r="E29" i="49"/>
  <c r="B22" i="49"/>
  <c r="B21" i="49"/>
  <c r="H14" i="49"/>
  <c r="E10" i="49"/>
  <c r="C3" i="49"/>
  <c r="AS27" i="49"/>
  <c r="E14" i="49"/>
  <c r="AR16" i="49"/>
  <c r="G27" i="49"/>
  <c r="E27" i="49"/>
  <c r="AS11" i="49"/>
  <c r="AR5" i="49"/>
  <c r="G29" i="49"/>
  <c r="C27" i="49"/>
  <c r="AO28" i="49"/>
  <c r="C13" i="49"/>
  <c r="AP6" i="49"/>
  <c r="G6" i="49"/>
  <c r="AQ4" i="49"/>
  <c r="B31" i="49"/>
  <c r="B24" i="49"/>
  <c r="G15" i="49"/>
  <c r="H6" i="49"/>
  <c r="C19" i="49"/>
  <c r="AQ3" i="49"/>
  <c r="AR25" i="49"/>
  <c r="E24" i="49"/>
  <c r="G18" i="49"/>
  <c r="E6" i="49"/>
  <c r="AS15" i="49"/>
  <c r="AS8" i="49"/>
  <c r="F19" i="49"/>
  <c r="C9" i="49"/>
  <c r="AP4" i="49"/>
  <c r="AP8" i="49"/>
  <c r="AS2" i="49"/>
  <c r="B11" i="49"/>
  <c r="G16" i="49"/>
  <c r="F3" i="49"/>
  <c r="C22" i="49"/>
  <c r="AO30" i="49"/>
  <c r="C11" i="49"/>
  <c r="G19" i="49"/>
  <c r="C23" i="49"/>
  <c r="AS19" i="49"/>
  <c r="AP7" i="49"/>
  <c r="B18" i="49"/>
  <c r="B35" i="49"/>
  <c r="AO24" i="49"/>
  <c r="AO29" i="49"/>
  <c r="AS10" i="49"/>
  <c r="G8" i="49"/>
  <c r="AO21" i="49"/>
  <c r="H2" i="49"/>
  <c r="E13" i="49"/>
  <c r="C7" i="49"/>
  <c r="AR12" i="49"/>
  <c r="G3" i="49"/>
  <c r="B10" i="49"/>
  <c r="E7" i="49"/>
  <c r="AO7" i="49"/>
  <c r="AR6" i="49"/>
  <c r="F14" i="49"/>
  <c r="E28" i="49"/>
  <c r="F25" i="49"/>
  <c r="AS12" i="49"/>
  <c r="E23" i="49"/>
  <c r="G28" i="49"/>
  <c r="C20" i="49"/>
  <c r="F21" i="49"/>
  <c r="C26" i="49"/>
  <c r="AS29" i="49"/>
  <c r="E2" i="49"/>
  <c r="B37" i="49"/>
  <c r="F9" i="49"/>
  <c r="AR15" i="49"/>
  <c r="G25" i="49"/>
  <c r="AO17" i="49"/>
  <c r="AP10" i="49"/>
  <c r="B32" i="49"/>
  <c r="AS22" i="49"/>
  <c r="G26" i="49"/>
  <c r="AR22" i="49"/>
  <c r="AO13" i="49"/>
  <c r="AP11" i="49"/>
  <c r="B23" i="49"/>
  <c r="H7" i="49"/>
  <c r="E21" i="49"/>
  <c r="C8" i="49"/>
  <c r="F30" i="49"/>
  <c r="F6" i="49"/>
  <c r="C2" i="49"/>
  <c r="AR11" i="49"/>
  <c r="AS6" i="49"/>
  <c r="AP3" i="49"/>
  <c r="G24" i="49"/>
  <c r="H13" i="49"/>
  <c r="C16" i="49"/>
  <c r="H11" i="49"/>
  <c r="AO23" i="49"/>
  <c r="F23" i="49"/>
  <c r="AR21" i="49"/>
  <c r="C24" i="49"/>
  <c r="AS23" i="49"/>
  <c r="B20" i="49"/>
  <c r="B5" i="49"/>
  <c r="G22" i="49"/>
  <c r="G5" i="49"/>
  <c r="C17" i="49"/>
  <c r="AS21" i="49"/>
  <c r="AR14" i="49"/>
  <c r="G4" i="49"/>
  <c r="AR30" i="49"/>
  <c r="E3" i="49"/>
  <c r="E17" i="49"/>
  <c r="AO20" i="49"/>
  <c r="E5" i="49"/>
  <c r="AQ5" i="49"/>
  <c r="AS18" i="49"/>
  <c r="AR27" i="49"/>
  <c r="C29" i="49"/>
  <c r="B9" i="49"/>
  <c r="B33" i="49"/>
  <c r="G14" i="49"/>
  <c r="B8" i="49"/>
  <c r="AQ13" i="49"/>
  <c r="AS4" i="49"/>
  <c r="AR10" i="49"/>
  <c r="F7" i="49"/>
  <c r="AR7" i="49"/>
  <c r="AP9" i="49"/>
  <c r="AS24" i="49"/>
  <c r="B34" i="49"/>
  <c r="F28" i="49"/>
  <c r="AO18" i="49"/>
  <c r="AR9" i="49"/>
  <c r="C5" i="49"/>
  <c r="H10" i="49"/>
  <c r="AP12" i="49"/>
  <c r="AO4" i="49"/>
  <c r="F26" i="49"/>
  <c r="AR23" i="49"/>
  <c r="AR17" i="49"/>
  <c r="G9" i="49"/>
  <c r="E19" i="49"/>
  <c r="AS13" i="49"/>
  <c r="B27" i="49"/>
  <c r="AS26" i="49"/>
  <c r="G20" i="49"/>
  <c r="B28" i="49"/>
  <c r="AS9" i="49"/>
  <c r="B19" i="49"/>
  <c r="AR26" i="49"/>
  <c r="F2" i="49"/>
  <c r="F15" i="49"/>
  <c r="AO22" i="49"/>
  <c r="C10" i="49"/>
  <c r="E43" i="46" l="1"/>
  <c r="F26" i="46"/>
  <c r="E67" i="43"/>
  <c r="E62" i="43"/>
  <c r="F62" i="43" s="1"/>
  <c r="F61" i="43"/>
  <c r="H36" i="44"/>
  <c r="H38" i="43"/>
  <c r="E62" i="39"/>
  <c r="F62" i="39" s="1"/>
  <c r="E67" i="39"/>
  <c r="F61" i="39"/>
  <c r="H51" i="39"/>
  <c r="H57" i="38"/>
  <c r="H53" i="38"/>
  <c r="I53" i="38" s="1"/>
  <c r="I51" i="38"/>
  <c r="F64" i="41"/>
  <c r="F108" i="38"/>
  <c r="E110" i="38"/>
  <c r="F108" i="39"/>
  <c r="E110" i="39"/>
  <c r="F110" i="39" s="1"/>
  <c r="I97" i="36"/>
  <c r="H109" i="36"/>
  <c r="I109" i="36" s="1"/>
  <c r="H69" i="39"/>
  <c r="H71" i="38"/>
  <c r="I71" i="38" s="1"/>
  <c r="I69" i="38"/>
  <c r="H75" i="38"/>
  <c r="E110" i="42"/>
  <c r="F110" i="42" s="1"/>
  <c r="H72" i="39"/>
  <c r="H74" i="38"/>
  <c r="I72" i="38"/>
  <c r="G63" i="39"/>
  <c r="G65" i="38"/>
  <c r="F26" i="45"/>
  <c r="E43" i="45"/>
  <c r="F108" i="43"/>
  <c r="E110" i="43"/>
  <c r="F110" i="43" s="1"/>
  <c r="F66" i="42"/>
  <c r="E68" i="42"/>
  <c r="F68" i="42" s="1"/>
  <c r="F108" i="41"/>
  <c r="E67" i="41"/>
  <c r="F61" i="41"/>
  <c r="H21" i="39"/>
  <c r="H22" i="38"/>
  <c r="I21" i="38"/>
  <c r="F64" i="44"/>
  <c r="H60" i="39"/>
  <c r="H66" i="38"/>
  <c r="I60" i="38"/>
  <c r="E43" i="37"/>
  <c r="F26" i="37"/>
  <c r="F98" i="39"/>
  <c r="H64" i="39"/>
  <c r="I64" i="38"/>
  <c r="F98" i="38"/>
  <c r="G71" i="38"/>
  <c r="G69" i="39"/>
  <c r="G75" i="38"/>
  <c r="G77" i="38" s="1"/>
  <c r="F108" i="37"/>
  <c r="E110" i="37"/>
  <c r="F110" i="37" s="1"/>
  <c r="I96" i="36"/>
  <c r="H98" i="36"/>
  <c r="I98" i="36" s="1"/>
  <c r="H108" i="36"/>
  <c r="H95" i="38"/>
  <c r="I95" i="38" s="1"/>
  <c r="I93" i="38"/>
  <c r="H93" i="39"/>
  <c r="G52" i="40"/>
  <c r="G58" i="39"/>
  <c r="I54" i="38"/>
  <c r="H56" i="38"/>
  <c r="H54" i="39"/>
  <c r="D110" i="38"/>
  <c r="I66" i="36"/>
  <c r="G93" i="39"/>
  <c r="G95" i="38"/>
  <c r="F26" i="47"/>
  <c r="F26" i="44"/>
  <c r="E43" i="44"/>
  <c r="E45" i="43"/>
  <c r="E67" i="40"/>
  <c r="E62" i="40"/>
  <c r="F62" i="40" s="1"/>
  <c r="F61" i="40"/>
  <c r="I97" i="37"/>
  <c r="H109" i="37"/>
  <c r="I75" i="36"/>
  <c r="H77" i="36"/>
  <c r="I77" i="36" s="1"/>
  <c r="H103" i="40"/>
  <c r="I103" i="39"/>
  <c r="E77" i="41"/>
  <c r="F77" i="41" s="1"/>
  <c r="F43" i="39"/>
  <c r="C138" i="39"/>
  <c r="E44" i="39"/>
  <c r="I31" i="39"/>
  <c r="H31" i="40"/>
  <c r="G72" i="39"/>
  <c r="G74" i="38"/>
  <c r="G28" i="39"/>
  <c r="G30" i="38"/>
  <c r="G32" i="38" s="1"/>
  <c r="I88" i="38"/>
  <c r="H88" i="39"/>
  <c r="G108" i="37"/>
  <c r="G98" i="37"/>
  <c r="I22" i="37"/>
  <c r="H106" i="38"/>
  <c r="H100" i="39"/>
  <c r="I100" i="38"/>
  <c r="H33" i="38"/>
  <c r="H35" i="37"/>
  <c r="I33" i="37"/>
  <c r="H108" i="37"/>
  <c r="H98" i="37"/>
  <c r="I96" i="37"/>
  <c r="I105" i="37"/>
  <c r="H107" i="37"/>
  <c r="H42" i="38"/>
  <c r="I42" i="37"/>
  <c r="E44" i="47"/>
  <c r="C138" i="47"/>
  <c r="F43" i="47"/>
  <c r="F66" i="47"/>
  <c r="E68" i="47"/>
  <c r="F68" i="47" s="1"/>
  <c r="F108" i="45"/>
  <c r="E110" i="45"/>
  <c r="F110" i="45" s="1"/>
  <c r="F66" i="46"/>
  <c r="E65" i="44"/>
  <c r="F65" i="44" s="1"/>
  <c r="F107" i="45"/>
  <c r="F26" i="42"/>
  <c r="E43" i="42"/>
  <c r="F39" i="46"/>
  <c r="F67" i="45"/>
  <c r="E68" i="45"/>
  <c r="F68" i="45" s="1"/>
  <c r="G36" i="43"/>
  <c r="I36" i="43" s="1"/>
  <c r="G38" i="42"/>
  <c r="I38" i="42" s="1"/>
  <c r="F39" i="45"/>
  <c r="I104" i="37"/>
  <c r="H61" i="36"/>
  <c r="E67" i="36"/>
  <c r="E62" i="36"/>
  <c r="F62" i="36" s="1"/>
  <c r="F61" i="36"/>
  <c r="H102" i="40"/>
  <c r="I102" i="39"/>
  <c r="H104" i="39"/>
  <c r="I66" i="37"/>
  <c r="F98" i="36"/>
  <c r="H73" i="41"/>
  <c r="E43" i="40"/>
  <c r="G33" i="38"/>
  <c r="G35" i="37"/>
  <c r="G39" i="37" s="1"/>
  <c r="G43" i="37" s="1"/>
  <c r="G44" i="37" s="1"/>
  <c r="G45" i="37" s="1"/>
  <c r="I105" i="36"/>
  <c r="H107" i="36"/>
  <c r="I107" i="36" s="1"/>
  <c r="E110" i="46"/>
  <c r="F110" i="46" s="1"/>
  <c r="E65" i="41"/>
  <c r="F65" i="41" s="1"/>
  <c r="G92" i="38"/>
  <c r="G90" i="39"/>
  <c r="H52" i="39"/>
  <c r="H58" i="38"/>
  <c r="I58" i="38" s="1"/>
  <c r="I52" i="38"/>
  <c r="H91" i="40"/>
  <c r="I91" i="39"/>
  <c r="G85" i="39"/>
  <c r="G97" i="38"/>
  <c r="H65" i="38"/>
  <c r="I63" i="38"/>
  <c r="H63" i="39"/>
  <c r="F98" i="37"/>
  <c r="H59" i="37"/>
  <c r="I59" i="37" s="1"/>
  <c r="I57" i="37"/>
  <c r="G22" i="39"/>
  <c r="G21" i="40"/>
  <c r="H40" i="38"/>
  <c r="I40" i="37"/>
  <c r="G23" i="39"/>
  <c r="G25" i="38"/>
  <c r="G26" i="38" s="1"/>
  <c r="I95" i="37"/>
  <c r="H76" i="37"/>
  <c r="I70" i="37"/>
  <c r="H71" i="37"/>
  <c r="I71" i="37" s="1"/>
  <c r="H70" i="38"/>
  <c r="E43" i="38"/>
  <c r="H97" i="38"/>
  <c r="G108" i="36"/>
  <c r="G110" i="36" s="1"/>
  <c r="I35" i="36"/>
  <c r="H39" i="36"/>
  <c r="I39" i="36" s="1"/>
  <c r="I30" i="36"/>
  <c r="H32" i="36"/>
  <c r="I32" i="36" s="1"/>
  <c r="G53" i="39"/>
  <c r="G51" i="40"/>
  <c r="G87" i="39"/>
  <c r="G89" i="38"/>
  <c r="H105" i="38"/>
  <c r="H101" i="38"/>
  <c r="I101" i="38" s="1"/>
  <c r="H99" i="39"/>
  <c r="I99" i="38"/>
  <c r="H94" i="39"/>
  <c r="I94" i="38"/>
  <c r="E77" i="36"/>
  <c r="F77" i="36" s="1"/>
  <c r="H55" i="39"/>
  <c r="I55" i="38"/>
  <c r="F98" i="47"/>
  <c r="E67" i="46"/>
  <c r="F67" i="46" s="1"/>
  <c r="F61" i="46"/>
  <c r="F98" i="41"/>
  <c r="E67" i="44"/>
  <c r="F59" i="41"/>
  <c r="I104" i="38"/>
  <c r="E43" i="36"/>
  <c r="F26" i="36"/>
  <c r="F26" i="41"/>
  <c r="E43" i="41"/>
  <c r="I57" i="36"/>
  <c r="H59" i="36"/>
  <c r="I59" i="36" s="1"/>
  <c r="D43" i="43"/>
  <c r="I90" i="38"/>
  <c r="H90" i="39"/>
  <c r="H92" i="38"/>
  <c r="I92" i="38" s="1"/>
  <c r="G100" i="38"/>
  <c r="G106" i="37"/>
  <c r="G109" i="37" s="1"/>
  <c r="H84" i="39"/>
  <c r="H86" i="38"/>
  <c r="I86" i="38" s="1"/>
  <c r="H96" i="38"/>
  <c r="I84" i="38"/>
  <c r="G96" i="38"/>
  <c r="G84" i="39"/>
  <c r="G86" i="38"/>
  <c r="G61" i="39"/>
  <c r="G67" i="38"/>
  <c r="H89" i="38"/>
  <c r="I89" i="38" s="1"/>
  <c r="I87" i="38"/>
  <c r="H87" i="39"/>
  <c r="G60" i="39"/>
  <c r="G62" i="38"/>
  <c r="G66" i="38"/>
  <c r="H41" i="38"/>
  <c r="I41" i="37"/>
  <c r="G104" i="39"/>
  <c r="G102" i="40"/>
  <c r="H85" i="40"/>
  <c r="I85" i="39"/>
  <c r="H97" i="39"/>
  <c r="I26" i="36"/>
  <c r="I106" i="37"/>
  <c r="G99" i="39"/>
  <c r="G105" i="38"/>
  <c r="G101" i="38"/>
  <c r="H28" i="38"/>
  <c r="H30" i="37"/>
  <c r="I28" i="37"/>
  <c r="G70" i="40"/>
  <c r="G76" i="39"/>
  <c r="I101" i="37"/>
  <c r="G54" i="39"/>
  <c r="G56" i="38"/>
  <c r="H23" i="38"/>
  <c r="H25" i="37"/>
  <c r="I23" i="37"/>
  <c r="D155" i="32"/>
  <c r="B155" i="32"/>
  <c r="G43" i="38" l="1"/>
  <c r="G44" i="38" s="1"/>
  <c r="G45" i="38" s="1"/>
  <c r="I25" i="37"/>
  <c r="H26" i="37"/>
  <c r="H32" i="37"/>
  <c r="I32" i="37" s="1"/>
  <c r="I30" i="37"/>
  <c r="G96" i="39"/>
  <c r="G86" i="39"/>
  <c r="G84" i="40"/>
  <c r="G87" i="40"/>
  <c r="G89" i="39"/>
  <c r="F43" i="38"/>
  <c r="C138" i="38"/>
  <c r="E44" i="38"/>
  <c r="G33" i="39"/>
  <c r="G35" i="38"/>
  <c r="G39" i="38" s="1"/>
  <c r="I61" i="36"/>
  <c r="H61" i="37"/>
  <c r="H67" i="36"/>
  <c r="H62" i="36"/>
  <c r="I62" i="36" s="1"/>
  <c r="H59" i="38"/>
  <c r="I59" i="38" s="1"/>
  <c r="I57" i="38"/>
  <c r="H38" i="44"/>
  <c r="H36" i="45"/>
  <c r="G62" i="39"/>
  <c r="G60" i="40"/>
  <c r="G66" i="39"/>
  <c r="G68" i="39" s="1"/>
  <c r="H84" i="40"/>
  <c r="I84" i="39"/>
  <c r="H96" i="39"/>
  <c r="H86" i="39"/>
  <c r="I86" i="39" s="1"/>
  <c r="G51" i="41"/>
  <c r="G53" i="40"/>
  <c r="H76" i="38"/>
  <c r="I76" i="38" s="1"/>
  <c r="I70" i="38"/>
  <c r="H70" i="39"/>
  <c r="H71" i="39" s="1"/>
  <c r="I71" i="39" s="1"/>
  <c r="H40" i="39"/>
  <c r="I40" i="38"/>
  <c r="H91" i="41"/>
  <c r="I91" i="40"/>
  <c r="G92" i="39"/>
  <c r="G90" i="40"/>
  <c r="C138" i="42"/>
  <c r="F43" i="42"/>
  <c r="E44" i="42"/>
  <c r="F44" i="47"/>
  <c r="E45" i="47"/>
  <c r="F45" i="47" s="1"/>
  <c r="G110" i="37"/>
  <c r="G28" i="40"/>
  <c r="G30" i="39"/>
  <c r="G32" i="39" s="1"/>
  <c r="G69" i="40"/>
  <c r="G71" i="39"/>
  <c r="G75" i="39"/>
  <c r="G77" i="39" s="1"/>
  <c r="I64" i="39"/>
  <c r="H64" i="40"/>
  <c r="I21" i="39"/>
  <c r="H21" i="40"/>
  <c r="H22" i="39"/>
  <c r="G65" i="39"/>
  <c r="G63" i="40"/>
  <c r="H69" i="40"/>
  <c r="I69" i="39"/>
  <c r="H75" i="39"/>
  <c r="H51" i="40"/>
  <c r="I51" i="39"/>
  <c r="H57" i="39"/>
  <c r="H53" i="39"/>
  <c r="I53" i="39" s="1"/>
  <c r="I97" i="39"/>
  <c r="H109" i="39"/>
  <c r="F67" i="44"/>
  <c r="E68" i="44"/>
  <c r="F68" i="44" s="1"/>
  <c r="H105" i="39"/>
  <c r="H101" i="39"/>
  <c r="H99" i="40"/>
  <c r="I99" i="39"/>
  <c r="I76" i="37"/>
  <c r="H77" i="37"/>
  <c r="I77" i="37" s="1"/>
  <c r="H52" i="40"/>
  <c r="I52" i="39"/>
  <c r="H58" i="39"/>
  <c r="I58" i="39" s="1"/>
  <c r="H31" i="41"/>
  <c r="I31" i="40"/>
  <c r="H60" i="40"/>
  <c r="H66" i="39"/>
  <c r="I60" i="39"/>
  <c r="F67" i="43"/>
  <c r="E68" i="43"/>
  <c r="F68" i="43" s="1"/>
  <c r="H28" i="39"/>
  <c r="I28" i="38"/>
  <c r="H30" i="38"/>
  <c r="H90" i="40"/>
  <c r="I90" i="39"/>
  <c r="H92" i="39"/>
  <c r="I92" i="39" s="1"/>
  <c r="I65" i="38"/>
  <c r="H100" i="40"/>
  <c r="H106" i="39"/>
  <c r="G70" i="41"/>
  <c r="G76" i="40"/>
  <c r="H43" i="36"/>
  <c r="H85" i="41"/>
  <c r="H41" i="39"/>
  <c r="I41" i="38"/>
  <c r="H89" i="39"/>
  <c r="I89" i="39" s="1"/>
  <c r="I87" i="39"/>
  <c r="H87" i="40"/>
  <c r="G67" i="39"/>
  <c r="G61" i="40"/>
  <c r="E44" i="41"/>
  <c r="F43" i="41"/>
  <c r="C138" i="41"/>
  <c r="H94" i="40"/>
  <c r="I94" i="39"/>
  <c r="I105" i="38"/>
  <c r="H107" i="38"/>
  <c r="G107" i="37"/>
  <c r="I107" i="37" s="1"/>
  <c r="G22" i="40"/>
  <c r="G21" i="41"/>
  <c r="I73" i="41"/>
  <c r="H73" i="42"/>
  <c r="I104" i="39"/>
  <c r="E68" i="46"/>
  <c r="F68" i="46" s="1"/>
  <c r="H39" i="37"/>
  <c r="I39" i="37" s="1"/>
  <c r="I35" i="37"/>
  <c r="H88" i="40"/>
  <c r="I88" i="39"/>
  <c r="E45" i="39"/>
  <c r="F45" i="39" s="1"/>
  <c r="F44" i="39"/>
  <c r="H56" i="39"/>
  <c r="H54" i="40"/>
  <c r="I54" i="39"/>
  <c r="G52" i="41"/>
  <c r="G58" i="40"/>
  <c r="I66" i="38"/>
  <c r="F43" i="45"/>
  <c r="C138" i="45"/>
  <c r="E44" i="45"/>
  <c r="I75" i="38"/>
  <c r="F110" i="38"/>
  <c r="G99" i="40"/>
  <c r="G105" i="39"/>
  <c r="H102" i="41"/>
  <c r="H104" i="40"/>
  <c r="I104" i="40" s="1"/>
  <c r="I102" i="40"/>
  <c r="H110" i="37"/>
  <c r="I110" i="37" s="1"/>
  <c r="I108" i="37"/>
  <c r="C138" i="37"/>
  <c r="H138" i="37" s="1"/>
  <c r="B138" i="38" s="1"/>
  <c r="F43" i="37"/>
  <c r="E44" i="37"/>
  <c r="I22" i="38"/>
  <c r="H72" i="40"/>
  <c r="I72" i="39"/>
  <c r="H74" i="39"/>
  <c r="H23" i="39"/>
  <c r="H25" i="38"/>
  <c r="I25" i="38" s="1"/>
  <c r="I23" i="38"/>
  <c r="G108" i="38"/>
  <c r="G98" i="38"/>
  <c r="C138" i="36"/>
  <c r="H138" i="36" s="1"/>
  <c r="B138" i="37" s="1"/>
  <c r="E44" i="36"/>
  <c r="F43" i="36"/>
  <c r="E44" i="40"/>
  <c r="C138" i="40"/>
  <c r="F43" i="40"/>
  <c r="G36" i="44"/>
  <c r="G38" i="43"/>
  <c r="I38" i="43" s="1"/>
  <c r="G54" i="40"/>
  <c r="G57" i="40" s="1"/>
  <c r="G59" i="40" s="1"/>
  <c r="G56" i="39"/>
  <c r="G102" i="41"/>
  <c r="G104" i="40"/>
  <c r="G68" i="38"/>
  <c r="H98" i="38"/>
  <c r="I96" i="38"/>
  <c r="H108" i="38"/>
  <c r="G100" i="39"/>
  <c r="G106" i="38"/>
  <c r="I106" i="38" s="1"/>
  <c r="D44" i="43"/>
  <c r="F43" i="43"/>
  <c r="H55" i="40"/>
  <c r="I55" i="39"/>
  <c r="G57" i="39"/>
  <c r="G59" i="39" s="1"/>
  <c r="I97" i="38"/>
  <c r="H109" i="38"/>
  <c r="G23" i="40"/>
  <c r="G25" i="39"/>
  <c r="G26" i="39" s="1"/>
  <c r="H63" i="40"/>
  <c r="I63" i="39"/>
  <c r="H65" i="39"/>
  <c r="I65" i="39" s="1"/>
  <c r="G85" i="40"/>
  <c r="G97" i="39"/>
  <c r="F67" i="36"/>
  <c r="E68" i="36"/>
  <c r="F68" i="36" s="1"/>
  <c r="H42" i="39"/>
  <c r="I42" i="38"/>
  <c r="I98" i="37"/>
  <c r="H35" i="38"/>
  <c r="H33" i="39"/>
  <c r="I33" i="38"/>
  <c r="G74" i="39"/>
  <c r="G72" i="40"/>
  <c r="H103" i="41"/>
  <c r="I103" i="40"/>
  <c r="I109" i="37"/>
  <c r="F67" i="40"/>
  <c r="E68" i="40"/>
  <c r="F68" i="40" s="1"/>
  <c r="E44" i="44"/>
  <c r="F43" i="44"/>
  <c r="C138" i="44"/>
  <c r="G93" i="40"/>
  <c r="G95" i="39"/>
  <c r="I56" i="38"/>
  <c r="H95" i="39"/>
  <c r="I95" i="39" s="1"/>
  <c r="H93" i="40"/>
  <c r="I93" i="39"/>
  <c r="I108" i="36"/>
  <c r="H110" i="36"/>
  <c r="I110" i="36" s="1"/>
  <c r="F67" i="41"/>
  <c r="E68" i="41"/>
  <c r="F68" i="41" s="1"/>
  <c r="I74" i="38"/>
  <c r="F67" i="39"/>
  <c r="E68" i="39"/>
  <c r="F68" i="39" s="1"/>
  <c r="C138" i="46"/>
  <c r="F43" i="46"/>
  <c r="E44" i="46"/>
  <c r="H120" i="32"/>
  <c r="G120" i="32"/>
  <c r="H119" i="32"/>
  <c r="G119" i="32"/>
  <c r="H117" i="32"/>
  <c r="G117" i="32"/>
  <c r="H116" i="32"/>
  <c r="G116" i="32"/>
  <c r="H111" i="32"/>
  <c r="G111" i="32"/>
  <c r="H110" i="32"/>
  <c r="G110" i="32"/>
  <c r="H108" i="32"/>
  <c r="G108" i="32"/>
  <c r="H107" i="32"/>
  <c r="G107" i="32"/>
  <c r="H105" i="32"/>
  <c r="G105" i="32"/>
  <c r="H104" i="32"/>
  <c r="G104" i="32"/>
  <c r="H102" i="32"/>
  <c r="G102" i="32"/>
  <c r="H101" i="32"/>
  <c r="G101" i="32"/>
  <c r="H99" i="32"/>
  <c r="G99" i="32"/>
  <c r="H98" i="32"/>
  <c r="G98" i="32"/>
  <c r="F92" i="32"/>
  <c r="F91" i="32"/>
  <c r="F90" i="32"/>
  <c r="F89" i="32"/>
  <c r="F88" i="32"/>
  <c r="F87" i="32"/>
  <c r="H75" i="32"/>
  <c r="G75" i="32"/>
  <c r="H74" i="32"/>
  <c r="G74" i="32"/>
  <c r="H72" i="32"/>
  <c r="G72" i="32"/>
  <c r="H71" i="32"/>
  <c r="G71" i="32"/>
  <c r="H66" i="32"/>
  <c r="G66" i="32"/>
  <c r="H65" i="32"/>
  <c r="G65" i="32"/>
  <c r="H63" i="32"/>
  <c r="G63" i="32"/>
  <c r="H62" i="32"/>
  <c r="G62" i="32"/>
  <c r="H57" i="32"/>
  <c r="G57" i="32"/>
  <c r="H56" i="32"/>
  <c r="G56" i="32"/>
  <c r="H54" i="32"/>
  <c r="G54" i="32"/>
  <c r="H53" i="32"/>
  <c r="G53" i="32"/>
  <c r="H44" i="32"/>
  <c r="G44" i="32"/>
  <c r="H43" i="32"/>
  <c r="G43" i="32"/>
  <c r="H42" i="32"/>
  <c r="G42" i="32"/>
  <c r="H38" i="32"/>
  <c r="G38" i="32"/>
  <c r="H35" i="32"/>
  <c r="G35" i="32"/>
  <c r="H33" i="32"/>
  <c r="G33" i="32"/>
  <c r="H31" i="32"/>
  <c r="G31" i="32"/>
  <c r="H30" i="32"/>
  <c r="G30" i="32"/>
  <c r="H25" i="32"/>
  <c r="G25" i="32"/>
  <c r="H23" i="32"/>
  <c r="G23" i="32"/>
  <c r="F44" i="45" l="1"/>
  <c r="E45" i="45"/>
  <c r="F45" i="45" s="1"/>
  <c r="H56" i="40"/>
  <c r="I56" i="40" s="1"/>
  <c r="I54" i="40"/>
  <c r="H54" i="41"/>
  <c r="G61" i="41"/>
  <c r="G67" i="40"/>
  <c r="G70" i="42"/>
  <c r="G76" i="41"/>
  <c r="I105" i="39"/>
  <c r="H107" i="39"/>
  <c r="I107" i="39" s="1"/>
  <c r="H51" i="41"/>
  <c r="H53" i="40"/>
  <c r="I53" i="40" s="1"/>
  <c r="H57" i="40"/>
  <c r="I51" i="40"/>
  <c r="E45" i="44"/>
  <c r="F45" i="44" s="1"/>
  <c r="F44" i="44"/>
  <c r="G23" i="41"/>
  <c r="G25" i="40"/>
  <c r="G26" i="40" s="1"/>
  <c r="I98" i="38"/>
  <c r="G107" i="38"/>
  <c r="G36" i="45"/>
  <c r="G38" i="44"/>
  <c r="G110" i="38"/>
  <c r="I74" i="39"/>
  <c r="H26" i="38"/>
  <c r="I102" i="41"/>
  <c r="H102" i="42"/>
  <c r="H104" i="41"/>
  <c r="I56" i="39"/>
  <c r="H88" i="41"/>
  <c r="I88" i="40"/>
  <c r="G109" i="38"/>
  <c r="I107" i="38"/>
  <c r="H85" i="42"/>
  <c r="I85" i="41"/>
  <c r="G63" i="41"/>
  <c r="G65" i="40"/>
  <c r="G28" i="41"/>
  <c r="G30" i="40"/>
  <c r="G32" i="40" s="1"/>
  <c r="E45" i="42"/>
  <c r="F45" i="42" s="1"/>
  <c r="F44" i="42"/>
  <c r="H40" i="40"/>
  <c r="I40" i="39"/>
  <c r="H108" i="39"/>
  <c r="H98" i="39"/>
  <c r="I96" i="39"/>
  <c r="G66" i="40"/>
  <c r="G62" i="40"/>
  <c r="G60" i="41"/>
  <c r="I38" i="44"/>
  <c r="H43" i="37"/>
  <c r="I26" i="37"/>
  <c r="H39" i="38"/>
  <c r="I39" i="38" s="1"/>
  <c r="I35" i="38"/>
  <c r="G102" i="42"/>
  <c r="G104" i="41"/>
  <c r="F44" i="40"/>
  <c r="E45" i="40"/>
  <c r="F45" i="40" s="1"/>
  <c r="H25" i="39"/>
  <c r="I25" i="39" s="1"/>
  <c r="H23" i="40"/>
  <c r="I23" i="39"/>
  <c r="G101" i="40"/>
  <c r="G99" i="41"/>
  <c r="G105" i="40"/>
  <c r="I94" i="40"/>
  <c r="H94" i="41"/>
  <c r="H97" i="40"/>
  <c r="H32" i="38"/>
  <c r="I32" i="38" s="1"/>
  <c r="I30" i="38"/>
  <c r="H66" i="40"/>
  <c r="I60" i="40"/>
  <c r="H60" i="41"/>
  <c r="H69" i="41"/>
  <c r="H75" i="40"/>
  <c r="I69" i="40"/>
  <c r="G90" i="41"/>
  <c r="G92" i="40"/>
  <c r="H38" i="45"/>
  <c r="I36" i="45"/>
  <c r="H36" i="46"/>
  <c r="H138" i="38"/>
  <c r="B138" i="39" s="1"/>
  <c r="H138" i="39" s="1"/>
  <c r="B138" i="40" s="1"/>
  <c r="G84" i="41"/>
  <c r="G96" i="40"/>
  <c r="G86" i="40"/>
  <c r="E45" i="46"/>
  <c r="F45" i="46" s="1"/>
  <c r="F44" i="46"/>
  <c r="H95" i="40"/>
  <c r="I93" i="40"/>
  <c r="H93" i="41"/>
  <c r="G95" i="40"/>
  <c r="G93" i="41"/>
  <c r="H103" i="42"/>
  <c r="I103" i="41"/>
  <c r="I63" i="40"/>
  <c r="H65" i="40"/>
  <c r="I65" i="40" s="1"/>
  <c r="H63" i="41"/>
  <c r="I109" i="38"/>
  <c r="H55" i="41"/>
  <c r="I55" i="40"/>
  <c r="G106" i="39"/>
  <c r="I106" i="39" s="1"/>
  <c r="G100" i="40"/>
  <c r="E45" i="36"/>
  <c r="F45" i="36" s="1"/>
  <c r="F44" i="36"/>
  <c r="F44" i="37"/>
  <c r="E45" i="37"/>
  <c r="F45" i="37" s="1"/>
  <c r="G101" i="39"/>
  <c r="H77" i="38"/>
  <c r="I77" i="38" s="1"/>
  <c r="G58" i="41"/>
  <c r="G52" i="42"/>
  <c r="G22" i="41"/>
  <c r="G21" i="42"/>
  <c r="H87" i="41"/>
  <c r="H89" i="40"/>
  <c r="I87" i="40"/>
  <c r="I41" i="39"/>
  <c r="H41" i="40"/>
  <c r="I43" i="36"/>
  <c r="H44" i="36"/>
  <c r="I100" i="39"/>
  <c r="H30" i="39"/>
  <c r="H28" i="40"/>
  <c r="I28" i="39"/>
  <c r="H31" i="42"/>
  <c r="I31" i="41"/>
  <c r="H52" i="41"/>
  <c r="H58" i="40"/>
  <c r="I58" i="40" s="1"/>
  <c r="I52" i="40"/>
  <c r="H105" i="40"/>
  <c r="H101" i="40"/>
  <c r="H99" i="41"/>
  <c r="I99" i="40"/>
  <c r="H59" i="39"/>
  <c r="I59" i="39" s="1"/>
  <c r="I57" i="39"/>
  <c r="I75" i="39"/>
  <c r="H77" i="39"/>
  <c r="I77" i="39" s="1"/>
  <c r="I64" i="40"/>
  <c r="H64" i="41"/>
  <c r="G69" i="41"/>
  <c r="G75" i="40"/>
  <c r="G77" i="40" s="1"/>
  <c r="G71" i="40"/>
  <c r="H76" i="39"/>
  <c r="I76" i="39" s="1"/>
  <c r="I70" i="39"/>
  <c r="H70" i="40"/>
  <c r="I67" i="36"/>
  <c r="H68" i="36"/>
  <c r="I68" i="36" s="1"/>
  <c r="G33" i="40"/>
  <c r="G35" i="39"/>
  <c r="G39" i="39" s="1"/>
  <c r="G43" i="39" s="1"/>
  <c r="G44" i="39" s="1"/>
  <c r="G45" i="39" s="1"/>
  <c r="G108" i="39"/>
  <c r="G98" i="39"/>
  <c r="G72" i="41"/>
  <c r="G74" i="40"/>
  <c r="D45" i="43"/>
  <c r="F45" i="43" s="1"/>
  <c r="F44" i="43"/>
  <c r="H21" i="41"/>
  <c r="I21" i="40"/>
  <c r="H22" i="40"/>
  <c r="H33" i="40"/>
  <c r="H35" i="39"/>
  <c r="I33" i="39"/>
  <c r="I42" i="39"/>
  <c r="H42" i="40"/>
  <c r="G85" i="41"/>
  <c r="G97" i="40"/>
  <c r="H110" i="38"/>
  <c r="I110" i="38" s="1"/>
  <c r="I108" i="38"/>
  <c r="G54" i="41"/>
  <c r="G57" i="41" s="1"/>
  <c r="G59" i="41" s="1"/>
  <c r="G56" i="40"/>
  <c r="H138" i="40"/>
  <c r="B138" i="41" s="1"/>
  <c r="H138" i="41" s="1"/>
  <c r="B138" i="42" s="1"/>
  <c r="H138" i="42" s="1"/>
  <c r="B138" i="43" s="1"/>
  <c r="H138" i="43" s="1"/>
  <c r="B138" i="44" s="1"/>
  <c r="H138" i="44" s="1"/>
  <c r="H72" i="41"/>
  <c r="I72" i="40"/>
  <c r="H74" i="40"/>
  <c r="I74" i="40" s="1"/>
  <c r="G107" i="39"/>
  <c r="I73" i="42"/>
  <c r="H73" i="43"/>
  <c r="F44" i="41"/>
  <c r="E45" i="41"/>
  <c r="F45" i="41" s="1"/>
  <c r="I85" i="40"/>
  <c r="H106" i="40"/>
  <c r="I100" i="40"/>
  <c r="H100" i="41"/>
  <c r="H90" i="41"/>
  <c r="H92" i="40"/>
  <c r="I92" i="40" s="1"/>
  <c r="H90" i="42"/>
  <c r="I90" i="40"/>
  <c r="I66" i="39"/>
  <c r="I101" i="39"/>
  <c r="I22" i="39"/>
  <c r="H26" i="39"/>
  <c r="I91" i="41"/>
  <c r="H91" i="42"/>
  <c r="G51" i="42"/>
  <c r="G53" i="41"/>
  <c r="H84" i="41"/>
  <c r="I84" i="40"/>
  <c r="H96" i="40"/>
  <c r="H86" i="40"/>
  <c r="I86" i="40" s="1"/>
  <c r="I36" i="44"/>
  <c r="H67" i="37"/>
  <c r="I61" i="37"/>
  <c r="H61" i="38"/>
  <c r="H62" i="37"/>
  <c r="I62" i="37" s="1"/>
  <c r="E45" i="38"/>
  <c r="F45" i="38" s="1"/>
  <c r="F44" i="38"/>
  <c r="G87" i="41"/>
  <c r="G89" i="40"/>
  <c r="E73" i="32"/>
  <c r="E123" i="32"/>
  <c r="D123" i="32"/>
  <c r="E122" i="32"/>
  <c r="F122" i="32" s="1"/>
  <c r="D122" i="32"/>
  <c r="E121" i="32"/>
  <c r="D121" i="32"/>
  <c r="I120" i="32"/>
  <c r="F120" i="32"/>
  <c r="H121" i="32"/>
  <c r="G121" i="32"/>
  <c r="F119" i="32"/>
  <c r="E118" i="32"/>
  <c r="D118" i="32"/>
  <c r="G123" i="32"/>
  <c r="F117" i="32"/>
  <c r="G122" i="32"/>
  <c r="F116" i="32"/>
  <c r="E114" i="32"/>
  <c r="D114" i="32"/>
  <c r="D126" i="32" s="1"/>
  <c r="E113" i="32"/>
  <c r="D113" i="32"/>
  <c r="D125" i="32" s="1"/>
  <c r="E112" i="32"/>
  <c r="D112" i="32"/>
  <c r="F111" i="32"/>
  <c r="F110" i="32"/>
  <c r="E109" i="32"/>
  <c r="D109" i="32"/>
  <c r="F108" i="32"/>
  <c r="H109" i="32"/>
  <c r="F107" i="32"/>
  <c r="E106" i="32"/>
  <c r="D106" i="32"/>
  <c r="G106" i="32"/>
  <c r="F105" i="32"/>
  <c r="I104" i="32"/>
  <c r="F104" i="32"/>
  <c r="E103" i="32"/>
  <c r="F103" i="32" s="1"/>
  <c r="D103" i="32"/>
  <c r="I102" i="32"/>
  <c r="F102" i="32"/>
  <c r="G103" i="32"/>
  <c r="F101" i="32"/>
  <c r="G100" i="32"/>
  <c r="F100" i="32"/>
  <c r="E100" i="32"/>
  <c r="D100" i="32"/>
  <c r="I99" i="32"/>
  <c r="F99" i="32"/>
  <c r="I98" i="32"/>
  <c r="F98" i="32"/>
  <c r="E91" i="32"/>
  <c r="E90" i="32"/>
  <c r="E89" i="32"/>
  <c r="D78" i="32"/>
  <c r="E77" i="32"/>
  <c r="D77" i="32"/>
  <c r="D76" i="32"/>
  <c r="I75" i="32"/>
  <c r="E75" i="32"/>
  <c r="E76" i="32" s="1"/>
  <c r="G76" i="32"/>
  <c r="F74" i="32"/>
  <c r="D73" i="32"/>
  <c r="G78" i="32"/>
  <c r="E72" i="32"/>
  <c r="F71" i="32"/>
  <c r="D69" i="32"/>
  <c r="D68" i="32"/>
  <c r="D67" i="32"/>
  <c r="E65" i="32"/>
  <c r="F65" i="32" s="1"/>
  <c r="D64" i="32"/>
  <c r="E62" i="32"/>
  <c r="E68" i="32" s="1"/>
  <c r="E60" i="32"/>
  <c r="D60" i="32"/>
  <c r="F60" i="32" s="1"/>
  <c r="E59" i="32"/>
  <c r="E61" i="32" s="1"/>
  <c r="D59" i="32"/>
  <c r="E58" i="32"/>
  <c r="D58" i="32"/>
  <c r="F57" i="32"/>
  <c r="G59" i="32"/>
  <c r="F56" i="32"/>
  <c r="E55" i="32"/>
  <c r="D55" i="32"/>
  <c r="G60" i="32"/>
  <c r="F54" i="32"/>
  <c r="I53" i="32"/>
  <c r="F53" i="32"/>
  <c r="I44" i="32"/>
  <c r="F44" i="32"/>
  <c r="I43" i="32"/>
  <c r="F43" i="32"/>
  <c r="E42" i="32"/>
  <c r="F42" i="32" s="1"/>
  <c r="D41" i="32"/>
  <c r="E40" i="32"/>
  <c r="F40" i="32" s="1"/>
  <c r="D40" i="32"/>
  <c r="I39" i="32"/>
  <c r="F39" i="32"/>
  <c r="I38" i="32"/>
  <c r="H40" i="32"/>
  <c r="G40" i="32"/>
  <c r="F38" i="32"/>
  <c r="E37" i="32"/>
  <c r="F37" i="32" s="1"/>
  <c r="D37" i="32"/>
  <c r="I36" i="32"/>
  <c r="F36" i="32"/>
  <c r="I35" i="32"/>
  <c r="H37" i="32"/>
  <c r="G37" i="32"/>
  <c r="G41" i="32" s="1"/>
  <c r="F35" i="32"/>
  <c r="I33" i="32"/>
  <c r="F33" i="32"/>
  <c r="G32" i="32"/>
  <c r="G34" i="32" s="1"/>
  <c r="E32" i="32"/>
  <c r="F32" i="32" s="1"/>
  <c r="D32" i="32"/>
  <c r="D34" i="32" s="1"/>
  <c r="I31" i="32"/>
  <c r="F31" i="32"/>
  <c r="F30" i="32"/>
  <c r="E27" i="32"/>
  <c r="F27" i="32" s="1"/>
  <c r="D27" i="32"/>
  <c r="I26" i="32"/>
  <c r="H26" i="32"/>
  <c r="G26" i="32"/>
  <c r="F26" i="32"/>
  <c r="H27" i="32"/>
  <c r="G27" i="32"/>
  <c r="F25" i="32"/>
  <c r="E24" i="32"/>
  <c r="D24" i="32"/>
  <c r="D28" i="32" s="1"/>
  <c r="D45" i="32" s="1"/>
  <c r="D46" i="32" s="1"/>
  <c r="D47" i="32" s="1"/>
  <c r="H24" i="32"/>
  <c r="I23" i="32"/>
  <c r="F23" i="32"/>
  <c r="D16" i="32"/>
  <c r="C16" i="32"/>
  <c r="B138" i="47" l="1"/>
  <c r="H138" i="47" s="1"/>
  <c r="B138" i="45"/>
  <c r="H138" i="45" s="1"/>
  <c r="B138" i="46" s="1"/>
  <c r="H138" i="46" s="1"/>
  <c r="H67" i="38"/>
  <c r="I61" i="38"/>
  <c r="H62" i="38"/>
  <c r="I62" i="38" s="1"/>
  <c r="H61" i="39"/>
  <c r="H33" i="41"/>
  <c r="H35" i="40"/>
  <c r="I33" i="40"/>
  <c r="G72" i="42"/>
  <c r="G74" i="41"/>
  <c r="H76" i="40"/>
  <c r="I76" i="40" s="1"/>
  <c r="I70" i="40"/>
  <c r="H70" i="41"/>
  <c r="H31" i="43"/>
  <c r="I31" i="42"/>
  <c r="G21" i="43"/>
  <c r="G22" i="42"/>
  <c r="H75" i="41"/>
  <c r="H71" i="41"/>
  <c r="H69" i="42"/>
  <c r="I69" i="41"/>
  <c r="I66" i="40"/>
  <c r="G28" i="42"/>
  <c r="G30" i="41"/>
  <c r="G32" i="41" s="1"/>
  <c r="H108" i="40"/>
  <c r="I96" i="40"/>
  <c r="H98" i="40"/>
  <c r="H90" i="43"/>
  <c r="H92" i="42"/>
  <c r="G33" i="41"/>
  <c r="G35" i="40"/>
  <c r="G39" i="40" s="1"/>
  <c r="G43" i="40" s="1"/>
  <c r="G44" i="40" s="1"/>
  <c r="G45" i="40" s="1"/>
  <c r="G75" i="41"/>
  <c r="G77" i="41" s="1"/>
  <c r="G69" i="42"/>
  <c r="G71" i="41"/>
  <c r="H99" i="42"/>
  <c r="H105" i="41"/>
  <c r="H101" i="41"/>
  <c r="I99" i="41"/>
  <c r="H45" i="36"/>
  <c r="I45" i="36" s="1"/>
  <c r="I44" i="36"/>
  <c r="H55" i="42"/>
  <c r="I55" i="41"/>
  <c r="G93" i="42"/>
  <c r="G95" i="41"/>
  <c r="I95" i="40"/>
  <c r="G108" i="40"/>
  <c r="G98" i="40"/>
  <c r="H66" i="41"/>
  <c r="I60" i="41"/>
  <c r="H60" i="42"/>
  <c r="G60" i="42"/>
  <c r="G66" i="41"/>
  <c r="G62" i="41"/>
  <c r="I98" i="39"/>
  <c r="H85" i="43"/>
  <c r="H43" i="38"/>
  <c r="I26" i="38"/>
  <c r="G36" i="46"/>
  <c r="G38" i="45"/>
  <c r="G23" i="42"/>
  <c r="G25" i="41"/>
  <c r="G26" i="41" s="1"/>
  <c r="I57" i="40"/>
  <c r="H59" i="40"/>
  <c r="I59" i="40" s="1"/>
  <c r="G61" i="42"/>
  <c r="G67" i="41"/>
  <c r="G87" i="42"/>
  <c r="G89" i="41"/>
  <c r="H100" i="42"/>
  <c r="H106" i="41"/>
  <c r="I72" i="41"/>
  <c r="H74" i="41"/>
  <c r="I74" i="41" s="1"/>
  <c r="H72" i="42"/>
  <c r="I42" i="40"/>
  <c r="H42" i="41"/>
  <c r="H103" i="43"/>
  <c r="I103" i="42"/>
  <c r="H36" i="47"/>
  <c r="H38" i="46"/>
  <c r="I36" i="46"/>
  <c r="G92" i="41"/>
  <c r="G90" i="42"/>
  <c r="H94" i="42"/>
  <c r="I94" i="41"/>
  <c r="H40" i="41"/>
  <c r="I40" i="40"/>
  <c r="I67" i="37"/>
  <c r="H68" i="37"/>
  <c r="I68" i="37" s="1"/>
  <c r="G51" i="43"/>
  <c r="G53" i="42"/>
  <c r="I26" i="39"/>
  <c r="H26" i="40"/>
  <c r="I22" i="40"/>
  <c r="H64" i="42"/>
  <c r="I64" i="41"/>
  <c r="I101" i="40"/>
  <c r="H58" i="41"/>
  <c r="I58" i="41" s="1"/>
  <c r="H52" i="42"/>
  <c r="I52" i="41"/>
  <c r="H28" i="41"/>
  <c r="H30" i="40"/>
  <c r="I28" i="40"/>
  <c r="I89" i="40"/>
  <c r="G52" i="43"/>
  <c r="G58" i="42"/>
  <c r="G106" i="40"/>
  <c r="I106" i="40" s="1"/>
  <c r="G100" i="41"/>
  <c r="G109" i="39"/>
  <c r="I109" i="39" s="1"/>
  <c r="G96" i="41"/>
  <c r="G86" i="41"/>
  <c r="G84" i="42"/>
  <c r="I38" i="45"/>
  <c r="H71" i="40"/>
  <c r="I71" i="40" s="1"/>
  <c r="G107" i="40"/>
  <c r="H25" i="40"/>
  <c r="I25" i="40" s="1"/>
  <c r="H23" i="41"/>
  <c r="I23" i="40"/>
  <c r="I108" i="39"/>
  <c r="H110" i="39"/>
  <c r="G63" i="42"/>
  <c r="G65" i="41"/>
  <c r="H97" i="41"/>
  <c r="I104" i="41"/>
  <c r="H54" i="42"/>
  <c r="H56" i="41"/>
  <c r="I54" i="41"/>
  <c r="H21" i="42"/>
  <c r="I21" i="41"/>
  <c r="H22" i="41"/>
  <c r="H84" i="42"/>
  <c r="I84" i="41"/>
  <c r="H86" i="41"/>
  <c r="I86" i="41" s="1"/>
  <c r="H96" i="41"/>
  <c r="H91" i="43"/>
  <c r="I91" i="42"/>
  <c r="H92" i="41"/>
  <c r="I92" i="41" s="1"/>
  <c r="I90" i="41"/>
  <c r="I73" i="43"/>
  <c r="H73" i="44"/>
  <c r="G54" i="42"/>
  <c r="G57" i="42" s="1"/>
  <c r="G59" i="42" s="1"/>
  <c r="G56" i="41"/>
  <c r="G97" i="41"/>
  <c r="G85" i="42"/>
  <c r="H39" i="39"/>
  <c r="I39" i="39" s="1"/>
  <c r="I35" i="39"/>
  <c r="H107" i="40"/>
  <c r="I107" i="40" s="1"/>
  <c r="I105" i="40"/>
  <c r="I30" i="39"/>
  <c r="H32" i="39"/>
  <c r="I32" i="39" s="1"/>
  <c r="I41" i="40"/>
  <c r="H41" i="41"/>
  <c r="H87" i="42"/>
  <c r="H89" i="41"/>
  <c r="I89" i="41" s="1"/>
  <c r="I87" i="41"/>
  <c r="I63" i="41"/>
  <c r="H65" i="41"/>
  <c r="I65" i="41" s="1"/>
  <c r="H63" i="42"/>
  <c r="H93" i="42"/>
  <c r="H95" i="41"/>
  <c r="I95" i="41" s="1"/>
  <c r="I93" i="41"/>
  <c r="H77" i="40"/>
  <c r="I77" i="40" s="1"/>
  <c r="I75" i="40"/>
  <c r="H109" i="40"/>
  <c r="I97" i="40"/>
  <c r="G99" i="42"/>
  <c r="G105" i="41"/>
  <c r="G101" i="41"/>
  <c r="G102" i="43"/>
  <c r="G104" i="42"/>
  <c r="H44" i="37"/>
  <c r="I43" i="37"/>
  <c r="G68" i="40"/>
  <c r="H88" i="42"/>
  <c r="H97" i="42" s="1"/>
  <c r="I88" i="41"/>
  <c r="H102" i="43"/>
  <c r="H104" i="42"/>
  <c r="I102" i="42"/>
  <c r="H51" i="42"/>
  <c r="H57" i="41"/>
  <c r="I51" i="41"/>
  <c r="H53" i="41"/>
  <c r="I53" i="41" s="1"/>
  <c r="G70" i="43"/>
  <c r="G76" i="42"/>
  <c r="I40" i="32"/>
  <c r="F121" i="32"/>
  <c r="I121" i="32"/>
  <c r="G118" i="32"/>
  <c r="F123" i="32"/>
  <c r="G124" i="32"/>
  <c r="D124" i="32"/>
  <c r="F118" i="32"/>
  <c r="G112" i="32"/>
  <c r="I111" i="32"/>
  <c r="F112" i="32"/>
  <c r="I110" i="32"/>
  <c r="G109" i="32"/>
  <c r="I109" i="32" s="1"/>
  <c r="I108" i="32"/>
  <c r="G113" i="32"/>
  <c r="F109" i="32"/>
  <c r="G114" i="32"/>
  <c r="G126" i="32" s="1"/>
  <c r="F106" i="32"/>
  <c r="I105" i="32"/>
  <c r="F114" i="32"/>
  <c r="F76" i="32"/>
  <c r="G77" i="32"/>
  <c r="G79" i="32" s="1"/>
  <c r="D79" i="32"/>
  <c r="I71" i="32"/>
  <c r="F77" i="32"/>
  <c r="G73" i="32"/>
  <c r="G67" i="32"/>
  <c r="G69" i="32"/>
  <c r="G64" i="32"/>
  <c r="D70" i="32"/>
  <c r="F58" i="32"/>
  <c r="I57" i="32"/>
  <c r="G55" i="32"/>
  <c r="I54" i="32"/>
  <c r="F24" i="32"/>
  <c r="I42" i="32"/>
  <c r="H123" i="32"/>
  <c r="I123" i="32" s="1"/>
  <c r="H118" i="32"/>
  <c r="I118" i="32" s="1"/>
  <c r="I117" i="32"/>
  <c r="I116" i="32"/>
  <c r="E125" i="32"/>
  <c r="H112" i="32"/>
  <c r="I112" i="32" s="1"/>
  <c r="H106" i="32"/>
  <c r="I106" i="32" s="1"/>
  <c r="H103" i="32"/>
  <c r="I103" i="32" s="1"/>
  <c r="G90" i="32"/>
  <c r="G91" i="32"/>
  <c r="G89" i="32"/>
  <c r="F75" i="32"/>
  <c r="H58" i="32"/>
  <c r="F55" i="32"/>
  <c r="F59" i="32"/>
  <c r="H32" i="32"/>
  <c r="H34" i="32" s="1"/>
  <c r="I34" i="32" s="1"/>
  <c r="I30" i="32"/>
  <c r="E34" i="32"/>
  <c r="F34" i="32" s="1"/>
  <c r="I25" i="32"/>
  <c r="E66" i="32"/>
  <c r="I27" i="32"/>
  <c r="H76" i="32"/>
  <c r="I76" i="32" s="1"/>
  <c r="F68" i="32"/>
  <c r="H78" i="32"/>
  <c r="I78" i="32" s="1"/>
  <c r="I72" i="32"/>
  <c r="G125" i="32"/>
  <c r="D127" i="32"/>
  <c r="H41" i="32"/>
  <c r="I41" i="32" s="1"/>
  <c r="I37" i="32"/>
  <c r="H28" i="32"/>
  <c r="G61" i="32"/>
  <c r="F125" i="32"/>
  <c r="G24" i="32"/>
  <c r="G28" i="32" s="1"/>
  <c r="G45" i="32" s="1"/>
  <c r="G46" i="32" s="1"/>
  <c r="G47" i="32" s="1"/>
  <c r="E41" i="32"/>
  <c r="F41" i="32" s="1"/>
  <c r="H59" i="32"/>
  <c r="H100" i="32"/>
  <c r="I100" i="32" s="1"/>
  <c r="F113" i="32"/>
  <c r="H114" i="32"/>
  <c r="H122" i="32"/>
  <c r="I32" i="32"/>
  <c r="H55" i="32"/>
  <c r="I55" i="32" s="1"/>
  <c r="D61" i="32"/>
  <c r="F61" i="32" s="1"/>
  <c r="I56" i="32"/>
  <c r="G58" i="32"/>
  <c r="I58" i="32" s="1"/>
  <c r="G68" i="32"/>
  <c r="G70" i="32" s="1"/>
  <c r="F72" i="32"/>
  <c r="H73" i="32"/>
  <c r="I73" i="32" s="1"/>
  <c r="E78" i="32"/>
  <c r="F78" i="32" s="1"/>
  <c r="I101" i="32"/>
  <c r="I107" i="32"/>
  <c r="I119" i="32"/>
  <c r="E124" i="32"/>
  <c r="E126" i="32"/>
  <c r="F126" i="32" s="1"/>
  <c r="H60" i="32"/>
  <c r="I60" i="32" s="1"/>
  <c r="F73" i="32"/>
  <c r="I74" i="32"/>
  <c r="H77" i="32"/>
  <c r="H113" i="32"/>
  <c r="D115" i="32"/>
  <c r="E28" i="32"/>
  <c r="F62" i="32"/>
  <c r="E63" i="32"/>
  <c r="E115" i="32"/>
  <c r="I97" i="42" l="1"/>
  <c r="H102" i="44"/>
  <c r="H104" i="43"/>
  <c r="I102" i="43"/>
  <c r="G65" i="42"/>
  <c r="G63" i="43"/>
  <c r="H30" i="41"/>
  <c r="H28" i="42"/>
  <c r="I28" i="41"/>
  <c r="I26" i="40"/>
  <c r="H44" i="38"/>
  <c r="I43" i="38"/>
  <c r="H110" i="40"/>
  <c r="I110" i="40" s="1"/>
  <c r="I108" i="40"/>
  <c r="I75" i="41"/>
  <c r="I67" i="38"/>
  <c r="H68" i="38"/>
  <c r="I68" i="38" s="1"/>
  <c r="G70" i="44"/>
  <c r="G76" i="43"/>
  <c r="H51" i="43"/>
  <c r="H57" i="42"/>
  <c r="H53" i="42"/>
  <c r="I53" i="42" s="1"/>
  <c r="I51" i="42"/>
  <c r="I44" i="37"/>
  <c r="H45" i="37"/>
  <c r="I45" i="37" s="1"/>
  <c r="H93" i="43"/>
  <c r="I93" i="42"/>
  <c r="H95" i="42"/>
  <c r="G85" i="43"/>
  <c r="G97" i="42"/>
  <c r="I73" i="44"/>
  <c r="H73" i="45"/>
  <c r="I21" i="42"/>
  <c r="H21" i="43"/>
  <c r="H22" i="42"/>
  <c r="G84" i="43"/>
  <c r="G96" i="42"/>
  <c r="G86" i="42"/>
  <c r="G100" i="42"/>
  <c r="G106" i="41"/>
  <c r="G107" i="41" s="1"/>
  <c r="G109" i="40"/>
  <c r="H94" i="43"/>
  <c r="I94" i="42"/>
  <c r="H42" i="42"/>
  <c r="I42" i="41"/>
  <c r="G110" i="40"/>
  <c r="H99" i="43"/>
  <c r="H101" i="42"/>
  <c r="H105" i="42"/>
  <c r="I99" i="42"/>
  <c r="H90" i="44"/>
  <c r="H92" i="43"/>
  <c r="I90" i="43"/>
  <c r="I70" i="41"/>
  <c r="H76" i="41"/>
  <c r="I76" i="41" s="1"/>
  <c r="H70" i="42"/>
  <c r="G74" i="42"/>
  <c r="G72" i="43"/>
  <c r="I61" i="39"/>
  <c r="H67" i="39"/>
  <c r="H61" i="40"/>
  <c r="H62" i="39"/>
  <c r="I62" i="39" s="1"/>
  <c r="H25" i="41"/>
  <c r="I25" i="41" s="1"/>
  <c r="H23" i="42"/>
  <c r="I23" i="41"/>
  <c r="G52" i="44"/>
  <c r="G58" i="43"/>
  <c r="H43" i="39"/>
  <c r="H106" i="42"/>
  <c r="H109" i="42" s="1"/>
  <c r="I100" i="42"/>
  <c r="H100" i="43"/>
  <c r="G23" i="43"/>
  <c r="G25" i="42"/>
  <c r="G26" i="42" s="1"/>
  <c r="G95" i="42"/>
  <c r="G93" i="43"/>
  <c r="H107" i="41"/>
  <c r="I105" i="41"/>
  <c r="H31" i="44"/>
  <c r="I31" i="43"/>
  <c r="H33" i="42"/>
  <c r="H35" i="41"/>
  <c r="I33" i="41"/>
  <c r="H88" i="43"/>
  <c r="I88" i="42"/>
  <c r="G99" i="43"/>
  <c r="G101" i="42"/>
  <c r="G105" i="42"/>
  <c r="H65" i="42"/>
  <c r="I65" i="42" s="1"/>
  <c r="H63" i="43"/>
  <c r="I63" i="42"/>
  <c r="G110" i="39"/>
  <c r="I110" i="39" s="1"/>
  <c r="G109" i="41"/>
  <c r="H91" i="44"/>
  <c r="I91" i="43"/>
  <c r="H84" i="43"/>
  <c r="H96" i="42"/>
  <c r="H86" i="42"/>
  <c r="I84" i="42"/>
  <c r="H109" i="41"/>
  <c r="I109" i="41" s="1"/>
  <c r="I97" i="41"/>
  <c r="H52" i="43"/>
  <c r="I52" i="42"/>
  <c r="H58" i="42"/>
  <c r="I58" i="42" s="1"/>
  <c r="I64" i="42"/>
  <c r="H64" i="43"/>
  <c r="G90" i="43"/>
  <c r="G92" i="42"/>
  <c r="I92" i="42" s="1"/>
  <c r="H38" i="47"/>
  <c r="I106" i="41"/>
  <c r="G87" i="43"/>
  <c r="G89" i="42"/>
  <c r="G36" i="47"/>
  <c r="G38" i="47" s="1"/>
  <c r="G38" i="46"/>
  <c r="I38" i="46" s="1"/>
  <c r="I85" i="42"/>
  <c r="G68" i="41"/>
  <c r="I55" i="42"/>
  <c r="H55" i="43"/>
  <c r="G35" i="41"/>
  <c r="G39" i="41" s="1"/>
  <c r="G43" i="41" s="1"/>
  <c r="G44" i="41" s="1"/>
  <c r="G45" i="41" s="1"/>
  <c r="G33" i="42"/>
  <c r="I98" i="40"/>
  <c r="G28" i="43"/>
  <c r="G30" i="42"/>
  <c r="G32" i="42" s="1"/>
  <c r="H69" i="43"/>
  <c r="I69" i="42"/>
  <c r="H75" i="42"/>
  <c r="G21" i="44"/>
  <c r="G22" i="43"/>
  <c r="I57" i="41"/>
  <c r="H59" i="41"/>
  <c r="I59" i="41" s="1"/>
  <c r="I109" i="40"/>
  <c r="H41" i="42"/>
  <c r="I41" i="41"/>
  <c r="G56" i="42"/>
  <c r="G54" i="43"/>
  <c r="H56" i="42"/>
  <c r="H54" i="43"/>
  <c r="I54" i="42"/>
  <c r="H103" i="44"/>
  <c r="I103" i="43"/>
  <c r="G61" i="43"/>
  <c r="G67" i="42"/>
  <c r="H60" i="43"/>
  <c r="H66" i="42"/>
  <c r="I60" i="42"/>
  <c r="I104" i="42"/>
  <c r="G102" i="44"/>
  <c r="G104" i="43"/>
  <c r="H89" i="42"/>
  <c r="I89" i="42" s="1"/>
  <c r="I87" i="42"/>
  <c r="H87" i="43"/>
  <c r="I96" i="41"/>
  <c r="H108" i="41"/>
  <c r="H98" i="41"/>
  <c r="I98" i="41" s="1"/>
  <c r="I22" i="41"/>
  <c r="H26" i="41"/>
  <c r="I56" i="41"/>
  <c r="G108" i="41"/>
  <c r="G110" i="41" s="1"/>
  <c r="G98" i="41"/>
  <c r="I30" i="40"/>
  <c r="H32" i="40"/>
  <c r="I32" i="40" s="1"/>
  <c r="G51" i="44"/>
  <c r="G57" i="43"/>
  <c r="G59" i="43" s="1"/>
  <c r="G53" i="43"/>
  <c r="H40" i="42"/>
  <c r="I40" i="41"/>
  <c r="H74" i="42"/>
  <c r="I74" i="42" s="1"/>
  <c r="H72" i="43"/>
  <c r="I72" i="42"/>
  <c r="I100" i="41"/>
  <c r="H85" i="44"/>
  <c r="I85" i="43"/>
  <c r="G62" i="42"/>
  <c r="G60" i="43"/>
  <c r="G66" i="42"/>
  <c r="I66" i="41"/>
  <c r="I101" i="41"/>
  <c r="G71" i="42"/>
  <c r="G69" i="43"/>
  <c r="G75" i="42"/>
  <c r="G77" i="42" s="1"/>
  <c r="I90" i="42"/>
  <c r="I71" i="41"/>
  <c r="H39" i="40"/>
  <c r="I39" i="40" s="1"/>
  <c r="I35" i="40"/>
  <c r="F124" i="32"/>
  <c r="G127" i="32"/>
  <c r="G115" i="32"/>
  <c r="F115" i="32"/>
  <c r="I24" i="32"/>
  <c r="F66" i="32"/>
  <c r="I66" i="32"/>
  <c r="E67" i="32"/>
  <c r="F67" i="32" s="1"/>
  <c r="H64" i="32"/>
  <c r="I64" i="32" s="1"/>
  <c r="E69" i="32"/>
  <c r="F63" i="32"/>
  <c r="I113" i="32"/>
  <c r="H125" i="32"/>
  <c r="H115" i="32"/>
  <c r="E64" i="32"/>
  <c r="F64" i="32" s="1"/>
  <c r="I114" i="32"/>
  <c r="H126" i="32"/>
  <c r="I126" i="32" s="1"/>
  <c r="E127" i="32"/>
  <c r="F127" i="32" s="1"/>
  <c r="I122" i="32"/>
  <c r="H124" i="32"/>
  <c r="I124" i="32" s="1"/>
  <c r="I77" i="32"/>
  <c r="H79" i="32"/>
  <c r="I79" i="32" s="1"/>
  <c r="H68" i="32"/>
  <c r="I62" i="32"/>
  <c r="E79" i="32"/>
  <c r="F79" i="32" s="1"/>
  <c r="I65" i="32"/>
  <c r="I59" i="32"/>
  <c r="H61" i="32"/>
  <c r="I61" i="32" s="1"/>
  <c r="H45" i="32"/>
  <c r="I28" i="32"/>
  <c r="E45" i="32"/>
  <c r="F28" i="32"/>
  <c r="H40" i="43" l="1"/>
  <c r="I40" i="42"/>
  <c r="I43" i="39"/>
  <c r="H44" i="39"/>
  <c r="H23" i="43"/>
  <c r="H25" i="42"/>
  <c r="I25" i="42" s="1"/>
  <c r="I23" i="42"/>
  <c r="H76" i="42"/>
  <c r="I76" i="42" s="1"/>
  <c r="I70" i="42"/>
  <c r="H70" i="43"/>
  <c r="I22" i="42"/>
  <c r="H26" i="42"/>
  <c r="H51" i="44"/>
  <c r="H53" i="43"/>
  <c r="I53" i="43" s="1"/>
  <c r="H57" i="43"/>
  <c r="I51" i="43"/>
  <c r="H43" i="40"/>
  <c r="H102" i="45"/>
  <c r="I102" i="44"/>
  <c r="H104" i="44"/>
  <c r="G68" i="42"/>
  <c r="H85" i="45"/>
  <c r="H72" i="44"/>
  <c r="I72" i="43"/>
  <c r="H74" i="43"/>
  <c r="I26" i="41"/>
  <c r="I66" i="42"/>
  <c r="G61" i="44"/>
  <c r="G67" i="43"/>
  <c r="H54" i="44"/>
  <c r="H56" i="43"/>
  <c r="I54" i="43"/>
  <c r="H71" i="42"/>
  <c r="I71" i="42" s="1"/>
  <c r="G30" i="43"/>
  <c r="G32" i="43" s="1"/>
  <c r="G28" i="44"/>
  <c r="H55" i="44"/>
  <c r="I55" i="43"/>
  <c r="G90" i="44"/>
  <c r="G92" i="43"/>
  <c r="H31" i="45"/>
  <c r="I31" i="44"/>
  <c r="G93" i="44"/>
  <c r="G95" i="43"/>
  <c r="H100" i="44"/>
  <c r="I100" i="43"/>
  <c r="H106" i="43"/>
  <c r="I92" i="43"/>
  <c r="I101" i="42"/>
  <c r="I42" i="42"/>
  <c r="H42" i="43"/>
  <c r="G108" i="42"/>
  <c r="G98" i="42"/>
  <c r="H21" i="44"/>
  <c r="H22" i="43"/>
  <c r="I21" i="43"/>
  <c r="G109" i="42"/>
  <c r="I109" i="42" s="1"/>
  <c r="H95" i="43"/>
  <c r="I95" i="43" s="1"/>
  <c r="I93" i="43"/>
  <c r="H93" i="44"/>
  <c r="I108" i="41"/>
  <c r="H110" i="41"/>
  <c r="I110" i="41" s="1"/>
  <c r="I75" i="42"/>
  <c r="G89" i="43"/>
  <c r="G87" i="44"/>
  <c r="H88" i="44"/>
  <c r="H97" i="44" s="1"/>
  <c r="I88" i="43"/>
  <c r="I107" i="41"/>
  <c r="G23" i="44"/>
  <c r="G25" i="43"/>
  <c r="I67" i="39"/>
  <c r="H68" i="39"/>
  <c r="I68" i="39" s="1"/>
  <c r="I94" i="43"/>
  <c r="H94" i="44"/>
  <c r="G63" i="44"/>
  <c r="G65" i="43"/>
  <c r="G60" i="44"/>
  <c r="G66" i="43"/>
  <c r="G62" i="43"/>
  <c r="H97" i="43"/>
  <c r="H87" i="44"/>
  <c r="H89" i="43"/>
  <c r="I87" i="43"/>
  <c r="G104" i="44"/>
  <c r="G102" i="45"/>
  <c r="H66" i="43"/>
  <c r="I60" i="43"/>
  <c r="H60" i="44"/>
  <c r="I56" i="42"/>
  <c r="H41" i="43"/>
  <c r="I41" i="42"/>
  <c r="G26" i="43"/>
  <c r="I36" i="47"/>
  <c r="I64" i="43"/>
  <c r="H64" i="44"/>
  <c r="H58" i="43"/>
  <c r="I58" i="43" s="1"/>
  <c r="H52" i="44"/>
  <c r="I52" i="43"/>
  <c r="I86" i="42"/>
  <c r="H91" i="45"/>
  <c r="I91" i="44"/>
  <c r="I63" i="43"/>
  <c r="H65" i="43"/>
  <c r="I65" i="43" s="1"/>
  <c r="H63" i="44"/>
  <c r="G99" i="44"/>
  <c r="G105" i="43"/>
  <c r="H39" i="41"/>
  <c r="I39" i="41" s="1"/>
  <c r="I35" i="41"/>
  <c r="G58" i="44"/>
  <c r="G52" i="45"/>
  <c r="G72" i="44"/>
  <c r="G74" i="43"/>
  <c r="H90" i="45"/>
  <c r="H92" i="44"/>
  <c r="I90" i="44"/>
  <c r="H105" i="43"/>
  <c r="H101" i="43"/>
  <c r="I99" i="43"/>
  <c r="H99" i="44"/>
  <c r="G84" i="44"/>
  <c r="G86" i="43"/>
  <c r="G96" i="43"/>
  <c r="G85" i="44"/>
  <c r="G97" i="43"/>
  <c r="G70" i="45"/>
  <c r="G76" i="44"/>
  <c r="H77" i="41"/>
  <c r="I77" i="41" s="1"/>
  <c r="I44" i="38"/>
  <c r="H45" i="38"/>
  <c r="I45" i="38" s="1"/>
  <c r="H28" i="43"/>
  <c r="H30" i="42"/>
  <c r="I28" i="42"/>
  <c r="G69" i="44"/>
  <c r="G75" i="43"/>
  <c r="G77" i="43" s="1"/>
  <c r="G71" i="43"/>
  <c r="H84" i="44"/>
  <c r="I84" i="43"/>
  <c r="H96" i="43"/>
  <c r="H86" i="43"/>
  <c r="I86" i="43" s="1"/>
  <c r="I105" i="42"/>
  <c r="H107" i="42"/>
  <c r="G51" i="45"/>
  <c r="G57" i="44"/>
  <c r="G59" i="44" s="1"/>
  <c r="G53" i="44"/>
  <c r="H103" i="45"/>
  <c r="I103" i="44"/>
  <c r="G56" i="43"/>
  <c r="G54" i="44"/>
  <c r="G21" i="45"/>
  <c r="G22" i="44"/>
  <c r="H75" i="43"/>
  <c r="H71" i="43"/>
  <c r="H69" i="44"/>
  <c r="I69" i="43"/>
  <c r="G33" i="43"/>
  <c r="G35" i="42"/>
  <c r="G39" i="42" s="1"/>
  <c r="G43" i="42" s="1"/>
  <c r="G44" i="42" s="1"/>
  <c r="G45" i="42" s="1"/>
  <c r="I38" i="47"/>
  <c r="H108" i="42"/>
  <c r="H98" i="42"/>
  <c r="I98" i="42" s="1"/>
  <c r="I96" i="42"/>
  <c r="H33" i="43"/>
  <c r="I33" i="42"/>
  <c r="H35" i="42"/>
  <c r="I106" i="42"/>
  <c r="I61" i="40"/>
  <c r="H67" i="40"/>
  <c r="H61" i="41"/>
  <c r="H62" i="40"/>
  <c r="I62" i="40" s="1"/>
  <c r="G106" i="42"/>
  <c r="G107" i="42" s="1"/>
  <c r="G100" i="43"/>
  <c r="H73" i="46"/>
  <c r="I73" i="45"/>
  <c r="I95" i="42"/>
  <c r="H59" i="42"/>
  <c r="I59" i="42" s="1"/>
  <c r="I57" i="42"/>
  <c r="I30" i="41"/>
  <c r="H32" i="41"/>
  <c r="I32" i="41" s="1"/>
  <c r="I104" i="43"/>
  <c r="I115" i="32"/>
  <c r="H67" i="32"/>
  <c r="I67" i="32" s="1"/>
  <c r="C155" i="32"/>
  <c r="H155" i="32" s="1"/>
  <c r="E46" i="32"/>
  <c r="F45" i="32"/>
  <c r="I125" i="32"/>
  <c r="H127" i="32"/>
  <c r="I127" i="32" s="1"/>
  <c r="F69" i="32"/>
  <c r="E70" i="32"/>
  <c r="F70" i="32" s="1"/>
  <c r="I63" i="32"/>
  <c r="H69" i="32"/>
  <c r="I69" i="32" s="1"/>
  <c r="I45" i="32"/>
  <c r="H46" i="32"/>
  <c r="I68" i="32"/>
  <c r="I73" i="46" l="1"/>
  <c r="H73" i="47"/>
  <c r="I73" i="47" s="1"/>
  <c r="I75" i="43"/>
  <c r="G97" i="44"/>
  <c r="G85" i="45"/>
  <c r="H60" i="45"/>
  <c r="H66" i="44"/>
  <c r="I60" i="44"/>
  <c r="I87" i="44"/>
  <c r="H87" i="45"/>
  <c r="H89" i="44"/>
  <c r="G23" i="45"/>
  <c r="G25" i="44"/>
  <c r="H74" i="44"/>
  <c r="I72" i="44"/>
  <c r="H72" i="45"/>
  <c r="G26" i="44"/>
  <c r="H30" i="43"/>
  <c r="I28" i="43"/>
  <c r="H28" i="44"/>
  <c r="G52" i="46"/>
  <c r="G58" i="45"/>
  <c r="I40" i="43"/>
  <c r="H40" i="44"/>
  <c r="H67" i="41"/>
  <c r="I61" i="41"/>
  <c r="H61" i="42"/>
  <c r="H62" i="41"/>
  <c r="I62" i="41" s="1"/>
  <c r="G33" i="44"/>
  <c r="G35" i="43"/>
  <c r="G39" i="43" s="1"/>
  <c r="G43" i="43"/>
  <c r="G44" i="43" s="1"/>
  <c r="G45" i="43" s="1"/>
  <c r="G66" i="44"/>
  <c r="G60" i="45"/>
  <c r="G62" i="44"/>
  <c r="H51" i="45"/>
  <c r="H57" i="44"/>
  <c r="H53" i="44"/>
  <c r="I53" i="44" s="1"/>
  <c r="I51" i="44"/>
  <c r="H25" i="43"/>
  <c r="I25" i="43" s="1"/>
  <c r="I23" i="43"/>
  <c r="H23" i="44"/>
  <c r="G100" i="44"/>
  <c r="G106" i="43"/>
  <c r="G109" i="43" s="1"/>
  <c r="I92" i="44"/>
  <c r="G101" i="43"/>
  <c r="H100" i="45"/>
  <c r="H106" i="44"/>
  <c r="I100" i="44"/>
  <c r="I55" i="44"/>
  <c r="H55" i="45"/>
  <c r="G61" i="45"/>
  <c r="G67" i="44"/>
  <c r="I104" i="44"/>
  <c r="I26" i="42"/>
  <c r="H45" i="39"/>
  <c r="I45" i="39" s="1"/>
  <c r="I44" i="39"/>
  <c r="H33" i="44"/>
  <c r="H35" i="43"/>
  <c r="I33" i="43"/>
  <c r="H69" i="45"/>
  <c r="I69" i="44"/>
  <c r="H75" i="44"/>
  <c r="G22" i="45"/>
  <c r="G21" i="46"/>
  <c r="H103" i="46"/>
  <c r="I103" i="45"/>
  <c r="I107" i="42"/>
  <c r="G75" i="44"/>
  <c r="G77" i="44" s="1"/>
  <c r="G71" i="44"/>
  <c r="G69" i="45"/>
  <c r="G70" i="46"/>
  <c r="G76" i="45"/>
  <c r="I101" i="43"/>
  <c r="I90" i="45"/>
  <c r="H90" i="46"/>
  <c r="H92" i="45"/>
  <c r="G107" i="43"/>
  <c r="H41" i="44"/>
  <c r="I41" i="43"/>
  <c r="G63" i="45"/>
  <c r="G65" i="44"/>
  <c r="H77" i="42"/>
  <c r="I77" i="42" s="1"/>
  <c r="H95" i="44"/>
  <c r="H93" i="45"/>
  <c r="I93" i="44"/>
  <c r="G110" i="42"/>
  <c r="G28" i="45"/>
  <c r="G30" i="44"/>
  <c r="G32" i="44" s="1"/>
  <c r="I56" i="43"/>
  <c r="I74" i="43"/>
  <c r="I57" i="43"/>
  <c r="H59" i="43"/>
  <c r="I59" i="43" s="1"/>
  <c r="H39" i="42"/>
  <c r="I39" i="42" s="1"/>
  <c r="I35" i="42"/>
  <c r="I30" i="42"/>
  <c r="H32" i="42"/>
  <c r="I32" i="42" s="1"/>
  <c r="H105" i="44"/>
  <c r="H101" i="44"/>
  <c r="I101" i="44" s="1"/>
  <c r="H99" i="45"/>
  <c r="I99" i="44"/>
  <c r="G74" i="44"/>
  <c r="G72" i="45"/>
  <c r="H65" i="44"/>
  <c r="H63" i="45"/>
  <c r="I63" i="44"/>
  <c r="I91" i="45"/>
  <c r="H91" i="46"/>
  <c r="G102" i="46"/>
  <c r="G104" i="45"/>
  <c r="G89" i="44"/>
  <c r="G87" i="45"/>
  <c r="H21" i="45"/>
  <c r="H22" i="44"/>
  <c r="I21" i="44"/>
  <c r="H44" i="40"/>
  <c r="I43" i="40"/>
  <c r="I67" i="40"/>
  <c r="H68" i="40"/>
  <c r="I68" i="40" s="1"/>
  <c r="H110" i="42"/>
  <c r="I108" i="42"/>
  <c r="G51" i="46"/>
  <c r="G57" i="45"/>
  <c r="G59" i="45" s="1"/>
  <c r="G53" i="45"/>
  <c r="I96" i="43"/>
  <c r="H108" i="43"/>
  <c r="H98" i="43"/>
  <c r="I98" i="43" s="1"/>
  <c r="G108" i="43"/>
  <c r="G98" i="43"/>
  <c r="I64" i="44"/>
  <c r="H64" i="45"/>
  <c r="H109" i="43"/>
  <c r="I97" i="43"/>
  <c r="H31" i="46"/>
  <c r="I31" i="45"/>
  <c r="H43" i="41"/>
  <c r="I85" i="44"/>
  <c r="I71" i="43"/>
  <c r="G56" i="44"/>
  <c r="G54" i="45"/>
  <c r="H84" i="45"/>
  <c r="H96" i="44"/>
  <c r="H86" i="44"/>
  <c r="I84" i="44"/>
  <c r="G84" i="45"/>
  <c r="G86" i="44"/>
  <c r="G96" i="44"/>
  <c r="H107" i="43"/>
  <c r="I105" i="43"/>
  <c r="G105" i="44"/>
  <c r="G99" i="45"/>
  <c r="G101" i="44"/>
  <c r="H52" i="45"/>
  <c r="I52" i="44"/>
  <c r="H58" i="44"/>
  <c r="I58" i="44" s="1"/>
  <c r="I66" i="43"/>
  <c r="I89" i="43"/>
  <c r="G68" i="43"/>
  <c r="H94" i="45"/>
  <c r="I94" i="44"/>
  <c r="I88" i="44"/>
  <c r="H88" i="45"/>
  <c r="I22" i="43"/>
  <c r="H42" i="44"/>
  <c r="I42" i="43"/>
  <c r="G93" i="45"/>
  <c r="G95" i="44"/>
  <c r="G92" i="44"/>
  <c r="G90" i="45"/>
  <c r="I54" i="44"/>
  <c r="H54" i="45"/>
  <c r="H56" i="44"/>
  <c r="H85" i="46"/>
  <c r="H97" i="45"/>
  <c r="I85" i="45"/>
  <c r="I102" i="45"/>
  <c r="H104" i="45"/>
  <c r="H102" i="46"/>
  <c r="H70" i="44"/>
  <c r="H76" i="43"/>
  <c r="I76" i="43" s="1"/>
  <c r="I70" i="43"/>
  <c r="H70" i="32"/>
  <c r="I70" i="32" s="1"/>
  <c r="E47" i="32"/>
  <c r="F47" i="32" s="1"/>
  <c r="F46" i="32"/>
  <c r="H47" i="32"/>
  <c r="I47" i="32" s="1"/>
  <c r="I46" i="32"/>
  <c r="I42" i="44" l="1"/>
  <c r="H42" i="45"/>
  <c r="I86" i="44"/>
  <c r="H64" i="46"/>
  <c r="I64" i="45"/>
  <c r="G69" i="46"/>
  <c r="G75" i="45"/>
  <c r="G77" i="45" s="1"/>
  <c r="G71" i="45"/>
  <c r="H77" i="44"/>
  <c r="I77" i="44" s="1"/>
  <c r="I75" i="44"/>
  <c r="I40" i="44"/>
  <c r="H40" i="45"/>
  <c r="I108" i="43"/>
  <c r="H110" i="43"/>
  <c r="I110" i="43" s="1"/>
  <c r="I89" i="44"/>
  <c r="H76" i="44"/>
  <c r="I76" i="44" s="1"/>
  <c r="I70" i="44"/>
  <c r="H70" i="45"/>
  <c r="G72" i="46"/>
  <c r="G74" i="45"/>
  <c r="I41" i="44"/>
  <c r="H41" i="45"/>
  <c r="I57" i="44"/>
  <c r="H59" i="44"/>
  <c r="I59" i="44" s="1"/>
  <c r="I72" i="45"/>
  <c r="H72" i="46"/>
  <c r="H74" i="45"/>
  <c r="G93" i="46"/>
  <c r="G95" i="45"/>
  <c r="G84" i="46"/>
  <c r="G96" i="45"/>
  <c r="G86" i="45"/>
  <c r="I31" i="46"/>
  <c r="H31" i="47"/>
  <c r="I31" i="47" s="1"/>
  <c r="H107" i="44"/>
  <c r="I105" i="44"/>
  <c r="I103" i="46"/>
  <c r="H103" i="47"/>
  <c r="I103" i="47" s="1"/>
  <c r="I35" i="43"/>
  <c r="H39" i="43"/>
  <c r="I39" i="43" s="1"/>
  <c r="I106" i="44"/>
  <c r="I104" i="45"/>
  <c r="H85" i="47"/>
  <c r="G92" i="45"/>
  <c r="G90" i="46"/>
  <c r="I106" i="43"/>
  <c r="H26" i="43"/>
  <c r="H94" i="46"/>
  <c r="I94" i="45"/>
  <c r="I107" i="43"/>
  <c r="H84" i="46"/>
  <c r="I84" i="45"/>
  <c r="H86" i="45"/>
  <c r="I86" i="45" s="1"/>
  <c r="H96" i="45"/>
  <c r="H21" i="46"/>
  <c r="H22" i="45"/>
  <c r="I21" i="45"/>
  <c r="G102" i="47"/>
  <c r="G104" i="47" s="1"/>
  <c r="G104" i="46"/>
  <c r="I63" i="45"/>
  <c r="H65" i="45"/>
  <c r="H63" i="46"/>
  <c r="H95" i="45"/>
  <c r="H93" i="46"/>
  <c r="I93" i="45"/>
  <c r="G65" i="45"/>
  <c r="G63" i="46"/>
  <c r="I92" i="45"/>
  <c r="G21" i="47"/>
  <c r="G22" i="47" s="1"/>
  <c r="G22" i="46"/>
  <c r="H71" i="44"/>
  <c r="I71" i="44" s="1"/>
  <c r="H35" i="44"/>
  <c r="H33" i="45"/>
  <c r="I33" i="44"/>
  <c r="H55" i="46"/>
  <c r="I55" i="45"/>
  <c r="I100" i="45"/>
  <c r="H106" i="45"/>
  <c r="H100" i="46"/>
  <c r="G100" i="45"/>
  <c r="G106" i="44"/>
  <c r="G107" i="44" s="1"/>
  <c r="H32" i="43"/>
  <c r="I32" i="43" s="1"/>
  <c r="I30" i="43"/>
  <c r="I74" i="44"/>
  <c r="H89" i="45"/>
  <c r="I87" i="45"/>
  <c r="H87" i="46"/>
  <c r="I97" i="44"/>
  <c r="H56" i="45"/>
  <c r="I56" i="45" s="1"/>
  <c r="H54" i="46"/>
  <c r="I54" i="45"/>
  <c r="G68" i="44"/>
  <c r="H30" i="44"/>
  <c r="I28" i="44"/>
  <c r="H28" i="45"/>
  <c r="G23" i="46"/>
  <c r="G25" i="45"/>
  <c r="G85" i="46"/>
  <c r="I85" i="46" s="1"/>
  <c r="G97" i="45"/>
  <c r="I97" i="45" s="1"/>
  <c r="I102" i="46"/>
  <c r="H102" i="47"/>
  <c r="H104" i="46"/>
  <c r="I104" i="46" s="1"/>
  <c r="H58" i="45"/>
  <c r="I58" i="45" s="1"/>
  <c r="H52" i="46"/>
  <c r="I52" i="45"/>
  <c r="H108" i="44"/>
  <c r="I96" i="44"/>
  <c r="H98" i="44"/>
  <c r="G51" i="47"/>
  <c r="G57" i="46"/>
  <c r="G59" i="46" s="1"/>
  <c r="G53" i="46"/>
  <c r="I22" i="44"/>
  <c r="H26" i="44"/>
  <c r="H43" i="42"/>
  <c r="G61" i="46"/>
  <c r="G67" i="45"/>
  <c r="I51" i="45"/>
  <c r="H53" i="45"/>
  <c r="I53" i="45" s="1"/>
  <c r="H51" i="46"/>
  <c r="H57" i="45"/>
  <c r="H67" i="42"/>
  <c r="I61" i="42"/>
  <c r="H61" i="43"/>
  <c r="H62" i="42"/>
  <c r="I62" i="42" s="1"/>
  <c r="I66" i="44"/>
  <c r="I56" i="44"/>
  <c r="I88" i="45"/>
  <c r="H88" i="46"/>
  <c r="G99" i="46"/>
  <c r="G105" i="45"/>
  <c r="G101" i="45"/>
  <c r="G98" i="44"/>
  <c r="G108" i="44"/>
  <c r="G54" i="46"/>
  <c r="G56" i="45"/>
  <c r="I43" i="41"/>
  <c r="H44" i="41"/>
  <c r="I109" i="43"/>
  <c r="G110" i="43"/>
  <c r="I110" i="42"/>
  <c r="H45" i="40"/>
  <c r="I45" i="40" s="1"/>
  <c r="I44" i="40"/>
  <c r="G87" i="46"/>
  <c r="G89" i="45"/>
  <c r="I91" i="46"/>
  <c r="H91" i="47"/>
  <c r="I91" i="47" s="1"/>
  <c r="I65" i="44"/>
  <c r="H105" i="45"/>
  <c r="H101" i="45"/>
  <c r="I101" i="45" s="1"/>
  <c r="I99" i="45"/>
  <c r="H99" i="46"/>
  <c r="G28" i="46"/>
  <c r="G30" i="45"/>
  <c r="G32" i="45" s="1"/>
  <c r="I95" i="44"/>
  <c r="H90" i="47"/>
  <c r="H92" i="46"/>
  <c r="G76" i="46"/>
  <c r="G70" i="47"/>
  <c r="G76" i="47" s="1"/>
  <c r="G26" i="45"/>
  <c r="H75" i="45"/>
  <c r="I69" i="45"/>
  <c r="H69" i="46"/>
  <c r="H23" i="45"/>
  <c r="H25" i="44"/>
  <c r="I25" i="44" s="1"/>
  <c r="I23" i="44"/>
  <c r="G60" i="46"/>
  <c r="G62" i="45"/>
  <c r="G66" i="45"/>
  <c r="G68" i="45" s="1"/>
  <c r="G35" i="44"/>
  <c r="G39" i="44" s="1"/>
  <c r="G33" i="45"/>
  <c r="I67" i="41"/>
  <c r="H68" i="41"/>
  <c r="I68" i="41" s="1"/>
  <c r="G52" i="47"/>
  <c r="G58" i="47" s="1"/>
  <c r="G58" i="46"/>
  <c r="G43" i="44"/>
  <c r="G44" i="44" s="1"/>
  <c r="G45" i="44" s="1"/>
  <c r="H66" i="45"/>
  <c r="I60" i="45"/>
  <c r="H60" i="46"/>
  <c r="H77" i="43"/>
  <c r="I77" i="43" s="1"/>
  <c r="H109" i="44"/>
  <c r="D155" i="31"/>
  <c r="B155" i="31"/>
  <c r="H120" i="31"/>
  <c r="G120" i="31"/>
  <c r="H119" i="31"/>
  <c r="G119" i="31"/>
  <c r="H117" i="31"/>
  <c r="G117" i="31"/>
  <c r="H116" i="31"/>
  <c r="G116" i="31"/>
  <c r="H111" i="31"/>
  <c r="G111" i="31"/>
  <c r="H110" i="31"/>
  <c r="G110" i="31"/>
  <c r="H108" i="31"/>
  <c r="G108" i="31"/>
  <c r="H107" i="31"/>
  <c r="G107" i="31"/>
  <c r="H105" i="31"/>
  <c r="G105" i="31"/>
  <c r="H104" i="31"/>
  <c r="G104" i="31"/>
  <c r="H102" i="31"/>
  <c r="G102" i="31"/>
  <c r="H101" i="31"/>
  <c r="G101" i="31"/>
  <c r="H99" i="31"/>
  <c r="G99" i="31"/>
  <c r="H98" i="31"/>
  <c r="G98" i="31"/>
  <c r="F92" i="31"/>
  <c r="F91" i="31"/>
  <c r="F90" i="31"/>
  <c r="F89" i="31"/>
  <c r="F88" i="31"/>
  <c r="F87" i="31"/>
  <c r="H75" i="31"/>
  <c r="G75" i="31"/>
  <c r="H74" i="31"/>
  <c r="G74" i="31"/>
  <c r="H72" i="31"/>
  <c r="G72" i="31"/>
  <c r="H71" i="31"/>
  <c r="G71" i="31"/>
  <c r="H66" i="31"/>
  <c r="G66" i="31"/>
  <c r="H65" i="31"/>
  <c r="G65" i="31"/>
  <c r="H63" i="31"/>
  <c r="G63" i="31"/>
  <c r="H62" i="31"/>
  <c r="G62" i="31"/>
  <c r="H57" i="31"/>
  <c r="G57" i="31"/>
  <c r="H56" i="31"/>
  <c r="G56" i="31"/>
  <c r="H54" i="31"/>
  <c r="G54" i="31"/>
  <c r="H53" i="31"/>
  <c r="G53" i="31"/>
  <c r="H44" i="31"/>
  <c r="G44" i="31"/>
  <c r="H43" i="31"/>
  <c r="G43" i="31"/>
  <c r="H42" i="31"/>
  <c r="G42" i="31"/>
  <c r="H38" i="31"/>
  <c r="G38" i="31"/>
  <c r="H35" i="31"/>
  <c r="G35" i="31"/>
  <c r="H33" i="31"/>
  <c r="G33" i="31"/>
  <c r="H31" i="31"/>
  <c r="G31" i="31"/>
  <c r="H30" i="31"/>
  <c r="G30" i="31"/>
  <c r="H25" i="31"/>
  <c r="G25" i="31"/>
  <c r="H23" i="31"/>
  <c r="G23" i="31"/>
  <c r="E127" i="31"/>
  <c r="E24" i="31"/>
  <c r="E27" i="31"/>
  <c r="E28" i="31"/>
  <c r="E32" i="31"/>
  <c r="E34" i="31"/>
  <c r="E37" i="31"/>
  <c r="E40" i="31"/>
  <c r="E41" i="31"/>
  <c r="E42" i="31"/>
  <c r="E45" i="31"/>
  <c r="C155" i="31"/>
  <c r="H155" i="31"/>
  <c r="H113" i="31"/>
  <c r="H122" i="31"/>
  <c r="H125" i="31"/>
  <c r="H114" i="31"/>
  <c r="H123" i="31"/>
  <c r="H126" i="31"/>
  <c r="H127" i="31"/>
  <c r="G113" i="31"/>
  <c r="G122" i="31"/>
  <c r="G125" i="31"/>
  <c r="G114" i="31"/>
  <c r="G123" i="31"/>
  <c r="G126" i="31"/>
  <c r="G127" i="31"/>
  <c r="I127" i="31"/>
  <c r="E113" i="31"/>
  <c r="E122" i="31"/>
  <c r="E125" i="31"/>
  <c r="E114" i="31"/>
  <c r="E123" i="31"/>
  <c r="E126" i="31"/>
  <c r="D113" i="31"/>
  <c r="D122" i="31"/>
  <c r="D125" i="31"/>
  <c r="D114" i="31"/>
  <c r="D123" i="31"/>
  <c r="D126" i="31"/>
  <c r="D127" i="31"/>
  <c r="F127" i="31"/>
  <c r="I126" i="31"/>
  <c r="F126" i="31"/>
  <c r="I125" i="31"/>
  <c r="F125" i="31"/>
  <c r="H124" i="31"/>
  <c r="G124" i="31"/>
  <c r="I124" i="31"/>
  <c r="E124" i="31"/>
  <c r="D124" i="31"/>
  <c r="F124" i="31"/>
  <c r="I123" i="31"/>
  <c r="F123" i="31"/>
  <c r="I122" i="31"/>
  <c r="F122" i="31"/>
  <c r="H121" i="31"/>
  <c r="G121" i="31"/>
  <c r="I121" i="31"/>
  <c r="E121" i="31"/>
  <c r="D121" i="31"/>
  <c r="F121" i="31"/>
  <c r="I120" i="31"/>
  <c r="F120" i="31"/>
  <c r="I119" i="31"/>
  <c r="F119" i="31"/>
  <c r="H118" i="31"/>
  <c r="G118" i="31"/>
  <c r="I118" i="31"/>
  <c r="E118" i="31"/>
  <c r="D118" i="31"/>
  <c r="F118" i="31"/>
  <c r="I117" i="31"/>
  <c r="F117" i="31"/>
  <c r="I116" i="31"/>
  <c r="F116" i="31"/>
  <c r="H115" i="31"/>
  <c r="G115" i="31"/>
  <c r="I115" i="31"/>
  <c r="E115" i="31"/>
  <c r="D115" i="31"/>
  <c r="F115" i="31"/>
  <c r="I114" i="31"/>
  <c r="F114" i="31"/>
  <c r="I113" i="31"/>
  <c r="F113" i="31"/>
  <c r="H112" i="31"/>
  <c r="G112" i="31"/>
  <c r="I112" i="31"/>
  <c r="E112" i="31"/>
  <c r="D112" i="31"/>
  <c r="F112" i="31"/>
  <c r="I111" i="31"/>
  <c r="F111" i="31"/>
  <c r="I110" i="31"/>
  <c r="F110" i="31"/>
  <c r="H109" i="31"/>
  <c r="G109" i="31"/>
  <c r="I109" i="31"/>
  <c r="E109" i="31"/>
  <c r="D109" i="31"/>
  <c r="F109" i="31"/>
  <c r="I108" i="31"/>
  <c r="F108" i="31"/>
  <c r="I107" i="31"/>
  <c r="F107" i="31"/>
  <c r="H106" i="31"/>
  <c r="G106" i="31"/>
  <c r="I106" i="31"/>
  <c r="E106" i="31"/>
  <c r="D106" i="31"/>
  <c r="F106" i="31"/>
  <c r="I105" i="31"/>
  <c r="F105" i="31"/>
  <c r="I104" i="31"/>
  <c r="F104" i="31"/>
  <c r="H103" i="31"/>
  <c r="G103" i="31"/>
  <c r="I103" i="31"/>
  <c r="E103" i="31"/>
  <c r="D103" i="31"/>
  <c r="F103" i="31"/>
  <c r="I102" i="31"/>
  <c r="F102" i="31"/>
  <c r="I101" i="31"/>
  <c r="F101" i="31"/>
  <c r="H100" i="31"/>
  <c r="G100" i="31"/>
  <c r="I100" i="31"/>
  <c r="E100" i="31"/>
  <c r="D100" i="31"/>
  <c r="F100" i="31"/>
  <c r="I99" i="31"/>
  <c r="F99" i="31"/>
  <c r="I98" i="31"/>
  <c r="F98" i="31"/>
  <c r="G91" i="31"/>
  <c r="E91" i="31"/>
  <c r="G90" i="31"/>
  <c r="E90" i="31"/>
  <c r="G89" i="31"/>
  <c r="E89" i="31"/>
  <c r="H77" i="31"/>
  <c r="E72" i="31"/>
  <c r="E75" i="31"/>
  <c r="H78" i="31"/>
  <c r="H79" i="31"/>
  <c r="G77" i="31"/>
  <c r="G78" i="31"/>
  <c r="G79" i="31"/>
  <c r="I79" i="31"/>
  <c r="E77" i="31"/>
  <c r="E78" i="31"/>
  <c r="E79" i="31"/>
  <c r="D77" i="31"/>
  <c r="D78" i="31"/>
  <c r="D79" i="31"/>
  <c r="F79" i="31"/>
  <c r="I78" i="31"/>
  <c r="F78" i="31"/>
  <c r="I77" i="31"/>
  <c r="F77" i="31"/>
  <c r="H76" i="31"/>
  <c r="G76" i="31"/>
  <c r="I76" i="31"/>
  <c r="E76" i="31"/>
  <c r="D76" i="31"/>
  <c r="F76" i="31"/>
  <c r="I75" i="31"/>
  <c r="F75" i="31"/>
  <c r="I74" i="31"/>
  <c r="F74" i="31"/>
  <c r="H73" i="31"/>
  <c r="G73" i="31"/>
  <c r="I73" i="31"/>
  <c r="E73" i="31"/>
  <c r="D73" i="31"/>
  <c r="F73" i="31"/>
  <c r="I72" i="31"/>
  <c r="F72" i="31"/>
  <c r="I71" i="31"/>
  <c r="F71" i="31"/>
  <c r="E62" i="31"/>
  <c r="E65" i="31"/>
  <c r="H68" i="31"/>
  <c r="E63" i="31"/>
  <c r="E66" i="31"/>
  <c r="H69" i="31"/>
  <c r="H70" i="31"/>
  <c r="G68" i="31"/>
  <c r="G69" i="31"/>
  <c r="G70" i="31"/>
  <c r="I70" i="31"/>
  <c r="E68" i="31"/>
  <c r="E69" i="31"/>
  <c r="E70" i="31"/>
  <c r="D68" i="31"/>
  <c r="D69" i="31"/>
  <c r="D70" i="31"/>
  <c r="F70" i="31"/>
  <c r="I69" i="31"/>
  <c r="F69" i="31"/>
  <c r="I68" i="31"/>
  <c r="F68" i="31"/>
  <c r="H67" i="31"/>
  <c r="G67" i="31"/>
  <c r="I67" i="31"/>
  <c r="E67" i="31"/>
  <c r="D67" i="31"/>
  <c r="F67" i="31"/>
  <c r="I66" i="31"/>
  <c r="F66" i="31"/>
  <c r="I65" i="31"/>
  <c r="F65" i="31"/>
  <c r="H64" i="31"/>
  <c r="G64" i="31"/>
  <c r="I64" i="31"/>
  <c r="E64" i="31"/>
  <c r="D64" i="31"/>
  <c r="F64" i="31"/>
  <c r="I63" i="31"/>
  <c r="F63" i="31"/>
  <c r="I62" i="31"/>
  <c r="F62" i="31"/>
  <c r="H59" i="31"/>
  <c r="H60" i="31"/>
  <c r="H61" i="31"/>
  <c r="G59" i="31"/>
  <c r="G60" i="31"/>
  <c r="G61" i="31"/>
  <c r="I61" i="31"/>
  <c r="E59" i="31"/>
  <c r="E60" i="31"/>
  <c r="E61" i="31"/>
  <c r="D59" i="31"/>
  <c r="D60" i="31"/>
  <c r="D61" i="31"/>
  <c r="F61" i="31"/>
  <c r="I60" i="31"/>
  <c r="F60" i="31"/>
  <c r="I59" i="31"/>
  <c r="F59" i="31"/>
  <c r="H58" i="31"/>
  <c r="G58" i="31"/>
  <c r="I58" i="31"/>
  <c r="E58" i="31"/>
  <c r="D58" i="31"/>
  <c r="F58" i="31"/>
  <c r="I57" i="31"/>
  <c r="F57" i="31"/>
  <c r="I56" i="31"/>
  <c r="F56" i="31"/>
  <c r="H55" i="31"/>
  <c r="G55" i="31"/>
  <c r="I55" i="31"/>
  <c r="E55" i="31"/>
  <c r="D55" i="31"/>
  <c r="F55" i="31"/>
  <c r="I54" i="31"/>
  <c r="F54" i="31"/>
  <c r="I53" i="31"/>
  <c r="F53" i="31"/>
  <c r="H24" i="31"/>
  <c r="H26" i="31"/>
  <c r="H27" i="31"/>
  <c r="H28" i="31"/>
  <c r="H32" i="31"/>
  <c r="H34" i="31"/>
  <c r="H37" i="31"/>
  <c r="H40" i="31"/>
  <c r="H41" i="31"/>
  <c r="H45" i="31"/>
  <c r="H46" i="31"/>
  <c r="H47" i="31"/>
  <c r="G24" i="31"/>
  <c r="G26" i="31"/>
  <c r="G27" i="31"/>
  <c r="G28" i="31"/>
  <c r="G32" i="31"/>
  <c r="G34" i="31"/>
  <c r="G37" i="31"/>
  <c r="G40" i="31"/>
  <c r="G41" i="31"/>
  <c r="G45" i="31"/>
  <c r="G46" i="31"/>
  <c r="G47" i="31"/>
  <c r="I47" i="31"/>
  <c r="E46" i="31"/>
  <c r="E47" i="31"/>
  <c r="D24" i="31"/>
  <c r="D27" i="31"/>
  <c r="D28" i="31"/>
  <c r="D32" i="31"/>
  <c r="D34" i="31"/>
  <c r="D37" i="31"/>
  <c r="D40" i="31"/>
  <c r="D41" i="31"/>
  <c r="D45" i="31"/>
  <c r="D46" i="31"/>
  <c r="D47" i="31"/>
  <c r="F47" i="31"/>
  <c r="I46" i="31"/>
  <c r="F46" i="31"/>
  <c r="I45" i="31"/>
  <c r="F45" i="31"/>
  <c r="I44" i="31"/>
  <c r="F44" i="31"/>
  <c r="I43" i="31"/>
  <c r="F43" i="31"/>
  <c r="I42" i="31"/>
  <c r="F42" i="31"/>
  <c r="I41" i="31"/>
  <c r="F41" i="31"/>
  <c r="I40" i="31"/>
  <c r="F40" i="31"/>
  <c r="I39" i="31"/>
  <c r="F39" i="31"/>
  <c r="I38" i="31"/>
  <c r="F38" i="31"/>
  <c r="I37" i="31"/>
  <c r="F37" i="31"/>
  <c r="I36" i="31"/>
  <c r="F36" i="31"/>
  <c r="I35" i="31"/>
  <c r="F35" i="31"/>
  <c r="I34" i="31"/>
  <c r="F34" i="31"/>
  <c r="I33" i="31"/>
  <c r="F33" i="31"/>
  <c r="I32" i="31"/>
  <c r="F32" i="31"/>
  <c r="I31" i="31"/>
  <c r="F31" i="31"/>
  <c r="I30" i="31"/>
  <c r="F30" i="31"/>
  <c r="I28" i="31"/>
  <c r="F28" i="31"/>
  <c r="I27" i="31"/>
  <c r="F27" i="31"/>
  <c r="I26" i="31"/>
  <c r="F26" i="31"/>
  <c r="I25" i="31"/>
  <c r="F25" i="31"/>
  <c r="I24" i="31"/>
  <c r="F24" i="31"/>
  <c r="I23" i="31"/>
  <c r="F23" i="31"/>
  <c r="D16" i="31"/>
  <c r="C16" i="31"/>
  <c r="B155" i="30"/>
  <c r="G23" i="30"/>
  <c r="H120" i="30"/>
  <c r="G120" i="30"/>
  <c r="H119" i="30"/>
  <c r="G119" i="30"/>
  <c r="H117" i="30"/>
  <c r="G117" i="30"/>
  <c r="H116" i="30"/>
  <c r="G116" i="30"/>
  <c r="H111" i="30"/>
  <c r="G111" i="30"/>
  <c r="H110" i="30"/>
  <c r="G110" i="30"/>
  <c r="H108" i="30"/>
  <c r="G108" i="30"/>
  <c r="H107" i="30"/>
  <c r="G107" i="30"/>
  <c r="H105" i="30"/>
  <c r="G105" i="30"/>
  <c r="H104" i="30"/>
  <c r="G104" i="30"/>
  <c r="H102" i="30"/>
  <c r="G102" i="30"/>
  <c r="H101" i="30"/>
  <c r="G101" i="30"/>
  <c r="H99" i="30"/>
  <c r="G99" i="30"/>
  <c r="H98" i="30"/>
  <c r="G98" i="30"/>
  <c r="F92" i="30"/>
  <c r="F91" i="30"/>
  <c r="F90" i="30"/>
  <c r="F89" i="30"/>
  <c r="F88" i="30"/>
  <c r="F87" i="30"/>
  <c r="H75" i="30"/>
  <c r="G75" i="30"/>
  <c r="H74" i="30"/>
  <c r="G74" i="30"/>
  <c r="H72" i="30"/>
  <c r="G72" i="30"/>
  <c r="H71" i="30"/>
  <c r="G71" i="30"/>
  <c r="H66" i="30"/>
  <c r="G66" i="30"/>
  <c r="H65" i="30"/>
  <c r="G65" i="30"/>
  <c r="H63" i="30"/>
  <c r="G63" i="30"/>
  <c r="H62" i="30"/>
  <c r="G62" i="30"/>
  <c r="H57" i="30"/>
  <c r="G57" i="30"/>
  <c r="H56" i="30"/>
  <c r="G56" i="30"/>
  <c r="H54" i="30"/>
  <c r="G54" i="30"/>
  <c r="H53" i="30"/>
  <c r="G53" i="30"/>
  <c r="H44" i="30"/>
  <c r="G44" i="30"/>
  <c r="H43" i="30"/>
  <c r="G43" i="30"/>
  <c r="H42" i="30"/>
  <c r="G42" i="30"/>
  <c r="H38" i="30"/>
  <c r="G38" i="30"/>
  <c r="H35" i="30"/>
  <c r="G35" i="30"/>
  <c r="H33" i="30"/>
  <c r="G33" i="30"/>
  <c r="H31" i="30"/>
  <c r="G31" i="30"/>
  <c r="H30" i="30"/>
  <c r="G30" i="30"/>
  <c r="H25" i="30"/>
  <c r="G25" i="30"/>
  <c r="H23" i="30"/>
  <c r="E58" i="30"/>
  <c r="D155" i="30"/>
  <c r="E123" i="30"/>
  <c r="D123" i="30"/>
  <c r="E122" i="30"/>
  <c r="D122" i="30"/>
  <c r="E121" i="30"/>
  <c r="D121" i="30"/>
  <c r="F120" i="30"/>
  <c r="G121" i="30"/>
  <c r="F119" i="30"/>
  <c r="E118" i="30"/>
  <c r="D118" i="30"/>
  <c r="H123" i="30"/>
  <c r="G123" i="30"/>
  <c r="F117" i="30"/>
  <c r="H122" i="30"/>
  <c r="G122" i="30"/>
  <c r="F116" i="30"/>
  <c r="E114" i="30"/>
  <c r="E126" i="30"/>
  <c r="D114" i="30"/>
  <c r="E113" i="30"/>
  <c r="E125" i="30"/>
  <c r="D113" i="30"/>
  <c r="D125" i="30"/>
  <c r="E112" i="30"/>
  <c r="D112" i="30"/>
  <c r="F111" i="30"/>
  <c r="F110" i="30"/>
  <c r="E109" i="30"/>
  <c r="D109" i="30"/>
  <c r="F108" i="30"/>
  <c r="F107" i="30"/>
  <c r="E106" i="30"/>
  <c r="D106" i="30"/>
  <c r="F105" i="30"/>
  <c r="F104" i="30"/>
  <c r="E103" i="30"/>
  <c r="F103" i="30"/>
  <c r="D103" i="30"/>
  <c r="I102" i="30"/>
  <c r="F102" i="30"/>
  <c r="H103" i="30"/>
  <c r="I103" i="30"/>
  <c r="G103" i="30"/>
  <c r="F101" i="30"/>
  <c r="E100" i="30"/>
  <c r="D100" i="30"/>
  <c r="F99" i="30"/>
  <c r="G113" i="30"/>
  <c r="F98" i="30"/>
  <c r="E91" i="30"/>
  <c r="E90" i="30"/>
  <c r="E89" i="30"/>
  <c r="D78" i="30"/>
  <c r="E77" i="30"/>
  <c r="D77" i="30"/>
  <c r="D76" i="30"/>
  <c r="E75" i="30"/>
  <c r="E76" i="30"/>
  <c r="F74" i="30"/>
  <c r="D73" i="30"/>
  <c r="E72" i="30"/>
  <c r="E63" i="30"/>
  <c r="F71" i="30"/>
  <c r="D69" i="30"/>
  <c r="D68" i="30"/>
  <c r="D67" i="30"/>
  <c r="E65" i="30"/>
  <c r="F65" i="30"/>
  <c r="D64" i="30"/>
  <c r="G68" i="30"/>
  <c r="E62" i="30"/>
  <c r="E60" i="30"/>
  <c r="D60" i="30"/>
  <c r="E59" i="30"/>
  <c r="D59" i="30"/>
  <c r="F58" i="30"/>
  <c r="D58" i="30"/>
  <c r="F57" i="30"/>
  <c r="F56" i="30"/>
  <c r="E55" i="30"/>
  <c r="D55" i="30"/>
  <c r="H60" i="30"/>
  <c r="G60" i="30"/>
  <c r="F54" i="30"/>
  <c r="H59" i="30"/>
  <c r="G59" i="30"/>
  <c r="F53" i="30"/>
  <c r="I44" i="30"/>
  <c r="F44" i="30"/>
  <c r="I43" i="30"/>
  <c r="F43" i="30"/>
  <c r="E42" i="30"/>
  <c r="E40" i="30"/>
  <c r="D40" i="30"/>
  <c r="F40" i="30"/>
  <c r="I39" i="30"/>
  <c r="F39" i="30"/>
  <c r="H40" i="30"/>
  <c r="G40" i="30"/>
  <c r="F38" i="30"/>
  <c r="E37" i="30"/>
  <c r="E41" i="30"/>
  <c r="F41" i="30"/>
  <c r="D37" i="30"/>
  <c r="D41" i="30"/>
  <c r="I36" i="30"/>
  <c r="F36" i="30"/>
  <c r="H37" i="30"/>
  <c r="G37" i="30"/>
  <c r="F35" i="30"/>
  <c r="I33" i="30"/>
  <c r="F33" i="30"/>
  <c r="E32" i="30"/>
  <c r="E34" i="30"/>
  <c r="F34" i="30"/>
  <c r="D32" i="30"/>
  <c r="D34" i="30"/>
  <c r="I31" i="30"/>
  <c r="F31" i="30"/>
  <c r="G32" i="30"/>
  <c r="G34" i="30"/>
  <c r="F30" i="30"/>
  <c r="E27" i="30"/>
  <c r="D27" i="30"/>
  <c r="F27" i="30"/>
  <c r="H26" i="30"/>
  <c r="I26" i="30"/>
  <c r="G26" i="30"/>
  <c r="F26" i="30"/>
  <c r="H27" i="30"/>
  <c r="G27" i="30"/>
  <c r="F25" i="30"/>
  <c r="E24" i="30"/>
  <c r="E28" i="30"/>
  <c r="D24" i="30"/>
  <c r="D28" i="30"/>
  <c r="D45" i="30"/>
  <c r="D46" i="30"/>
  <c r="D47" i="30"/>
  <c r="G24" i="30"/>
  <c r="F23" i="30"/>
  <c r="D16" i="30"/>
  <c r="C16" i="30"/>
  <c r="D126" i="30"/>
  <c r="F121" i="30"/>
  <c r="F118" i="30"/>
  <c r="F123" i="30"/>
  <c r="D124" i="30"/>
  <c r="G124" i="30"/>
  <c r="I123" i="30"/>
  <c r="F112" i="30"/>
  <c r="G112" i="30"/>
  <c r="I112" i="30"/>
  <c r="D127" i="30"/>
  <c r="G109" i="30"/>
  <c r="F109" i="30"/>
  <c r="G114" i="30"/>
  <c r="G126" i="30"/>
  <c r="F106" i="30"/>
  <c r="F126" i="30"/>
  <c r="G106" i="30"/>
  <c r="G76" i="30"/>
  <c r="G78" i="30"/>
  <c r="G77" i="30"/>
  <c r="F76" i="30"/>
  <c r="G79" i="30"/>
  <c r="G67" i="30"/>
  <c r="G69" i="30"/>
  <c r="D70" i="30"/>
  <c r="G58" i="30"/>
  <c r="F55" i="30"/>
  <c r="F60" i="30"/>
  <c r="D61" i="30"/>
  <c r="F61" i="30"/>
  <c r="I42" i="30"/>
  <c r="I23" i="30"/>
  <c r="H121" i="30"/>
  <c r="I120" i="30"/>
  <c r="E124" i="30"/>
  <c r="F124" i="30"/>
  <c r="H112" i="30"/>
  <c r="I111" i="30"/>
  <c r="H109" i="30"/>
  <c r="I108" i="30"/>
  <c r="H106" i="30"/>
  <c r="I105" i="30"/>
  <c r="F100" i="30"/>
  <c r="G91" i="30"/>
  <c r="G90" i="30"/>
  <c r="G89" i="30"/>
  <c r="E68" i="30"/>
  <c r="E66" i="30"/>
  <c r="I66" i="30"/>
  <c r="F62" i="30"/>
  <c r="F77" i="30"/>
  <c r="H58" i="30"/>
  <c r="I57" i="30"/>
  <c r="E61" i="30"/>
  <c r="H32" i="30"/>
  <c r="H34" i="30"/>
  <c r="I34" i="30"/>
  <c r="F75" i="30"/>
  <c r="E69" i="30"/>
  <c r="F69" i="30"/>
  <c r="I75" i="30"/>
  <c r="G28" i="30"/>
  <c r="I27" i="30"/>
  <c r="I32" i="30"/>
  <c r="G41" i="30"/>
  <c r="I40" i="30"/>
  <c r="G61" i="30"/>
  <c r="I60" i="30"/>
  <c r="E45" i="30"/>
  <c r="F28" i="30"/>
  <c r="H41" i="30"/>
  <c r="I37" i="30"/>
  <c r="I59" i="30"/>
  <c r="H61" i="30"/>
  <c r="F24" i="30"/>
  <c r="H24" i="30"/>
  <c r="I25" i="30"/>
  <c r="I30" i="30"/>
  <c r="I35" i="30"/>
  <c r="I38" i="30"/>
  <c r="F42" i="30"/>
  <c r="H55" i="30"/>
  <c r="F59" i="30"/>
  <c r="G70" i="30"/>
  <c r="I62" i="30"/>
  <c r="F63" i="30"/>
  <c r="H64" i="30"/>
  <c r="E67" i="30"/>
  <c r="F67" i="30"/>
  <c r="H68" i="30"/>
  <c r="F68" i="30"/>
  <c r="I71" i="30"/>
  <c r="G73" i="30"/>
  <c r="H76" i="30"/>
  <c r="H77" i="30"/>
  <c r="D79" i="30"/>
  <c r="I98" i="30"/>
  <c r="H113" i="30"/>
  <c r="I106" i="30"/>
  <c r="I109" i="30"/>
  <c r="I122" i="30"/>
  <c r="H124" i="30"/>
  <c r="I124" i="30"/>
  <c r="I121" i="30"/>
  <c r="F32" i="30"/>
  <c r="F37" i="30"/>
  <c r="I53" i="30"/>
  <c r="I54" i="30"/>
  <c r="G55" i="30"/>
  <c r="I56" i="30"/>
  <c r="E64" i="30"/>
  <c r="F64" i="30"/>
  <c r="G64" i="30"/>
  <c r="E78" i="30"/>
  <c r="F78" i="30"/>
  <c r="F72" i="30"/>
  <c r="E73" i="30"/>
  <c r="F73" i="30"/>
  <c r="I74" i="30"/>
  <c r="G125" i="30"/>
  <c r="I99" i="30"/>
  <c r="H114" i="30"/>
  <c r="H100" i="30"/>
  <c r="E127" i="30"/>
  <c r="F125" i="30"/>
  <c r="F113" i="30"/>
  <c r="F114" i="30"/>
  <c r="D115" i="30"/>
  <c r="H118" i="30"/>
  <c r="F122" i="30"/>
  <c r="G100" i="30"/>
  <c r="I101" i="30"/>
  <c r="I104" i="30"/>
  <c r="I107" i="30"/>
  <c r="I110" i="30"/>
  <c r="E115" i="30"/>
  <c r="F115" i="30"/>
  <c r="I116" i="30"/>
  <c r="I117" i="30"/>
  <c r="G118" i="30"/>
  <c r="I119" i="30"/>
  <c r="B155" i="29"/>
  <c r="I41" i="30"/>
  <c r="I58" i="30"/>
  <c r="G127" i="30"/>
  <c r="F127" i="30"/>
  <c r="G115" i="30"/>
  <c r="I76" i="30"/>
  <c r="F66" i="30"/>
  <c r="E70" i="30"/>
  <c r="F70" i="30"/>
  <c r="I68" i="30"/>
  <c r="I118" i="30"/>
  <c r="I100" i="30"/>
  <c r="I114" i="30"/>
  <c r="H126" i="30"/>
  <c r="I126" i="30"/>
  <c r="I77" i="30"/>
  <c r="I63" i="30"/>
  <c r="H69" i="30"/>
  <c r="I69" i="30"/>
  <c r="I55" i="30"/>
  <c r="I24" i="30"/>
  <c r="H28" i="30"/>
  <c r="I61" i="30"/>
  <c r="H78" i="30"/>
  <c r="I78" i="30"/>
  <c r="I72" i="30"/>
  <c r="I113" i="30"/>
  <c r="H125" i="30"/>
  <c r="H115" i="30"/>
  <c r="I115" i="30"/>
  <c r="E79" i="30"/>
  <c r="F79" i="30"/>
  <c r="H73" i="30"/>
  <c r="I73" i="30"/>
  <c r="I65" i="30"/>
  <c r="H67" i="30"/>
  <c r="I67" i="30"/>
  <c r="I64" i="30"/>
  <c r="C155" i="30"/>
  <c r="H155" i="30"/>
  <c r="E46" i="30"/>
  <c r="F45" i="30"/>
  <c r="G45" i="30"/>
  <c r="G46" i="30"/>
  <c r="G47" i="30"/>
  <c r="H120" i="29"/>
  <c r="G120" i="29"/>
  <c r="H119" i="29"/>
  <c r="G119" i="29"/>
  <c r="H117" i="29"/>
  <c r="G117" i="29"/>
  <c r="H116" i="29"/>
  <c r="G116" i="29"/>
  <c r="H111" i="29"/>
  <c r="G111" i="29"/>
  <c r="H110" i="29"/>
  <c r="G110" i="29"/>
  <c r="H108" i="29"/>
  <c r="G108" i="29"/>
  <c r="H107" i="29"/>
  <c r="G107" i="29"/>
  <c r="H105" i="29"/>
  <c r="G105" i="29"/>
  <c r="H104" i="29"/>
  <c r="G104" i="29"/>
  <c r="H102" i="29"/>
  <c r="G102" i="29"/>
  <c r="H101" i="29"/>
  <c r="G101" i="29"/>
  <c r="H99" i="29"/>
  <c r="G99" i="29"/>
  <c r="H98" i="29"/>
  <c r="G98" i="29"/>
  <c r="F92" i="29"/>
  <c r="F91" i="29"/>
  <c r="F90" i="29"/>
  <c r="F89" i="29"/>
  <c r="F88" i="29"/>
  <c r="F87" i="29"/>
  <c r="H75" i="29"/>
  <c r="G75" i="29"/>
  <c r="H74" i="29"/>
  <c r="G74" i="29"/>
  <c r="H72" i="29"/>
  <c r="G72" i="29"/>
  <c r="H71" i="29"/>
  <c r="G71" i="29"/>
  <c r="H66" i="29"/>
  <c r="G66" i="29"/>
  <c r="H65" i="29"/>
  <c r="G65" i="29"/>
  <c r="H63" i="29"/>
  <c r="G63" i="29"/>
  <c r="H62" i="29"/>
  <c r="G62" i="29"/>
  <c r="H57" i="29"/>
  <c r="G57" i="29"/>
  <c r="H56" i="29"/>
  <c r="G56" i="29"/>
  <c r="H54" i="29"/>
  <c r="G54" i="29"/>
  <c r="H53" i="29"/>
  <c r="G53" i="29"/>
  <c r="H44" i="29"/>
  <c r="G44" i="29"/>
  <c r="H43" i="29"/>
  <c r="G43" i="29"/>
  <c r="H42" i="29"/>
  <c r="G42" i="29"/>
  <c r="H38" i="29"/>
  <c r="G38" i="29"/>
  <c r="H35" i="29"/>
  <c r="G35" i="29"/>
  <c r="H33" i="29"/>
  <c r="G33" i="29"/>
  <c r="H31" i="29"/>
  <c r="G31" i="29"/>
  <c r="H30" i="29"/>
  <c r="G30" i="29"/>
  <c r="H25" i="29"/>
  <c r="G25" i="29"/>
  <c r="H23" i="29"/>
  <c r="G23" i="29"/>
  <c r="E47" i="30"/>
  <c r="F47" i="30"/>
  <c r="F46" i="30"/>
  <c r="I125" i="30"/>
  <c r="H127" i="30"/>
  <c r="I127" i="30"/>
  <c r="H79" i="30"/>
  <c r="I79" i="30"/>
  <c r="H70" i="30"/>
  <c r="I70" i="30"/>
  <c r="H45" i="30"/>
  <c r="I28" i="30"/>
  <c r="D155" i="29"/>
  <c r="F123" i="29"/>
  <c r="E123" i="29"/>
  <c r="D123" i="29"/>
  <c r="E122" i="29"/>
  <c r="D122" i="29"/>
  <c r="D124" i="29"/>
  <c r="E121" i="29"/>
  <c r="D121" i="29"/>
  <c r="F121" i="29"/>
  <c r="I120" i="29"/>
  <c r="F120" i="29"/>
  <c r="H121" i="29"/>
  <c r="G121" i="29"/>
  <c r="F119" i="29"/>
  <c r="E118" i="29"/>
  <c r="F118" i="29"/>
  <c r="D118" i="29"/>
  <c r="I117" i="29"/>
  <c r="G123" i="29"/>
  <c r="F117" i="29"/>
  <c r="F116" i="29"/>
  <c r="E114" i="29"/>
  <c r="E126" i="29"/>
  <c r="D114" i="29"/>
  <c r="E113" i="29"/>
  <c r="E125" i="29"/>
  <c r="D113" i="29"/>
  <c r="D125" i="29"/>
  <c r="E112" i="29"/>
  <c r="D112" i="29"/>
  <c r="F111" i="29"/>
  <c r="I110" i="29"/>
  <c r="F110" i="29"/>
  <c r="E109" i="29"/>
  <c r="D109" i="29"/>
  <c r="F108" i="29"/>
  <c r="H109" i="29"/>
  <c r="F107" i="29"/>
  <c r="E106" i="29"/>
  <c r="D106" i="29"/>
  <c r="F105" i="29"/>
  <c r="F104" i="29"/>
  <c r="G103" i="29"/>
  <c r="F103" i="29"/>
  <c r="E103" i="29"/>
  <c r="D103" i="29"/>
  <c r="I102" i="29"/>
  <c r="F102" i="29"/>
  <c r="H103" i="29"/>
  <c r="I103" i="29"/>
  <c r="F101" i="29"/>
  <c r="H100" i="29"/>
  <c r="E100" i="29"/>
  <c r="D100" i="29"/>
  <c r="F100" i="29"/>
  <c r="I99" i="29"/>
  <c r="G114" i="29"/>
  <c r="F99" i="29"/>
  <c r="I98" i="29"/>
  <c r="G100" i="29"/>
  <c r="F98" i="29"/>
  <c r="E91" i="29"/>
  <c r="E90" i="29"/>
  <c r="E89" i="29"/>
  <c r="D78" i="29"/>
  <c r="E77" i="29"/>
  <c r="D77" i="29"/>
  <c r="D76" i="29"/>
  <c r="E75" i="29"/>
  <c r="E76" i="29"/>
  <c r="F74" i="29"/>
  <c r="D73" i="29"/>
  <c r="E72" i="29"/>
  <c r="F71" i="29"/>
  <c r="D69" i="29"/>
  <c r="D68" i="29"/>
  <c r="D67" i="29"/>
  <c r="E65" i="29"/>
  <c r="F65" i="29"/>
  <c r="D64" i="29"/>
  <c r="G64" i="29"/>
  <c r="E62" i="29"/>
  <c r="E68" i="29"/>
  <c r="E60" i="29"/>
  <c r="D60" i="29"/>
  <c r="E59" i="29"/>
  <c r="E61" i="29"/>
  <c r="D59" i="29"/>
  <c r="E58" i="29"/>
  <c r="D58" i="29"/>
  <c r="G58" i="29"/>
  <c r="F57" i="29"/>
  <c r="H58" i="29"/>
  <c r="F56" i="29"/>
  <c r="E55" i="29"/>
  <c r="D55" i="29"/>
  <c r="F54" i="29"/>
  <c r="I53" i="29"/>
  <c r="G59" i="29"/>
  <c r="F53" i="29"/>
  <c r="I44" i="29"/>
  <c r="F44" i="29"/>
  <c r="I43" i="29"/>
  <c r="F43" i="29"/>
  <c r="E42" i="29"/>
  <c r="I42" i="29"/>
  <c r="G40" i="29"/>
  <c r="E40" i="29"/>
  <c r="F40" i="29"/>
  <c r="D40" i="29"/>
  <c r="I39" i="29"/>
  <c r="F39" i="29"/>
  <c r="H40" i="29"/>
  <c r="I38" i="29"/>
  <c r="F38" i="29"/>
  <c r="G37" i="29"/>
  <c r="E37" i="29"/>
  <c r="F37" i="29"/>
  <c r="D37" i="29"/>
  <c r="D41" i="29"/>
  <c r="I36" i="29"/>
  <c r="F36" i="29"/>
  <c r="H37" i="29"/>
  <c r="I35" i="29"/>
  <c r="F35" i="29"/>
  <c r="I33" i="29"/>
  <c r="F33" i="29"/>
  <c r="E32" i="29"/>
  <c r="D32" i="29"/>
  <c r="D34" i="29"/>
  <c r="I31" i="29"/>
  <c r="F31" i="29"/>
  <c r="F30" i="29"/>
  <c r="E27" i="29"/>
  <c r="D27" i="29"/>
  <c r="H26" i="29"/>
  <c r="G26" i="29"/>
  <c r="I26" i="29"/>
  <c r="F26" i="29"/>
  <c r="H27" i="29"/>
  <c r="G27" i="29"/>
  <c r="F25" i="29"/>
  <c r="H24" i="29"/>
  <c r="E24" i="29"/>
  <c r="D24" i="29"/>
  <c r="D28" i="29"/>
  <c r="D45" i="29"/>
  <c r="D46" i="29"/>
  <c r="D47" i="29"/>
  <c r="I23" i="29"/>
  <c r="F23" i="29"/>
  <c r="D16" i="29"/>
  <c r="C16" i="29"/>
  <c r="I45" i="30"/>
  <c r="H46" i="30"/>
  <c r="G126" i="29"/>
  <c r="I100" i="29"/>
  <c r="G122" i="29"/>
  <c r="I121" i="29"/>
  <c r="I116" i="29"/>
  <c r="F122" i="29"/>
  <c r="G109" i="29"/>
  <c r="I108" i="29"/>
  <c r="F109" i="29"/>
  <c r="I109" i="29"/>
  <c r="G106" i="29"/>
  <c r="I105" i="29"/>
  <c r="G112" i="29"/>
  <c r="I111" i="29"/>
  <c r="I104" i="29"/>
  <c r="G78" i="29"/>
  <c r="G76" i="29"/>
  <c r="G77" i="29"/>
  <c r="G79" i="29"/>
  <c r="D79" i="29"/>
  <c r="I71" i="29"/>
  <c r="G73" i="29"/>
  <c r="F77" i="29"/>
  <c r="G69" i="29"/>
  <c r="G67" i="29"/>
  <c r="D70" i="29"/>
  <c r="F60" i="29"/>
  <c r="I57" i="29"/>
  <c r="I58" i="29"/>
  <c r="G60" i="29"/>
  <c r="G61" i="29"/>
  <c r="F58" i="29"/>
  <c r="I54" i="29"/>
  <c r="F27" i="29"/>
  <c r="H112" i="29"/>
  <c r="H106" i="29"/>
  <c r="I106" i="29"/>
  <c r="F42" i="29"/>
  <c r="F112" i="29"/>
  <c r="F113" i="29"/>
  <c r="F106" i="29"/>
  <c r="F114" i="29"/>
  <c r="G91" i="29"/>
  <c r="G90" i="29"/>
  <c r="G89" i="29"/>
  <c r="E66" i="29"/>
  <c r="I66" i="29"/>
  <c r="I75" i="29"/>
  <c r="F55" i="29"/>
  <c r="H55" i="29"/>
  <c r="F59" i="29"/>
  <c r="E41" i="29"/>
  <c r="F41" i="29"/>
  <c r="H32" i="29"/>
  <c r="H34" i="29"/>
  <c r="H28" i="29"/>
  <c r="F66" i="29"/>
  <c r="F76" i="29"/>
  <c r="F75" i="29"/>
  <c r="I27" i="29"/>
  <c r="H76" i="29"/>
  <c r="I76" i="29"/>
  <c r="I25" i="29"/>
  <c r="G32" i="29"/>
  <c r="I30" i="29"/>
  <c r="G24" i="29"/>
  <c r="E34" i="29"/>
  <c r="F34" i="29"/>
  <c r="F32" i="29"/>
  <c r="G124" i="29"/>
  <c r="H41" i="29"/>
  <c r="I37" i="29"/>
  <c r="I40" i="29"/>
  <c r="G41" i="29"/>
  <c r="F24" i="29"/>
  <c r="E28" i="29"/>
  <c r="F68" i="29"/>
  <c r="H78" i="29"/>
  <c r="I78" i="29"/>
  <c r="I72" i="29"/>
  <c r="E127" i="29"/>
  <c r="F125" i="29"/>
  <c r="H114" i="29"/>
  <c r="H118" i="29"/>
  <c r="H122" i="29"/>
  <c r="D126" i="29"/>
  <c r="F126" i="29"/>
  <c r="H59" i="29"/>
  <c r="D61" i="29"/>
  <c r="F61" i="29"/>
  <c r="I56" i="29"/>
  <c r="E67" i="29"/>
  <c r="F67" i="29"/>
  <c r="G68" i="29"/>
  <c r="G70" i="29"/>
  <c r="F72" i="29"/>
  <c r="H73" i="29"/>
  <c r="I73" i="29"/>
  <c r="E78" i="29"/>
  <c r="F78" i="29"/>
  <c r="I101" i="29"/>
  <c r="I107" i="29"/>
  <c r="G113" i="29"/>
  <c r="I119" i="29"/>
  <c r="E124" i="29"/>
  <c r="F124" i="29"/>
  <c r="H60" i="29"/>
  <c r="I60" i="29"/>
  <c r="E73" i="29"/>
  <c r="F73" i="29"/>
  <c r="I74" i="29"/>
  <c r="H77" i="29"/>
  <c r="H113" i="29"/>
  <c r="D115" i="29"/>
  <c r="H123" i="29"/>
  <c r="I123" i="29"/>
  <c r="G55" i="29"/>
  <c r="I55" i="29"/>
  <c r="F62" i="29"/>
  <c r="E63" i="29"/>
  <c r="E115" i="29"/>
  <c r="G118" i="29"/>
  <c r="I46" i="30"/>
  <c r="H47" i="30"/>
  <c r="I47" i="30"/>
  <c r="I112" i="29"/>
  <c r="I118" i="29"/>
  <c r="D127" i="29"/>
  <c r="F127" i="29"/>
  <c r="E79" i="29"/>
  <c r="F79" i="29"/>
  <c r="H45" i="29"/>
  <c r="H46" i="29"/>
  <c r="I113" i="29"/>
  <c r="H125" i="29"/>
  <c r="H115" i="29"/>
  <c r="I59" i="29"/>
  <c r="H61" i="29"/>
  <c r="I61" i="29"/>
  <c r="I77" i="29"/>
  <c r="H79" i="29"/>
  <c r="I79" i="29"/>
  <c r="I41" i="29"/>
  <c r="F115" i="29"/>
  <c r="I122" i="29"/>
  <c r="H124" i="29"/>
  <c r="I124" i="29"/>
  <c r="G125" i="29"/>
  <c r="G127" i="29"/>
  <c r="G115" i="29"/>
  <c r="I24" i="29"/>
  <c r="G28" i="29"/>
  <c r="I114" i="29"/>
  <c r="H126" i="29"/>
  <c r="I126" i="29"/>
  <c r="E69" i="29"/>
  <c r="F63" i="29"/>
  <c r="I65" i="29"/>
  <c r="H67" i="29"/>
  <c r="I67" i="29"/>
  <c r="E64" i="29"/>
  <c r="F64" i="29"/>
  <c r="E45" i="29"/>
  <c r="F28" i="29"/>
  <c r="H68" i="29"/>
  <c r="I62" i="29"/>
  <c r="H64" i="29"/>
  <c r="I64" i="29"/>
  <c r="I32" i="29"/>
  <c r="G34" i="29"/>
  <c r="I34" i="29"/>
  <c r="I115" i="29"/>
  <c r="C155" i="29"/>
  <c r="H155" i="29"/>
  <c r="E46" i="29"/>
  <c r="F45" i="29"/>
  <c r="F69" i="29"/>
  <c r="E70" i="29"/>
  <c r="F70" i="29"/>
  <c r="H47" i="29"/>
  <c r="G45" i="29"/>
  <c r="I28" i="29"/>
  <c r="I125" i="29"/>
  <c r="H127" i="29"/>
  <c r="I127" i="29"/>
  <c r="I68" i="29"/>
  <c r="I63" i="29"/>
  <c r="H69" i="29"/>
  <c r="I69" i="29"/>
  <c r="G46" i="29"/>
  <c r="I45" i="29"/>
  <c r="E47" i="29"/>
  <c r="F47" i="29"/>
  <c r="F46" i="29"/>
  <c r="H70" i="29"/>
  <c r="I70" i="29"/>
  <c r="G47" i="29"/>
  <c r="I47" i="29"/>
  <c r="I46" i="29"/>
  <c r="D155" i="28"/>
  <c r="B155" i="28"/>
  <c r="F92" i="28"/>
  <c r="F91" i="28"/>
  <c r="F90" i="28"/>
  <c r="F89" i="28"/>
  <c r="F88" i="28"/>
  <c r="F87" i="28"/>
  <c r="H75" i="28"/>
  <c r="H120" i="28"/>
  <c r="H119" i="28"/>
  <c r="H117" i="28"/>
  <c r="H116" i="28"/>
  <c r="H111" i="28"/>
  <c r="H110" i="28"/>
  <c r="H108" i="28"/>
  <c r="H107" i="28"/>
  <c r="H105" i="28"/>
  <c r="H104" i="28"/>
  <c r="H102" i="28"/>
  <c r="H101" i="28"/>
  <c r="H99" i="28"/>
  <c r="H98" i="28"/>
  <c r="H74" i="28"/>
  <c r="H72" i="28"/>
  <c r="H71" i="28"/>
  <c r="H66" i="28"/>
  <c r="H65" i="28"/>
  <c r="H63" i="28"/>
  <c r="H62" i="28"/>
  <c r="H57" i="28"/>
  <c r="H56" i="28"/>
  <c r="H54" i="28"/>
  <c r="H53" i="28"/>
  <c r="H44" i="28"/>
  <c r="H43" i="28"/>
  <c r="H42" i="28"/>
  <c r="H38" i="28"/>
  <c r="H35" i="28"/>
  <c r="H33" i="28"/>
  <c r="H31" i="28"/>
  <c r="H30" i="28"/>
  <c r="H25" i="28"/>
  <c r="H23" i="28"/>
  <c r="G23" i="28"/>
  <c r="G120" i="28"/>
  <c r="G119" i="28"/>
  <c r="G117" i="28"/>
  <c r="G116" i="28"/>
  <c r="G111" i="28"/>
  <c r="G110" i="28"/>
  <c r="G108" i="28"/>
  <c r="G107" i="28"/>
  <c r="G105" i="28"/>
  <c r="G104" i="28"/>
  <c r="G102" i="28"/>
  <c r="G101" i="28"/>
  <c r="G99" i="28"/>
  <c r="G98" i="28"/>
  <c r="G75" i="28"/>
  <c r="G74" i="28"/>
  <c r="G72" i="28"/>
  <c r="G71" i="28"/>
  <c r="G66" i="28"/>
  <c r="G65" i="28"/>
  <c r="G63" i="28"/>
  <c r="G62" i="28"/>
  <c r="G57" i="28"/>
  <c r="G56" i="28"/>
  <c r="G54" i="28"/>
  <c r="G53" i="28"/>
  <c r="G44" i="28"/>
  <c r="G43" i="28"/>
  <c r="G42" i="28"/>
  <c r="G38" i="28"/>
  <c r="G35" i="28"/>
  <c r="G33" i="28"/>
  <c r="G31" i="28"/>
  <c r="G30" i="28"/>
  <c r="G25" i="28"/>
  <c r="G23" i="26"/>
  <c r="H101" i="26"/>
  <c r="E72" i="28"/>
  <c r="E123" i="28"/>
  <c r="F123" i="28"/>
  <c r="D123" i="28"/>
  <c r="E122" i="28"/>
  <c r="F122" i="28"/>
  <c r="D122" i="28"/>
  <c r="D124" i="28"/>
  <c r="E121" i="28"/>
  <c r="F121" i="28"/>
  <c r="D121" i="28"/>
  <c r="I120" i="28"/>
  <c r="F120" i="28"/>
  <c r="G121" i="28"/>
  <c r="F119" i="28"/>
  <c r="E118" i="28"/>
  <c r="D118" i="28"/>
  <c r="G123" i="28"/>
  <c r="F117" i="28"/>
  <c r="G122" i="28"/>
  <c r="F116" i="28"/>
  <c r="E114" i="28"/>
  <c r="E126" i="28"/>
  <c r="D114" i="28"/>
  <c r="D126" i="28"/>
  <c r="E113" i="28"/>
  <c r="D113" i="28"/>
  <c r="D125" i="28"/>
  <c r="D127" i="28"/>
  <c r="E112" i="28"/>
  <c r="D112" i="28"/>
  <c r="F111" i="28"/>
  <c r="I110" i="28"/>
  <c r="F110" i="28"/>
  <c r="E109" i="28"/>
  <c r="D109" i="28"/>
  <c r="I108" i="28"/>
  <c r="F108" i="28"/>
  <c r="I107" i="28"/>
  <c r="G109" i="28"/>
  <c r="F107" i="28"/>
  <c r="E106" i="28"/>
  <c r="D106" i="28"/>
  <c r="F105" i="28"/>
  <c r="I104" i="28"/>
  <c r="F104" i="28"/>
  <c r="E103" i="28"/>
  <c r="D103" i="28"/>
  <c r="F103" i="28"/>
  <c r="I102" i="28"/>
  <c r="F102" i="28"/>
  <c r="I101" i="28"/>
  <c r="G103" i="28"/>
  <c r="F101" i="28"/>
  <c r="E100" i="28"/>
  <c r="D100" i="28"/>
  <c r="F100" i="28"/>
  <c r="I99" i="28"/>
  <c r="G114" i="28"/>
  <c r="G126" i="28"/>
  <c r="F99" i="28"/>
  <c r="I98" i="28"/>
  <c r="G113" i="28"/>
  <c r="F98" i="28"/>
  <c r="E91" i="28"/>
  <c r="G90" i="28"/>
  <c r="E90" i="28"/>
  <c r="E89" i="28"/>
  <c r="G89" i="28"/>
  <c r="D78" i="28"/>
  <c r="E77" i="28"/>
  <c r="D77" i="28"/>
  <c r="D76" i="28"/>
  <c r="E75" i="28"/>
  <c r="E76" i="28"/>
  <c r="F74" i="28"/>
  <c r="D73" i="28"/>
  <c r="G78" i="28"/>
  <c r="E63" i="28"/>
  <c r="G77" i="28"/>
  <c r="F71" i="28"/>
  <c r="D69" i="28"/>
  <c r="D68" i="28"/>
  <c r="D67" i="28"/>
  <c r="E65" i="28"/>
  <c r="D64" i="28"/>
  <c r="G69" i="28"/>
  <c r="G68" i="28"/>
  <c r="E62" i="28"/>
  <c r="E60" i="28"/>
  <c r="D60" i="28"/>
  <c r="E59" i="28"/>
  <c r="D59" i="28"/>
  <c r="E58" i="28"/>
  <c r="D58" i="28"/>
  <c r="F57" i="28"/>
  <c r="G58" i="28"/>
  <c r="F56" i="28"/>
  <c r="E55" i="28"/>
  <c r="D55" i="28"/>
  <c r="H60" i="28"/>
  <c r="G60" i="28"/>
  <c r="F54" i="28"/>
  <c r="H59" i="28"/>
  <c r="G59" i="28"/>
  <c r="F53" i="28"/>
  <c r="I44" i="28"/>
  <c r="F44" i="28"/>
  <c r="F43" i="28"/>
  <c r="E42" i="28"/>
  <c r="I42" i="28"/>
  <c r="E40" i="28"/>
  <c r="D40" i="28"/>
  <c r="I39" i="28"/>
  <c r="F39" i="28"/>
  <c r="I38" i="28"/>
  <c r="G40" i="28"/>
  <c r="F38" i="28"/>
  <c r="E37" i="28"/>
  <c r="E41" i="28"/>
  <c r="D37" i="28"/>
  <c r="D41" i="28"/>
  <c r="I36" i="28"/>
  <c r="F36" i="28"/>
  <c r="H37" i="28"/>
  <c r="G37" i="28"/>
  <c r="F35" i="28"/>
  <c r="I33" i="28"/>
  <c r="F33" i="28"/>
  <c r="E32" i="28"/>
  <c r="E34" i="28"/>
  <c r="D32" i="28"/>
  <c r="D34" i="28"/>
  <c r="I31" i="28"/>
  <c r="F31" i="28"/>
  <c r="I30" i="28"/>
  <c r="G32" i="28"/>
  <c r="G34" i="28"/>
  <c r="F30" i="28"/>
  <c r="E27" i="28"/>
  <c r="D27" i="28"/>
  <c r="H26" i="28"/>
  <c r="I26" i="28"/>
  <c r="G26" i="28"/>
  <c r="F26" i="28"/>
  <c r="H27" i="28"/>
  <c r="G27" i="28"/>
  <c r="F25" i="28"/>
  <c r="E24" i="28"/>
  <c r="E28" i="28"/>
  <c r="D24" i="28"/>
  <c r="D28" i="28"/>
  <c r="D45" i="28"/>
  <c r="D46" i="28"/>
  <c r="D47" i="28"/>
  <c r="H24" i="28"/>
  <c r="G24" i="28"/>
  <c r="F23" i="28"/>
  <c r="D16" i="28"/>
  <c r="C16" i="28"/>
  <c r="F40" i="28"/>
  <c r="G41" i="28"/>
  <c r="G28" i="28"/>
  <c r="I27" i="28"/>
  <c r="G112" i="28"/>
  <c r="I111" i="28"/>
  <c r="F126" i="28"/>
  <c r="G106" i="28"/>
  <c r="I105" i="28"/>
  <c r="G76" i="28"/>
  <c r="F76" i="28"/>
  <c r="G79" i="28"/>
  <c r="G67" i="28"/>
  <c r="D70" i="28"/>
  <c r="F58" i="28"/>
  <c r="D61" i="28"/>
  <c r="G61" i="28"/>
  <c r="I60" i="28"/>
  <c r="F55" i="28"/>
  <c r="F60" i="28"/>
  <c r="H121" i="28"/>
  <c r="I121" i="28"/>
  <c r="E125" i="28"/>
  <c r="H118" i="28"/>
  <c r="F118" i="28"/>
  <c r="F112" i="28"/>
  <c r="F109" i="28"/>
  <c r="F106" i="28"/>
  <c r="H113" i="28"/>
  <c r="G91" i="28"/>
  <c r="E66" i="28"/>
  <c r="I66" i="28"/>
  <c r="E69" i="28"/>
  <c r="F69" i="28"/>
  <c r="F62" i="28"/>
  <c r="F77" i="28"/>
  <c r="E61" i="28"/>
  <c r="H58" i="28"/>
  <c r="I58" i="28"/>
  <c r="I57" i="28"/>
  <c r="I43" i="28"/>
  <c r="F27" i="28"/>
  <c r="F66" i="28"/>
  <c r="F75" i="28"/>
  <c r="I75" i="28"/>
  <c r="H28" i="28"/>
  <c r="I24" i="28"/>
  <c r="E45" i="28"/>
  <c r="F28" i="28"/>
  <c r="F34" i="28"/>
  <c r="I37" i="28"/>
  <c r="F41" i="28"/>
  <c r="I59" i="28"/>
  <c r="H61" i="28"/>
  <c r="F24" i="28"/>
  <c r="F32" i="28"/>
  <c r="H32" i="28"/>
  <c r="F37" i="28"/>
  <c r="H40" i="28"/>
  <c r="I40" i="28"/>
  <c r="I23" i="28"/>
  <c r="I25" i="28"/>
  <c r="I35" i="28"/>
  <c r="F42" i="28"/>
  <c r="H55" i="28"/>
  <c r="F59" i="28"/>
  <c r="E68" i="28"/>
  <c r="G70" i="28"/>
  <c r="I62" i="28"/>
  <c r="F63" i="28"/>
  <c r="H64" i="28"/>
  <c r="I71" i="28"/>
  <c r="G73" i="28"/>
  <c r="H76" i="28"/>
  <c r="H77" i="28"/>
  <c r="D79" i="28"/>
  <c r="F113" i="28"/>
  <c r="F114" i="28"/>
  <c r="D115" i="28"/>
  <c r="G124" i="28"/>
  <c r="H123" i="28"/>
  <c r="I123" i="28"/>
  <c r="I117" i="28"/>
  <c r="I53" i="28"/>
  <c r="I54" i="28"/>
  <c r="G55" i="28"/>
  <c r="I56" i="28"/>
  <c r="E64" i="28"/>
  <c r="F64" i="28"/>
  <c r="G64" i="28"/>
  <c r="E67" i="28"/>
  <c r="F67" i="28"/>
  <c r="H68" i="28"/>
  <c r="F65" i="28"/>
  <c r="E78" i="28"/>
  <c r="F78" i="28"/>
  <c r="F72" i="28"/>
  <c r="E73" i="28"/>
  <c r="F73" i="28"/>
  <c r="I74" i="28"/>
  <c r="G125" i="28"/>
  <c r="G127" i="28"/>
  <c r="G115" i="28"/>
  <c r="H100" i="28"/>
  <c r="H103" i="28"/>
  <c r="I103" i="28"/>
  <c r="H106" i="28"/>
  <c r="I106" i="28"/>
  <c r="H109" i="28"/>
  <c r="I109" i="28"/>
  <c r="H112" i="28"/>
  <c r="F125" i="28"/>
  <c r="E127" i="28"/>
  <c r="F127" i="28"/>
  <c r="I113" i="28"/>
  <c r="H114" i="28"/>
  <c r="H122" i="28"/>
  <c r="I116" i="28"/>
  <c r="G100" i="28"/>
  <c r="E115" i="28"/>
  <c r="G118" i="28"/>
  <c r="I119" i="28"/>
  <c r="E124" i="28"/>
  <c r="F124" i="28"/>
  <c r="D155" i="27"/>
  <c r="I118" i="28"/>
  <c r="I76" i="28"/>
  <c r="G45" i="28"/>
  <c r="G46" i="28"/>
  <c r="G47" i="28"/>
  <c r="I112" i="28"/>
  <c r="I64" i="28"/>
  <c r="F61" i="28"/>
  <c r="I61" i="28"/>
  <c r="H124" i="28"/>
  <c r="I124" i="28"/>
  <c r="I122" i="28"/>
  <c r="H78" i="28"/>
  <c r="I78" i="28"/>
  <c r="I72" i="28"/>
  <c r="H41" i="28"/>
  <c r="I41" i="28"/>
  <c r="C155" i="28"/>
  <c r="H155" i="28"/>
  <c r="E46" i="28"/>
  <c r="F45" i="28"/>
  <c r="I68" i="28"/>
  <c r="F115" i="28"/>
  <c r="H126" i="28"/>
  <c r="I126" i="28"/>
  <c r="I114" i="28"/>
  <c r="H125" i="28"/>
  <c r="I65" i="28"/>
  <c r="H67" i="28"/>
  <c r="I67" i="28"/>
  <c r="E79" i="28"/>
  <c r="F79" i="28"/>
  <c r="H73" i="28"/>
  <c r="I73" i="28"/>
  <c r="I63" i="28"/>
  <c r="H69" i="28"/>
  <c r="I69" i="28"/>
  <c r="E70" i="28"/>
  <c r="F70" i="28"/>
  <c r="F68" i="28"/>
  <c r="I55" i="28"/>
  <c r="H115" i="28"/>
  <c r="I115" i="28"/>
  <c r="I100" i="28"/>
  <c r="I77" i="28"/>
  <c r="H34" i="28"/>
  <c r="I34" i="28"/>
  <c r="I32" i="28"/>
  <c r="I28" i="28"/>
  <c r="H120" i="27"/>
  <c r="H119" i="27"/>
  <c r="H117" i="27"/>
  <c r="H116" i="27"/>
  <c r="H111" i="27"/>
  <c r="H110" i="27"/>
  <c r="H108" i="27"/>
  <c r="H107" i="27"/>
  <c r="H105" i="27"/>
  <c r="H104" i="27"/>
  <c r="H102" i="27"/>
  <c r="H101" i="27"/>
  <c r="H99" i="27"/>
  <c r="H98" i="27"/>
  <c r="G120" i="27"/>
  <c r="G119" i="27"/>
  <c r="G117" i="27"/>
  <c r="G116" i="27"/>
  <c r="G111" i="27"/>
  <c r="G110" i="27"/>
  <c r="G108" i="27"/>
  <c r="G107" i="27"/>
  <c r="G105" i="27"/>
  <c r="G104" i="27"/>
  <c r="G102" i="27"/>
  <c r="G101" i="27"/>
  <c r="G99" i="27"/>
  <c r="G98" i="27"/>
  <c r="F92" i="27"/>
  <c r="F91" i="27"/>
  <c r="F90" i="27"/>
  <c r="F89" i="27"/>
  <c r="F88" i="27"/>
  <c r="F87" i="27"/>
  <c r="H75" i="27"/>
  <c r="H74" i="27"/>
  <c r="H72" i="27"/>
  <c r="H71" i="27"/>
  <c r="H66" i="27"/>
  <c r="H65" i="27"/>
  <c r="H63" i="27"/>
  <c r="H62" i="27"/>
  <c r="H57" i="27"/>
  <c r="H56" i="27"/>
  <c r="H54" i="27"/>
  <c r="H53" i="27"/>
  <c r="G75" i="27"/>
  <c r="G74" i="27"/>
  <c r="G72" i="27"/>
  <c r="G71" i="27"/>
  <c r="G66" i="27"/>
  <c r="G65" i="27"/>
  <c r="G64" i="27"/>
  <c r="G63" i="27"/>
  <c r="G62" i="27"/>
  <c r="G57" i="27"/>
  <c r="G56" i="27"/>
  <c r="G54" i="27"/>
  <c r="G53" i="27"/>
  <c r="H44" i="27"/>
  <c r="H43" i="27"/>
  <c r="H38" i="27"/>
  <c r="H35" i="27"/>
  <c r="H33" i="27"/>
  <c r="G44" i="27"/>
  <c r="G43" i="27"/>
  <c r="G42" i="27"/>
  <c r="G38" i="27"/>
  <c r="G35" i="27"/>
  <c r="G33" i="27"/>
  <c r="G31" i="27"/>
  <c r="H31" i="27"/>
  <c r="H30" i="27"/>
  <c r="G30" i="27"/>
  <c r="H25" i="27"/>
  <c r="G25" i="27"/>
  <c r="H23" i="27"/>
  <c r="G23" i="27"/>
  <c r="H79" i="28"/>
  <c r="I79" i="28"/>
  <c r="E47" i="28"/>
  <c r="F47" i="28"/>
  <c r="F46" i="28"/>
  <c r="H45" i="28"/>
  <c r="H127" i="28"/>
  <c r="I127" i="28"/>
  <c r="I125" i="28"/>
  <c r="H70" i="28"/>
  <c r="I70" i="28"/>
  <c r="E123" i="27"/>
  <c r="D123" i="27"/>
  <c r="H122" i="27"/>
  <c r="E122" i="27"/>
  <c r="D122" i="27"/>
  <c r="E121" i="27"/>
  <c r="D121" i="27"/>
  <c r="G121" i="27"/>
  <c r="F120" i="27"/>
  <c r="F119" i="27"/>
  <c r="H118" i="27"/>
  <c r="E118" i="27"/>
  <c r="D118" i="27"/>
  <c r="I117" i="27"/>
  <c r="F117" i="27"/>
  <c r="I116" i="27"/>
  <c r="G122" i="27"/>
  <c r="F116" i="27"/>
  <c r="E114" i="27"/>
  <c r="D114" i="27"/>
  <c r="E113" i="27"/>
  <c r="E125" i="27"/>
  <c r="D113" i="27"/>
  <c r="D125" i="27"/>
  <c r="E112" i="27"/>
  <c r="D112" i="27"/>
  <c r="F111" i="27"/>
  <c r="F110" i="27"/>
  <c r="E109" i="27"/>
  <c r="D109" i="27"/>
  <c r="F108" i="27"/>
  <c r="F107" i="27"/>
  <c r="E106" i="27"/>
  <c r="D106" i="27"/>
  <c r="F105" i="27"/>
  <c r="F104" i="27"/>
  <c r="E103" i="27"/>
  <c r="D103" i="27"/>
  <c r="G103" i="27"/>
  <c r="F102" i="27"/>
  <c r="F101" i="27"/>
  <c r="H100" i="27"/>
  <c r="E100" i="27"/>
  <c r="D100" i="27"/>
  <c r="F99" i="27"/>
  <c r="I98" i="27"/>
  <c r="F98" i="27"/>
  <c r="E91" i="27"/>
  <c r="E90" i="27"/>
  <c r="E89" i="27"/>
  <c r="D78" i="27"/>
  <c r="E77" i="27"/>
  <c r="D77" i="27"/>
  <c r="D76" i="27"/>
  <c r="E75" i="27"/>
  <c r="E76" i="27"/>
  <c r="F74" i="27"/>
  <c r="D73" i="27"/>
  <c r="E72" i="27"/>
  <c r="F71" i="27"/>
  <c r="D69" i="27"/>
  <c r="D68" i="27"/>
  <c r="D67" i="27"/>
  <c r="E65" i="27"/>
  <c r="F65" i="27"/>
  <c r="D64" i="27"/>
  <c r="E62" i="27"/>
  <c r="E60" i="27"/>
  <c r="D60" i="27"/>
  <c r="E59" i="27"/>
  <c r="D59" i="27"/>
  <c r="E58" i="27"/>
  <c r="D58" i="27"/>
  <c r="F57" i="27"/>
  <c r="H58" i="27"/>
  <c r="F56" i="27"/>
  <c r="E55" i="27"/>
  <c r="D55" i="27"/>
  <c r="G60" i="27"/>
  <c r="F54" i="27"/>
  <c r="F53" i="27"/>
  <c r="I44" i="27"/>
  <c r="F44" i="27"/>
  <c r="I43" i="27"/>
  <c r="F43" i="27"/>
  <c r="E42" i="27"/>
  <c r="E41" i="27"/>
  <c r="H40" i="27"/>
  <c r="G40" i="27"/>
  <c r="E40" i="27"/>
  <c r="D40" i="27"/>
  <c r="I39" i="27"/>
  <c r="F39" i="27"/>
  <c r="F38" i="27"/>
  <c r="H37" i="27"/>
  <c r="E37" i="27"/>
  <c r="D37" i="27"/>
  <c r="D41" i="27"/>
  <c r="I36" i="27"/>
  <c r="F36" i="27"/>
  <c r="G37" i="27"/>
  <c r="F35" i="27"/>
  <c r="D34" i="27"/>
  <c r="I33" i="27"/>
  <c r="F33" i="27"/>
  <c r="E32" i="27"/>
  <c r="E34" i="27"/>
  <c r="D32" i="27"/>
  <c r="I31" i="27"/>
  <c r="F31" i="27"/>
  <c r="G32" i="27"/>
  <c r="F30" i="27"/>
  <c r="D28" i="27"/>
  <c r="E27" i="27"/>
  <c r="D27" i="27"/>
  <c r="H26" i="27"/>
  <c r="G26" i="27"/>
  <c r="F26" i="27"/>
  <c r="G27" i="27"/>
  <c r="F25" i="27"/>
  <c r="E24" i="27"/>
  <c r="D24" i="27"/>
  <c r="G24" i="27"/>
  <c r="F23" i="27"/>
  <c r="D16" i="27"/>
  <c r="C16" i="27"/>
  <c r="I45" i="28"/>
  <c r="H46" i="28"/>
  <c r="F41" i="27"/>
  <c r="F42" i="27"/>
  <c r="H42" i="27"/>
  <c r="I42" i="27"/>
  <c r="F40" i="27"/>
  <c r="D126" i="27"/>
  <c r="D127" i="27"/>
  <c r="I120" i="27"/>
  <c r="G123" i="27"/>
  <c r="G124" i="27"/>
  <c r="F121" i="27"/>
  <c r="D124" i="27"/>
  <c r="F123" i="27"/>
  <c r="G112" i="27"/>
  <c r="I111" i="27"/>
  <c r="I110" i="27"/>
  <c r="G109" i="27"/>
  <c r="I108" i="27"/>
  <c r="F109" i="27"/>
  <c r="I104" i="27"/>
  <c r="F125" i="27"/>
  <c r="G106" i="27"/>
  <c r="I105" i="27"/>
  <c r="I102" i="27"/>
  <c r="G114" i="27"/>
  <c r="F103" i="27"/>
  <c r="G100" i="27"/>
  <c r="I99" i="27"/>
  <c r="F114" i="27"/>
  <c r="F100" i="27"/>
  <c r="I100" i="27"/>
  <c r="G76" i="27"/>
  <c r="G78" i="27"/>
  <c r="G77" i="27"/>
  <c r="I71" i="27"/>
  <c r="G73" i="27"/>
  <c r="F77" i="27"/>
  <c r="G67" i="27"/>
  <c r="D70" i="27"/>
  <c r="G58" i="27"/>
  <c r="I58" i="27"/>
  <c r="I57" i="27"/>
  <c r="F58" i="27"/>
  <c r="F60" i="27"/>
  <c r="D61" i="27"/>
  <c r="F59" i="27"/>
  <c r="I53" i="27"/>
  <c r="F55" i="27"/>
  <c r="G41" i="27"/>
  <c r="I38" i="27"/>
  <c r="G34" i="27"/>
  <c r="D45" i="27"/>
  <c r="D46" i="27"/>
  <c r="D47" i="27"/>
  <c r="G28" i="27"/>
  <c r="G45" i="27"/>
  <c r="G46" i="27"/>
  <c r="G47" i="27"/>
  <c r="F27" i="27"/>
  <c r="I23" i="27"/>
  <c r="H112" i="27"/>
  <c r="H106" i="27"/>
  <c r="I106" i="27"/>
  <c r="H114" i="27"/>
  <c r="F113" i="27"/>
  <c r="G90" i="27"/>
  <c r="G91" i="27"/>
  <c r="G89" i="27"/>
  <c r="E68" i="27"/>
  <c r="F68" i="27"/>
  <c r="E66" i="27"/>
  <c r="I75" i="27"/>
  <c r="H55" i="27"/>
  <c r="F66" i="27"/>
  <c r="F75" i="27"/>
  <c r="H24" i="27"/>
  <c r="F24" i="27"/>
  <c r="H27" i="27"/>
  <c r="I27" i="27"/>
  <c r="I25" i="27"/>
  <c r="H41" i="27"/>
  <c r="I37" i="27"/>
  <c r="I122" i="27"/>
  <c r="H32" i="27"/>
  <c r="I30" i="27"/>
  <c r="I40" i="27"/>
  <c r="F34" i="27"/>
  <c r="I35" i="27"/>
  <c r="F37" i="27"/>
  <c r="G59" i="27"/>
  <c r="G61" i="27"/>
  <c r="G55" i="27"/>
  <c r="I54" i="27"/>
  <c r="I56" i="27"/>
  <c r="I65" i="27"/>
  <c r="E63" i="27"/>
  <c r="E73" i="27"/>
  <c r="F73" i="27"/>
  <c r="E78" i="27"/>
  <c r="F78" i="27"/>
  <c r="F72" i="27"/>
  <c r="F112" i="27"/>
  <c r="F118" i="27"/>
  <c r="I119" i="27"/>
  <c r="H121" i="27"/>
  <c r="I121" i="27"/>
  <c r="E61" i="27"/>
  <c r="I101" i="27"/>
  <c r="H103" i="27"/>
  <c r="I103" i="27"/>
  <c r="I24" i="27"/>
  <c r="H59" i="27"/>
  <c r="H68" i="27"/>
  <c r="I62" i="27"/>
  <c r="G68" i="27"/>
  <c r="I74" i="27"/>
  <c r="D79" i="27"/>
  <c r="E28" i="27"/>
  <c r="I26" i="27"/>
  <c r="F32" i="27"/>
  <c r="G69" i="27"/>
  <c r="F76" i="27"/>
  <c r="F106" i="27"/>
  <c r="H109" i="27"/>
  <c r="I107" i="27"/>
  <c r="F122" i="27"/>
  <c r="E124" i="27"/>
  <c r="E126" i="27"/>
  <c r="H60" i="27"/>
  <c r="I60" i="27"/>
  <c r="H77" i="27"/>
  <c r="H113" i="27"/>
  <c r="D115" i="27"/>
  <c r="H123" i="27"/>
  <c r="G113" i="27"/>
  <c r="F62" i="27"/>
  <c r="E115" i="27"/>
  <c r="F115" i="27"/>
  <c r="G118" i="27"/>
  <c r="I118" i="27"/>
  <c r="D155" i="26"/>
  <c r="E42" i="26"/>
  <c r="E24" i="26"/>
  <c r="E27" i="26"/>
  <c r="E28" i="26"/>
  <c r="E45" i="26"/>
  <c r="E32" i="26"/>
  <c r="E34" i="26"/>
  <c r="E37" i="26"/>
  <c r="E41" i="26"/>
  <c r="E40" i="26"/>
  <c r="C155" i="26"/>
  <c r="E113" i="26"/>
  <c r="E125" i="26"/>
  <c r="E122" i="26"/>
  <c r="E114" i="26"/>
  <c r="E123" i="26"/>
  <c r="D113" i="26"/>
  <c r="D122" i="26"/>
  <c r="D114" i="26"/>
  <c r="D123" i="26"/>
  <c r="E124" i="26"/>
  <c r="D124" i="26"/>
  <c r="F124" i="26"/>
  <c r="F122" i="26"/>
  <c r="E121" i="26"/>
  <c r="F121" i="26"/>
  <c r="D121" i="26"/>
  <c r="F120" i="26"/>
  <c r="F119" i="26"/>
  <c r="E118" i="26"/>
  <c r="D118" i="26"/>
  <c r="F117" i="26"/>
  <c r="F116" i="26"/>
  <c r="E112" i="26"/>
  <c r="D112" i="26"/>
  <c r="F111" i="26"/>
  <c r="F110" i="26"/>
  <c r="E109" i="26"/>
  <c r="D109" i="26"/>
  <c r="F109" i="26"/>
  <c r="F108" i="26"/>
  <c r="F107" i="26"/>
  <c r="E106" i="26"/>
  <c r="D106" i="26"/>
  <c r="F105" i="26"/>
  <c r="F104" i="26"/>
  <c r="E103" i="26"/>
  <c r="D103" i="26"/>
  <c r="F103" i="26"/>
  <c r="F102" i="26"/>
  <c r="F101" i="26"/>
  <c r="E100" i="26"/>
  <c r="F100" i="26"/>
  <c r="D100" i="26"/>
  <c r="F99" i="26"/>
  <c r="F98" i="26"/>
  <c r="E91" i="26"/>
  <c r="E90" i="26"/>
  <c r="E89" i="26"/>
  <c r="E72" i="26"/>
  <c r="E75" i="26"/>
  <c r="E77" i="26"/>
  <c r="D77" i="26"/>
  <c r="D78" i="26"/>
  <c r="E76" i="26"/>
  <c r="D76" i="26"/>
  <c r="F75" i="26"/>
  <c r="F74" i="26"/>
  <c r="E73" i="26"/>
  <c r="D73" i="26"/>
  <c r="F73" i="26"/>
  <c r="F72" i="26"/>
  <c r="F71" i="26"/>
  <c r="E62" i="26"/>
  <c r="E65" i="26"/>
  <c r="E63" i="26"/>
  <c r="E66" i="26"/>
  <c r="E69" i="26"/>
  <c r="F69" i="26"/>
  <c r="D68" i="26"/>
  <c r="D69" i="26"/>
  <c r="D70" i="26"/>
  <c r="D67" i="26"/>
  <c r="F65" i="26"/>
  <c r="D64" i="26"/>
  <c r="F63" i="26"/>
  <c r="E59" i="26"/>
  <c r="E60" i="26"/>
  <c r="E61" i="26"/>
  <c r="D59" i="26"/>
  <c r="D60" i="26"/>
  <c r="F60" i="26"/>
  <c r="E58" i="26"/>
  <c r="D58" i="26"/>
  <c r="F57" i="26"/>
  <c r="F56" i="26"/>
  <c r="E55" i="26"/>
  <c r="D55" i="26"/>
  <c r="F55" i="26"/>
  <c r="F54" i="26"/>
  <c r="F53" i="26"/>
  <c r="H26" i="26"/>
  <c r="G26" i="26"/>
  <c r="D24" i="26"/>
  <c r="D27" i="26"/>
  <c r="D32" i="26"/>
  <c r="D34" i="26"/>
  <c r="D37" i="26"/>
  <c r="D40" i="26"/>
  <c r="F40" i="26"/>
  <c r="F44" i="26"/>
  <c r="F43" i="26"/>
  <c r="F42" i="26"/>
  <c r="I39" i="26"/>
  <c r="F39" i="26"/>
  <c r="F38" i="26"/>
  <c r="F37" i="26"/>
  <c r="I36" i="26"/>
  <c r="F36" i="26"/>
  <c r="F35" i="26"/>
  <c r="F34" i="26"/>
  <c r="F33" i="26"/>
  <c r="F32" i="26"/>
  <c r="F31" i="26"/>
  <c r="F30" i="26"/>
  <c r="F27" i="26"/>
  <c r="I26" i="26"/>
  <c r="F26" i="26"/>
  <c r="F25" i="26"/>
  <c r="F24" i="26"/>
  <c r="F23" i="26"/>
  <c r="D16" i="26"/>
  <c r="C16" i="26"/>
  <c r="D155" i="25"/>
  <c r="E62" i="25"/>
  <c r="E24" i="25"/>
  <c r="E27" i="25"/>
  <c r="E28" i="25"/>
  <c r="E32" i="25"/>
  <c r="E34" i="25"/>
  <c r="E37" i="25"/>
  <c r="E41" i="25"/>
  <c r="E45" i="25"/>
  <c r="C155" i="25"/>
  <c r="E40" i="25"/>
  <c r="E42" i="25"/>
  <c r="E113" i="25"/>
  <c r="E122" i="25"/>
  <c r="F122" i="25"/>
  <c r="E125" i="25"/>
  <c r="E114" i="25"/>
  <c r="E115" i="25"/>
  <c r="F115" i="25"/>
  <c r="E123" i="25"/>
  <c r="E126" i="25"/>
  <c r="E127" i="25"/>
  <c r="D113" i="25"/>
  <c r="D122" i="25"/>
  <c r="D125" i="25"/>
  <c r="D114" i="25"/>
  <c r="D126" i="25"/>
  <c r="D127" i="25"/>
  <c r="D123" i="25"/>
  <c r="F125" i="25"/>
  <c r="E124" i="25"/>
  <c r="F124" i="25"/>
  <c r="D124" i="25"/>
  <c r="F123" i="25"/>
  <c r="E121" i="25"/>
  <c r="D121" i="25"/>
  <c r="F121" i="25"/>
  <c r="F120" i="25"/>
  <c r="F119" i="25"/>
  <c r="E118" i="25"/>
  <c r="F118" i="25"/>
  <c r="D118" i="25"/>
  <c r="F117" i="25"/>
  <c r="F116" i="25"/>
  <c r="D115" i="25"/>
  <c r="F113" i="25"/>
  <c r="E112" i="25"/>
  <c r="F112" i="25"/>
  <c r="D112" i="25"/>
  <c r="F111" i="25"/>
  <c r="F110" i="25"/>
  <c r="E109" i="25"/>
  <c r="D109" i="25"/>
  <c r="F109" i="25"/>
  <c r="F108" i="25"/>
  <c r="F107" i="25"/>
  <c r="E106" i="25"/>
  <c r="F106" i="25"/>
  <c r="D106" i="25"/>
  <c r="F105" i="25"/>
  <c r="F104" i="25"/>
  <c r="E103" i="25"/>
  <c r="D103" i="25"/>
  <c r="F103" i="25"/>
  <c r="F102" i="25"/>
  <c r="F101" i="25"/>
  <c r="E100" i="25"/>
  <c r="F100" i="25"/>
  <c r="D100" i="25"/>
  <c r="F99" i="25"/>
  <c r="F98" i="25"/>
  <c r="E91" i="25"/>
  <c r="E90" i="25"/>
  <c r="E89" i="25"/>
  <c r="E72" i="25"/>
  <c r="E75" i="25"/>
  <c r="E77" i="25"/>
  <c r="E78" i="25"/>
  <c r="F78" i="25"/>
  <c r="E79" i="25"/>
  <c r="D77" i="25"/>
  <c r="D78" i="25"/>
  <c r="D79" i="25"/>
  <c r="F79" i="25"/>
  <c r="F77" i="25"/>
  <c r="E76" i="25"/>
  <c r="F76" i="25"/>
  <c r="D76" i="25"/>
  <c r="F75" i="25"/>
  <c r="F74" i="25"/>
  <c r="E73" i="25"/>
  <c r="D73" i="25"/>
  <c r="F73" i="25"/>
  <c r="F72" i="25"/>
  <c r="F71" i="25"/>
  <c r="E65" i="25"/>
  <c r="E63" i="25"/>
  <c r="E66" i="25"/>
  <c r="E68" i="25"/>
  <c r="E70" i="25"/>
  <c r="E69" i="25"/>
  <c r="D68" i="25"/>
  <c r="D69" i="25"/>
  <c r="D70" i="25"/>
  <c r="E67" i="25"/>
  <c r="D67" i="25"/>
  <c r="F67" i="25"/>
  <c r="F66" i="25"/>
  <c r="F65" i="25"/>
  <c r="E64" i="25"/>
  <c r="D64" i="25"/>
  <c r="F64" i="25"/>
  <c r="F63" i="25"/>
  <c r="F62" i="25"/>
  <c r="E59" i="25"/>
  <c r="E60" i="25"/>
  <c r="E61" i="25"/>
  <c r="F61" i="25"/>
  <c r="D59" i="25"/>
  <c r="D60" i="25"/>
  <c r="D61" i="25"/>
  <c r="F59" i="25"/>
  <c r="E58" i="25"/>
  <c r="F58" i="25"/>
  <c r="D58" i="25"/>
  <c r="F57" i="25"/>
  <c r="F56" i="25"/>
  <c r="E55" i="25"/>
  <c r="D55" i="25"/>
  <c r="F55" i="25"/>
  <c r="F54" i="25"/>
  <c r="F53" i="25"/>
  <c r="H26" i="25"/>
  <c r="G26" i="25"/>
  <c r="D24" i="25"/>
  <c r="D28" i="25"/>
  <c r="F28" i="25"/>
  <c r="D27" i="25"/>
  <c r="D32" i="25"/>
  <c r="D34" i="25"/>
  <c r="F34" i="25"/>
  <c r="D37" i="25"/>
  <c r="D40" i="25"/>
  <c r="D41" i="25"/>
  <c r="F44" i="25"/>
  <c r="F43" i="25"/>
  <c r="F42" i="25"/>
  <c r="F41" i="25"/>
  <c r="F40" i="25"/>
  <c r="I39" i="25"/>
  <c r="F39" i="25"/>
  <c r="F38" i="25"/>
  <c r="F37" i="25"/>
  <c r="I36" i="25"/>
  <c r="F36" i="25"/>
  <c r="F35" i="25"/>
  <c r="F33" i="25"/>
  <c r="F31" i="25"/>
  <c r="F30" i="25"/>
  <c r="F27" i="25"/>
  <c r="I26" i="25"/>
  <c r="F26" i="25"/>
  <c r="F25" i="25"/>
  <c r="F24" i="25"/>
  <c r="F23" i="25"/>
  <c r="D16" i="25"/>
  <c r="C16" i="25"/>
  <c r="D155" i="24"/>
  <c r="A155" i="24"/>
  <c r="E123" i="24"/>
  <c r="D123" i="24"/>
  <c r="D124" i="24"/>
  <c r="E122" i="24"/>
  <c r="D122" i="24"/>
  <c r="E121" i="24"/>
  <c r="F121" i="24"/>
  <c r="D121" i="24"/>
  <c r="F120" i="24"/>
  <c r="F119" i="24"/>
  <c r="E118" i="24"/>
  <c r="F118" i="24"/>
  <c r="D118" i="24"/>
  <c r="F117" i="24"/>
  <c r="F116" i="24"/>
  <c r="E114" i="24"/>
  <c r="F114" i="24"/>
  <c r="D114" i="24"/>
  <c r="D126" i="24"/>
  <c r="E113" i="24"/>
  <c r="E125" i="24"/>
  <c r="D113" i="24"/>
  <c r="E112" i="24"/>
  <c r="D112" i="24"/>
  <c r="F111" i="24"/>
  <c r="F110" i="24"/>
  <c r="E109" i="24"/>
  <c r="D109" i="24"/>
  <c r="F109" i="24"/>
  <c r="F108" i="24"/>
  <c r="F107" i="24"/>
  <c r="E106" i="24"/>
  <c r="F106" i="24"/>
  <c r="D106" i="24"/>
  <c r="F105" i="24"/>
  <c r="F104" i="24"/>
  <c r="E103" i="24"/>
  <c r="F103" i="24"/>
  <c r="D103" i="24"/>
  <c r="F102" i="24"/>
  <c r="F101" i="24"/>
  <c r="F100" i="24"/>
  <c r="E100" i="24"/>
  <c r="D100" i="24"/>
  <c r="F99" i="24"/>
  <c r="F98" i="24"/>
  <c r="E91" i="24"/>
  <c r="E90" i="24"/>
  <c r="E89" i="24"/>
  <c r="D78" i="24"/>
  <c r="E77" i="24"/>
  <c r="D77" i="24"/>
  <c r="F77" i="24"/>
  <c r="D76" i="24"/>
  <c r="E75" i="24"/>
  <c r="F75" i="24"/>
  <c r="F74" i="24"/>
  <c r="D73" i="24"/>
  <c r="E72" i="24"/>
  <c r="E63" i="24"/>
  <c r="F71" i="24"/>
  <c r="D69" i="24"/>
  <c r="D68" i="24"/>
  <c r="D70" i="24"/>
  <c r="D67" i="24"/>
  <c r="E65" i="24"/>
  <c r="F65" i="24"/>
  <c r="D64" i="24"/>
  <c r="E62" i="24"/>
  <c r="E60" i="24"/>
  <c r="D60" i="24"/>
  <c r="E59" i="24"/>
  <c r="F59" i="24"/>
  <c r="D59" i="24"/>
  <c r="E58" i="24"/>
  <c r="D58" i="24"/>
  <c r="F57" i="24"/>
  <c r="F56" i="24"/>
  <c r="E55" i="24"/>
  <c r="F55" i="24"/>
  <c r="D55" i="24"/>
  <c r="F54" i="24"/>
  <c r="F53" i="24"/>
  <c r="F44" i="24"/>
  <c r="F43" i="24"/>
  <c r="E42" i="24"/>
  <c r="E40" i="24"/>
  <c r="F40" i="24"/>
  <c r="D40" i="24"/>
  <c r="I39" i="24"/>
  <c r="F39" i="24"/>
  <c r="F38" i="24"/>
  <c r="E37" i="24"/>
  <c r="E41" i="24"/>
  <c r="F41" i="24"/>
  <c r="D37" i="24"/>
  <c r="D41" i="24"/>
  <c r="I36" i="24"/>
  <c r="F36" i="24"/>
  <c r="F35" i="24"/>
  <c r="F33" i="24"/>
  <c r="E32" i="24"/>
  <c r="D32" i="24"/>
  <c r="D34" i="24"/>
  <c r="F31" i="24"/>
  <c r="F30" i="24"/>
  <c r="E27" i="24"/>
  <c r="D27" i="24"/>
  <c r="F27" i="24"/>
  <c r="H26" i="24"/>
  <c r="I26" i="24"/>
  <c r="G26" i="24"/>
  <c r="F26" i="24"/>
  <c r="F25" i="24"/>
  <c r="E24" i="24"/>
  <c r="F24" i="24"/>
  <c r="D24" i="24"/>
  <c r="D28" i="24"/>
  <c r="F23" i="24"/>
  <c r="D16" i="24"/>
  <c r="C16" i="24"/>
  <c r="F112" i="24"/>
  <c r="F42" i="24"/>
  <c r="F122" i="24"/>
  <c r="F113" i="24"/>
  <c r="F58" i="24"/>
  <c r="E61" i="24"/>
  <c r="F60" i="24"/>
  <c r="E34" i="24"/>
  <c r="F34" i="24"/>
  <c r="E69" i="24"/>
  <c r="F69" i="24"/>
  <c r="E66" i="24"/>
  <c r="E73" i="24"/>
  <c r="F73" i="24"/>
  <c r="E64" i="24"/>
  <c r="F64" i="24"/>
  <c r="E67" i="24"/>
  <c r="F67" i="24"/>
  <c r="F72" i="24"/>
  <c r="E76" i="24"/>
  <c r="F76" i="24"/>
  <c r="E78" i="24"/>
  <c r="F78" i="24"/>
  <c r="D115" i="24"/>
  <c r="D125" i="24"/>
  <c r="D127" i="24"/>
  <c r="F62" i="24"/>
  <c r="D155" i="23"/>
  <c r="F63" i="24"/>
  <c r="F66" i="24"/>
  <c r="E79" i="24"/>
  <c r="A155" i="23"/>
  <c r="E123" i="23"/>
  <c r="F123" i="23"/>
  <c r="D123" i="23"/>
  <c r="E122" i="23"/>
  <c r="D122" i="23"/>
  <c r="D124" i="23"/>
  <c r="F121" i="23"/>
  <c r="E121" i="23"/>
  <c r="D121" i="23"/>
  <c r="F120" i="23"/>
  <c r="F119" i="23"/>
  <c r="E118" i="23"/>
  <c r="D118" i="23"/>
  <c r="F117" i="23"/>
  <c r="F116" i="23"/>
  <c r="E114" i="23"/>
  <c r="F114" i="23"/>
  <c r="D114" i="23"/>
  <c r="D126" i="23"/>
  <c r="E113" i="23"/>
  <c r="E125" i="23"/>
  <c r="F125" i="23"/>
  <c r="D113" i="23"/>
  <c r="D125" i="23"/>
  <c r="E112" i="23"/>
  <c r="F112" i="23"/>
  <c r="D112" i="23"/>
  <c r="F111" i="23"/>
  <c r="F110" i="23"/>
  <c r="E109" i="23"/>
  <c r="D109" i="23"/>
  <c r="F109" i="23"/>
  <c r="F108" i="23"/>
  <c r="F107" i="23"/>
  <c r="E106" i="23"/>
  <c r="F106" i="23"/>
  <c r="D106" i="23"/>
  <c r="F105" i="23"/>
  <c r="F104" i="23"/>
  <c r="E103" i="23"/>
  <c r="D103" i="23"/>
  <c r="F103" i="23"/>
  <c r="F102" i="23"/>
  <c r="F101" i="23"/>
  <c r="E100" i="23"/>
  <c r="F100" i="23"/>
  <c r="D100" i="23"/>
  <c r="F99" i="23"/>
  <c r="F98" i="23"/>
  <c r="E91" i="23"/>
  <c r="E90" i="23"/>
  <c r="E89" i="23"/>
  <c r="D78" i="23"/>
  <c r="E77" i="23"/>
  <c r="D77" i="23"/>
  <c r="D79" i="23"/>
  <c r="D76" i="23"/>
  <c r="E75" i="23"/>
  <c r="F74" i="23"/>
  <c r="D73" i="23"/>
  <c r="E72" i="23"/>
  <c r="F72" i="23"/>
  <c r="F71" i="23"/>
  <c r="D69" i="23"/>
  <c r="D68" i="23"/>
  <c r="D70" i="23"/>
  <c r="D67" i="23"/>
  <c r="E65" i="23"/>
  <c r="D64" i="23"/>
  <c r="E62" i="23"/>
  <c r="E68" i="23"/>
  <c r="F68" i="23"/>
  <c r="E60" i="23"/>
  <c r="F60" i="23"/>
  <c r="D60" i="23"/>
  <c r="E59" i="23"/>
  <c r="F59" i="23"/>
  <c r="D59" i="23"/>
  <c r="D61" i="23"/>
  <c r="E58" i="23"/>
  <c r="F58" i="23"/>
  <c r="D58" i="23"/>
  <c r="F57" i="23"/>
  <c r="F56" i="23"/>
  <c r="E55" i="23"/>
  <c r="F55" i="23"/>
  <c r="D55" i="23"/>
  <c r="F54" i="23"/>
  <c r="F53" i="23"/>
  <c r="F44" i="23"/>
  <c r="F43" i="23"/>
  <c r="E42" i="23"/>
  <c r="E40" i="23"/>
  <c r="D40" i="23"/>
  <c r="D41" i="23"/>
  <c r="I39" i="23"/>
  <c r="F39" i="23"/>
  <c r="F38" i="23"/>
  <c r="E37" i="23"/>
  <c r="D37" i="23"/>
  <c r="I36" i="23"/>
  <c r="F36" i="23"/>
  <c r="F35" i="23"/>
  <c r="D34" i="23"/>
  <c r="F33" i="23"/>
  <c r="E32" i="23"/>
  <c r="F32" i="23"/>
  <c r="E34" i="23"/>
  <c r="F34" i="23"/>
  <c r="D32" i="23"/>
  <c r="F31" i="23"/>
  <c r="F30" i="23"/>
  <c r="E27" i="23"/>
  <c r="F27" i="23"/>
  <c r="D27" i="23"/>
  <c r="H26" i="23"/>
  <c r="I26" i="23"/>
  <c r="G26" i="23"/>
  <c r="F26" i="23"/>
  <c r="F25" i="23"/>
  <c r="E24" i="23"/>
  <c r="E28" i="23"/>
  <c r="D24" i="23"/>
  <c r="D28" i="23"/>
  <c r="F23" i="23"/>
  <c r="D16" i="23"/>
  <c r="C16" i="23"/>
  <c r="F118" i="23"/>
  <c r="F122" i="23"/>
  <c r="D127" i="23"/>
  <c r="E76" i="23"/>
  <c r="F76" i="23"/>
  <c r="D45" i="23"/>
  <c r="D46" i="23"/>
  <c r="D47" i="23"/>
  <c r="F37" i="23"/>
  <c r="E61" i="23"/>
  <c r="F61" i="23"/>
  <c r="F24" i="23"/>
  <c r="F40" i="23"/>
  <c r="E41" i="23"/>
  <c r="F77" i="23"/>
  <c r="E126" i="23"/>
  <c r="F126" i="23"/>
  <c r="D115" i="23"/>
  <c r="F62" i="23"/>
  <c r="E63" i="23"/>
  <c r="F41" i="23"/>
  <c r="A155" i="22"/>
  <c r="E123" i="22"/>
  <c r="D123" i="22"/>
  <c r="E122" i="22"/>
  <c r="F122" i="22"/>
  <c r="D122" i="22"/>
  <c r="E121" i="22"/>
  <c r="D121" i="22"/>
  <c r="F120" i="22"/>
  <c r="F119" i="22"/>
  <c r="E118" i="22"/>
  <c r="D118" i="22"/>
  <c r="F118" i="22"/>
  <c r="F117" i="22"/>
  <c r="F116" i="22"/>
  <c r="E114" i="22"/>
  <c r="D114" i="22"/>
  <c r="F114" i="22"/>
  <c r="E113" i="22"/>
  <c r="E125" i="22"/>
  <c r="D113" i="22"/>
  <c r="D125" i="22"/>
  <c r="E112" i="22"/>
  <c r="F112" i="22"/>
  <c r="D112" i="22"/>
  <c r="F111" i="22"/>
  <c r="F110" i="22"/>
  <c r="E109" i="22"/>
  <c r="D109" i="22"/>
  <c r="F108" i="22"/>
  <c r="F107" i="22"/>
  <c r="F106" i="22"/>
  <c r="E106" i="22"/>
  <c r="D106" i="22"/>
  <c r="F105" i="22"/>
  <c r="F104" i="22"/>
  <c r="E103" i="22"/>
  <c r="D103" i="22"/>
  <c r="F102" i="22"/>
  <c r="F101" i="22"/>
  <c r="E100" i="22"/>
  <c r="D100" i="22"/>
  <c r="F100" i="22"/>
  <c r="F99" i="22"/>
  <c r="F98" i="22"/>
  <c r="E91" i="22"/>
  <c r="E90" i="22"/>
  <c r="E89" i="22"/>
  <c r="D78" i="22"/>
  <c r="E77" i="22"/>
  <c r="D77" i="22"/>
  <c r="D76" i="22"/>
  <c r="E75" i="22"/>
  <c r="F74" i="22"/>
  <c r="D73" i="22"/>
  <c r="E72" i="22"/>
  <c r="F71" i="22"/>
  <c r="D69" i="22"/>
  <c r="D68" i="22"/>
  <c r="D67" i="22"/>
  <c r="E65" i="22"/>
  <c r="D64" i="22"/>
  <c r="F62" i="22"/>
  <c r="E62" i="22"/>
  <c r="E60" i="22"/>
  <c r="D60" i="22"/>
  <c r="E59" i="22"/>
  <c r="F59" i="22"/>
  <c r="D59" i="22"/>
  <c r="E58" i="22"/>
  <c r="D58" i="22"/>
  <c r="F57" i="22"/>
  <c r="F56" i="22"/>
  <c r="E55" i="22"/>
  <c r="D55" i="22"/>
  <c r="F55" i="22"/>
  <c r="F54" i="22"/>
  <c r="F53" i="22"/>
  <c r="F44" i="22"/>
  <c r="F43" i="22"/>
  <c r="E42" i="22"/>
  <c r="E40" i="22"/>
  <c r="F40" i="22"/>
  <c r="D40" i="22"/>
  <c r="I39" i="22"/>
  <c r="F39" i="22"/>
  <c r="F38" i="22"/>
  <c r="E37" i="22"/>
  <c r="E41" i="22"/>
  <c r="D37" i="22"/>
  <c r="D41" i="22"/>
  <c r="I36" i="22"/>
  <c r="F36" i="22"/>
  <c r="F35" i="22"/>
  <c r="F33" i="22"/>
  <c r="D32" i="22"/>
  <c r="D34" i="22"/>
  <c r="F34" i="22"/>
  <c r="F31" i="22"/>
  <c r="F30" i="22"/>
  <c r="E27" i="22"/>
  <c r="F27" i="22"/>
  <c r="D27" i="22"/>
  <c r="H26" i="22"/>
  <c r="I26" i="22"/>
  <c r="G26" i="22"/>
  <c r="F26" i="22"/>
  <c r="F25" i="22"/>
  <c r="E24" i="22"/>
  <c r="F24" i="22"/>
  <c r="D24" i="22"/>
  <c r="D28" i="22"/>
  <c r="F23" i="22"/>
  <c r="D16" i="22"/>
  <c r="C16" i="22"/>
  <c r="E68" i="22"/>
  <c r="E73" i="22"/>
  <c r="F73" i="22"/>
  <c r="F103" i="22"/>
  <c r="F58" i="22"/>
  <c r="F60" i="22"/>
  <c r="D79" i="22"/>
  <c r="F121" i="22"/>
  <c r="F123" i="22"/>
  <c r="D61" i="22"/>
  <c r="D70" i="22"/>
  <c r="D124" i="22"/>
  <c r="F42" i="22"/>
  <c r="F109" i="22"/>
  <c r="E126" i="22"/>
  <c r="F65" i="22"/>
  <c r="E66" i="22"/>
  <c r="F66" i="22"/>
  <c r="E63" i="22"/>
  <c r="E28" i="22"/>
  <c r="F28" i="22"/>
  <c r="E32" i="22"/>
  <c r="F68" i="22"/>
  <c r="F75" i="22"/>
  <c r="F77" i="22"/>
  <c r="D126" i="22"/>
  <c r="E61" i="22"/>
  <c r="F61" i="22"/>
  <c r="F72" i="22"/>
  <c r="E76" i="22"/>
  <c r="F76" i="22"/>
  <c r="E78" i="22"/>
  <c r="F78" i="22"/>
  <c r="E124" i="22"/>
  <c r="F124" i="22"/>
  <c r="E30" i="21"/>
  <c r="E32" i="21"/>
  <c r="E31" i="21"/>
  <c r="F31" i="21"/>
  <c r="F126" i="22"/>
  <c r="E67" i="22"/>
  <c r="F67" i="22"/>
  <c r="F63" i="22"/>
  <c r="E64" i="22"/>
  <c r="F64" i="22"/>
  <c r="E34" i="22"/>
  <c r="F32" i="22"/>
  <c r="D127" i="22"/>
  <c r="E79" i="22"/>
  <c r="F79" i="22"/>
  <c r="A155" i="21"/>
  <c r="E123" i="21"/>
  <c r="D123" i="21"/>
  <c r="D124" i="21"/>
  <c r="F124" i="21"/>
  <c r="E122" i="21"/>
  <c r="D122" i="21"/>
  <c r="E121" i="21"/>
  <c r="F121" i="21"/>
  <c r="D121" i="21"/>
  <c r="F120" i="21"/>
  <c r="F119" i="21"/>
  <c r="E118" i="21"/>
  <c r="F118" i="21"/>
  <c r="D118" i="21"/>
  <c r="F117" i="21"/>
  <c r="F116" i="21"/>
  <c r="E114" i="21"/>
  <c r="E126" i="21"/>
  <c r="F126" i="21"/>
  <c r="D114" i="21"/>
  <c r="E113" i="21"/>
  <c r="E125" i="21"/>
  <c r="D113" i="21"/>
  <c r="E112" i="21"/>
  <c r="D112" i="21"/>
  <c r="F111" i="21"/>
  <c r="F110" i="21"/>
  <c r="E109" i="21"/>
  <c r="F109" i="21"/>
  <c r="D109" i="21"/>
  <c r="F108" i="21"/>
  <c r="F107" i="21"/>
  <c r="E106" i="21"/>
  <c r="F106" i="21"/>
  <c r="D106" i="21"/>
  <c r="F105" i="21"/>
  <c r="F104" i="21"/>
  <c r="E103" i="21"/>
  <c r="F103" i="21"/>
  <c r="D103" i="21"/>
  <c r="F102" i="21"/>
  <c r="F101" i="21"/>
  <c r="E100" i="21"/>
  <c r="D100" i="21"/>
  <c r="F99" i="21"/>
  <c r="F98" i="21"/>
  <c r="E91" i="21"/>
  <c r="E90" i="21"/>
  <c r="E89" i="21"/>
  <c r="D78" i="21"/>
  <c r="E77" i="21"/>
  <c r="E79" i="21"/>
  <c r="F79" i="21"/>
  <c r="D77" i="21"/>
  <c r="D79" i="21"/>
  <c r="D76" i="21"/>
  <c r="E75" i="21"/>
  <c r="F75" i="21"/>
  <c r="F74" i="21"/>
  <c r="D73" i="21"/>
  <c r="E72" i="21"/>
  <c r="E73" i="21"/>
  <c r="F73" i="21"/>
  <c r="F71" i="21"/>
  <c r="D69" i="21"/>
  <c r="D68" i="21"/>
  <c r="D70" i="21"/>
  <c r="D67" i="21"/>
  <c r="E65" i="21"/>
  <c r="D64" i="21"/>
  <c r="E62" i="21"/>
  <c r="F62" i="21"/>
  <c r="E60" i="21"/>
  <c r="D60" i="21"/>
  <c r="E59" i="21"/>
  <c r="F59" i="21"/>
  <c r="D59" i="21"/>
  <c r="D61" i="21"/>
  <c r="F61" i="21"/>
  <c r="E58" i="21"/>
  <c r="D58" i="21"/>
  <c r="F57" i="21"/>
  <c r="F56" i="21"/>
  <c r="E55" i="21"/>
  <c r="D55" i="21"/>
  <c r="F54" i="21"/>
  <c r="F53" i="21"/>
  <c r="F44" i="21"/>
  <c r="F43" i="21"/>
  <c r="E42" i="21"/>
  <c r="E40" i="21"/>
  <c r="F40" i="21"/>
  <c r="D40" i="21"/>
  <c r="I39" i="21"/>
  <c r="F39" i="21"/>
  <c r="F38" i="21"/>
  <c r="E37" i="21"/>
  <c r="E41" i="21"/>
  <c r="D37" i="21"/>
  <c r="D41" i="21"/>
  <c r="I36" i="21"/>
  <c r="F36" i="21"/>
  <c r="F35" i="21"/>
  <c r="F33" i="21"/>
  <c r="D32" i="21"/>
  <c r="D34" i="21"/>
  <c r="D45" i="21"/>
  <c r="D46" i="21"/>
  <c r="D47" i="21"/>
  <c r="E27" i="21"/>
  <c r="F27" i="21"/>
  <c r="D27" i="21"/>
  <c r="H26" i="21"/>
  <c r="G26" i="21"/>
  <c r="I26" i="21"/>
  <c r="F26" i="21"/>
  <c r="F25" i="21"/>
  <c r="E24" i="21"/>
  <c r="D24" i="21"/>
  <c r="F24" i="21"/>
  <c r="D28" i="21"/>
  <c r="F23" i="21"/>
  <c r="D16" i="21"/>
  <c r="C16" i="21"/>
  <c r="F60" i="21"/>
  <c r="F58" i="21"/>
  <c r="D125" i="21"/>
  <c r="E124" i="21"/>
  <c r="E76" i="21"/>
  <c r="F76" i="21"/>
  <c r="F123" i="21"/>
  <c r="F65" i="21"/>
  <c r="F100" i="21"/>
  <c r="E68" i="21"/>
  <c r="F68" i="21"/>
  <c r="F77" i="21"/>
  <c r="F42" i="21"/>
  <c r="F112" i="21"/>
  <c r="F114" i="21"/>
  <c r="E61" i="21"/>
  <c r="F55" i="21"/>
  <c r="F72" i="21"/>
  <c r="E78" i="21"/>
  <c r="F78" i="21"/>
  <c r="D126" i="21"/>
  <c r="D127" i="21"/>
  <c r="D115" i="21"/>
  <c r="F122" i="21"/>
  <c r="E63" i="21"/>
  <c r="E115" i="21"/>
  <c r="F115" i="21"/>
  <c r="E64" i="21"/>
  <c r="F64" i="21"/>
  <c r="F63" i="21"/>
  <c r="A155" i="20"/>
  <c r="E123" i="20"/>
  <c r="D123" i="20"/>
  <c r="E122" i="20"/>
  <c r="D122" i="20"/>
  <c r="E121" i="20"/>
  <c r="D121" i="20"/>
  <c r="F120" i="20"/>
  <c r="F119" i="20"/>
  <c r="E118" i="20"/>
  <c r="D118" i="20"/>
  <c r="F117" i="20"/>
  <c r="F116" i="20"/>
  <c r="E114" i="20"/>
  <c r="E126" i="20"/>
  <c r="D114" i="20"/>
  <c r="E113" i="20"/>
  <c r="E125" i="20"/>
  <c r="D113" i="20"/>
  <c r="D125" i="20"/>
  <c r="D127" i="20"/>
  <c r="E112" i="20"/>
  <c r="F112" i="20"/>
  <c r="D112" i="20"/>
  <c r="F111" i="20"/>
  <c r="F110" i="20"/>
  <c r="E109" i="20"/>
  <c r="F109" i="20"/>
  <c r="D109" i="20"/>
  <c r="F108" i="20"/>
  <c r="F107" i="20"/>
  <c r="E106" i="20"/>
  <c r="F106" i="20"/>
  <c r="D106" i="20"/>
  <c r="F105" i="20"/>
  <c r="F104" i="20"/>
  <c r="E103" i="20"/>
  <c r="F103" i="20"/>
  <c r="D103" i="20"/>
  <c r="F102" i="20"/>
  <c r="F101" i="20"/>
  <c r="E100" i="20"/>
  <c r="D100" i="20"/>
  <c r="F99" i="20"/>
  <c r="F98" i="20"/>
  <c r="E91" i="20"/>
  <c r="E90" i="20"/>
  <c r="E89" i="20"/>
  <c r="D78" i="20"/>
  <c r="E77" i="20"/>
  <c r="D77" i="20"/>
  <c r="D79" i="20"/>
  <c r="D76" i="20"/>
  <c r="E75" i="20"/>
  <c r="F74" i="20"/>
  <c r="D73" i="20"/>
  <c r="F73" i="20"/>
  <c r="E72" i="20"/>
  <c r="F71" i="20"/>
  <c r="D69" i="20"/>
  <c r="D68" i="20"/>
  <c r="D67" i="20"/>
  <c r="E65" i="20"/>
  <c r="D64" i="20"/>
  <c r="E62" i="20"/>
  <c r="E68" i="20"/>
  <c r="F68" i="20"/>
  <c r="E60" i="20"/>
  <c r="D60" i="20"/>
  <c r="E59" i="20"/>
  <c r="E61" i="20"/>
  <c r="D59" i="20"/>
  <c r="E58" i="20"/>
  <c r="D58" i="20"/>
  <c r="F58" i="20"/>
  <c r="F57" i="20"/>
  <c r="F56" i="20"/>
  <c r="E55" i="20"/>
  <c r="D55" i="20"/>
  <c r="F55" i="20"/>
  <c r="F54" i="20"/>
  <c r="F53" i="20"/>
  <c r="F44" i="20"/>
  <c r="F43" i="20"/>
  <c r="E42" i="20"/>
  <c r="E40" i="20"/>
  <c r="D40" i="20"/>
  <c r="I39" i="20"/>
  <c r="F39" i="20"/>
  <c r="F38" i="20"/>
  <c r="E37" i="20"/>
  <c r="D37" i="20"/>
  <c r="D41" i="20"/>
  <c r="I36" i="20"/>
  <c r="F36" i="20"/>
  <c r="F35" i="20"/>
  <c r="F33" i="20"/>
  <c r="E32" i="20"/>
  <c r="E34" i="20"/>
  <c r="D32" i="20"/>
  <c r="F32" i="20"/>
  <c r="D34" i="20"/>
  <c r="F34" i="20"/>
  <c r="F31" i="20"/>
  <c r="F30" i="20"/>
  <c r="E27" i="20"/>
  <c r="D27" i="20"/>
  <c r="D28" i="20"/>
  <c r="D45" i="20"/>
  <c r="D46" i="20"/>
  <c r="D47" i="20"/>
  <c r="H26" i="20"/>
  <c r="G26" i="20"/>
  <c r="F26" i="20"/>
  <c r="F25" i="20"/>
  <c r="E24" i="20"/>
  <c r="D24" i="20"/>
  <c r="F23" i="20"/>
  <c r="D16" i="20"/>
  <c r="C16" i="20"/>
  <c r="F60" i="20"/>
  <c r="F122" i="20"/>
  <c r="F40" i="20"/>
  <c r="E41" i="20"/>
  <c r="F41" i="20"/>
  <c r="F37" i="20"/>
  <c r="F59" i="20"/>
  <c r="F123" i="20"/>
  <c r="F121" i="20"/>
  <c r="F65" i="20"/>
  <c r="I26" i="20"/>
  <c r="D70" i="20"/>
  <c r="F100" i="20"/>
  <c r="F42" i="20"/>
  <c r="D124" i="20"/>
  <c r="F118" i="20"/>
  <c r="F77" i="20"/>
  <c r="F27" i="20"/>
  <c r="F114" i="20"/>
  <c r="E66" i="20"/>
  <c r="E28" i="20"/>
  <c r="F75" i="20"/>
  <c r="F24" i="20"/>
  <c r="E63" i="20"/>
  <c r="E64" i="20"/>
  <c r="F64" i="20"/>
  <c r="D61" i="20"/>
  <c r="D126" i="20"/>
  <c r="F72" i="20"/>
  <c r="E76" i="20"/>
  <c r="F76" i="20"/>
  <c r="E78" i="20"/>
  <c r="F78" i="20"/>
  <c r="E124" i="20"/>
  <c r="E73" i="20"/>
  <c r="D115" i="20"/>
  <c r="E115" i="20"/>
  <c r="E42" i="19"/>
  <c r="F42" i="19"/>
  <c r="E24" i="19"/>
  <c r="E28" i="19"/>
  <c r="E27" i="19"/>
  <c r="E32" i="19"/>
  <c r="E37" i="19"/>
  <c r="E40" i="19"/>
  <c r="A155" i="19"/>
  <c r="E113" i="19"/>
  <c r="E122" i="19"/>
  <c r="E114" i="19"/>
  <c r="E123" i="19"/>
  <c r="D113" i="19"/>
  <c r="D122" i="19"/>
  <c r="D114" i="19"/>
  <c r="D126" i="19"/>
  <c r="D123" i="19"/>
  <c r="F122" i="19"/>
  <c r="E121" i="19"/>
  <c r="F121" i="19"/>
  <c r="D121" i="19"/>
  <c r="F120" i="19"/>
  <c r="F119" i="19"/>
  <c r="E118" i="19"/>
  <c r="D118" i="19"/>
  <c r="F117" i="19"/>
  <c r="F116" i="19"/>
  <c r="E112" i="19"/>
  <c r="D112" i="19"/>
  <c r="F111" i="19"/>
  <c r="F110" i="19"/>
  <c r="E109" i="19"/>
  <c r="D109" i="19"/>
  <c r="F108" i="19"/>
  <c r="F107" i="19"/>
  <c r="E106" i="19"/>
  <c r="D106" i="19"/>
  <c r="F105" i="19"/>
  <c r="F104" i="19"/>
  <c r="E103" i="19"/>
  <c r="D103" i="19"/>
  <c r="F102" i="19"/>
  <c r="F101" i="19"/>
  <c r="E100" i="19"/>
  <c r="D100" i="19"/>
  <c r="F99" i="19"/>
  <c r="F98" i="19"/>
  <c r="E91" i="19"/>
  <c r="E90" i="19"/>
  <c r="E89" i="19"/>
  <c r="E72" i="19"/>
  <c r="F72" i="19"/>
  <c r="E75" i="19"/>
  <c r="E66" i="19"/>
  <c r="E77" i="19"/>
  <c r="D77" i="19"/>
  <c r="D78" i="19"/>
  <c r="E76" i="19"/>
  <c r="F76" i="19"/>
  <c r="D76" i="19"/>
  <c r="F75" i="19"/>
  <c r="F74" i="19"/>
  <c r="D73" i="19"/>
  <c r="F71" i="19"/>
  <c r="E62" i="19"/>
  <c r="F62" i="19"/>
  <c r="E65" i="19"/>
  <c r="F65" i="19"/>
  <c r="D68" i="19"/>
  <c r="D69" i="19"/>
  <c r="D70" i="19"/>
  <c r="D67" i="19"/>
  <c r="D64" i="19"/>
  <c r="E59" i="19"/>
  <c r="E61" i="19"/>
  <c r="E60" i="19"/>
  <c r="D59" i="19"/>
  <c r="D60" i="19"/>
  <c r="E58" i="19"/>
  <c r="D58" i="19"/>
  <c r="F57" i="19"/>
  <c r="F56" i="19"/>
  <c r="E55" i="19"/>
  <c r="D55" i="19"/>
  <c r="F54" i="19"/>
  <c r="F53" i="19"/>
  <c r="H26" i="19"/>
  <c r="G26" i="19"/>
  <c r="D24" i="19"/>
  <c r="D27" i="19"/>
  <c r="F27" i="19"/>
  <c r="D32" i="19"/>
  <c r="D34" i="19"/>
  <c r="D37" i="19"/>
  <c r="F37" i="19"/>
  <c r="D40" i="19"/>
  <c r="F44" i="19"/>
  <c r="F43" i="19"/>
  <c r="I39" i="19"/>
  <c r="F39" i="19"/>
  <c r="F38" i="19"/>
  <c r="I36" i="19"/>
  <c r="F36" i="19"/>
  <c r="F35" i="19"/>
  <c r="F33" i="19"/>
  <c r="F31" i="19"/>
  <c r="F30" i="19"/>
  <c r="F26" i="19"/>
  <c r="F25" i="19"/>
  <c r="F23" i="19"/>
  <c r="D16" i="19"/>
  <c r="C16" i="19"/>
  <c r="E24" i="18"/>
  <c r="E27" i="18"/>
  <c r="E28" i="18"/>
  <c r="E32" i="18"/>
  <c r="E34" i="18"/>
  <c r="E37" i="18"/>
  <c r="E40" i="18"/>
  <c r="E42" i="18"/>
  <c r="A155" i="18"/>
  <c r="E113" i="18"/>
  <c r="E125" i="18"/>
  <c r="E122" i="18"/>
  <c r="E114" i="18"/>
  <c r="E115" i="18"/>
  <c r="E123" i="18"/>
  <c r="D113" i="18"/>
  <c r="D122" i="18"/>
  <c r="D114" i="18"/>
  <c r="D123" i="18"/>
  <c r="E121" i="18"/>
  <c r="D121" i="18"/>
  <c r="F120" i="18"/>
  <c r="F119" i="18"/>
  <c r="E118" i="18"/>
  <c r="D118" i="18"/>
  <c r="F118" i="18"/>
  <c r="F117" i="18"/>
  <c r="F116" i="18"/>
  <c r="E112" i="18"/>
  <c r="D112" i="18"/>
  <c r="F111" i="18"/>
  <c r="F110" i="18"/>
  <c r="E109" i="18"/>
  <c r="D109" i="18"/>
  <c r="F109" i="18"/>
  <c r="F108" i="18"/>
  <c r="F107" i="18"/>
  <c r="E106" i="18"/>
  <c r="D106" i="18"/>
  <c r="F105" i="18"/>
  <c r="F104" i="18"/>
  <c r="E103" i="18"/>
  <c r="F103" i="18"/>
  <c r="D103" i="18"/>
  <c r="F102" i="18"/>
  <c r="F101" i="18"/>
  <c r="E100" i="18"/>
  <c r="D100" i="18"/>
  <c r="F99" i="18"/>
  <c r="F98" i="18"/>
  <c r="E91" i="18"/>
  <c r="E90" i="18"/>
  <c r="E89" i="18"/>
  <c r="E72" i="18"/>
  <c r="F72" i="18"/>
  <c r="E75" i="18"/>
  <c r="E77" i="18"/>
  <c r="F77" i="18"/>
  <c r="D77" i="18"/>
  <c r="D78" i="18"/>
  <c r="D76" i="18"/>
  <c r="F74" i="18"/>
  <c r="E73" i="18"/>
  <c r="F73" i="18"/>
  <c r="D73" i="18"/>
  <c r="F71" i="18"/>
  <c r="E62" i="18"/>
  <c r="E68" i="18"/>
  <c r="E65" i="18"/>
  <c r="D68" i="18"/>
  <c r="D70" i="18"/>
  <c r="D69" i="18"/>
  <c r="D67" i="18"/>
  <c r="F65" i="18"/>
  <c r="D64" i="18"/>
  <c r="E59" i="18"/>
  <c r="E61" i="18"/>
  <c r="E60" i="18"/>
  <c r="D59" i="18"/>
  <c r="D60" i="18"/>
  <c r="F60" i="18"/>
  <c r="E58" i="18"/>
  <c r="D58" i="18"/>
  <c r="F57" i="18"/>
  <c r="F56" i="18"/>
  <c r="E55" i="18"/>
  <c r="F55" i="18"/>
  <c r="D55" i="18"/>
  <c r="F54" i="18"/>
  <c r="F53" i="18"/>
  <c r="H26" i="18"/>
  <c r="G26" i="18"/>
  <c r="D24" i="18"/>
  <c r="D28" i="18"/>
  <c r="D27" i="18"/>
  <c r="D32" i="18"/>
  <c r="D34" i="18"/>
  <c r="D37" i="18"/>
  <c r="D40" i="18"/>
  <c r="D41" i="18"/>
  <c r="F44" i="18"/>
  <c r="F43" i="18"/>
  <c r="F42" i="18"/>
  <c r="I39" i="18"/>
  <c r="F39" i="18"/>
  <c r="F38" i="18"/>
  <c r="I36" i="18"/>
  <c r="F36" i="18"/>
  <c r="F35" i="18"/>
  <c r="F33" i="18"/>
  <c r="F31" i="18"/>
  <c r="F30" i="18"/>
  <c r="F26" i="18"/>
  <c r="F25" i="18"/>
  <c r="F23" i="18"/>
  <c r="D16" i="18"/>
  <c r="C16" i="18"/>
  <c r="D91" i="17"/>
  <c r="E72" i="17"/>
  <c r="E73" i="17"/>
  <c r="A155" i="17"/>
  <c r="E123" i="17"/>
  <c r="F123" i="17"/>
  <c r="D123" i="17"/>
  <c r="E122" i="17"/>
  <c r="D122" i="17"/>
  <c r="F122" i="17"/>
  <c r="E121" i="17"/>
  <c r="D121" i="17"/>
  <c r="F120" i="17"/>
  <c r="F119" i="17"/>
  <c r="E118" i="17"/>
  <c r="D118" i="17"/>
  <c r="F117" i="17"/>
  <c r="F116" i="17"/>
  <c r="E114" i="17"/>
  <c r="D114" i="17"/>
  <c r="D126" i="17"/>
  <c r="E113" i="17"/>
  <c r="D113" i="17"/>
  <c r="E112" i="17"/>
  <c r="D112" i="17"/>
  <c r="F111" i="17"/>
  <c r="F110" i="17"/>
  <c r="E109" i="17"/>
  <c r="D109" i="17"/>
  <c r="F108" i="17"/>
  <c r="F107" i="17"/>
  <c r="E106" i="17"/>
  <c r="D106" i="17"/>
  <c r="F105" i="17"/>
  <c r="F104" i="17"/>
  <c r="E103" i="17"/>
  <c r="D103" i="17"/>
  <c r="F102" i="17"/>
  <c r="F101" i="17"/>
  <c r="E100" i="17"/>
  <c r="D100" i="17"/>
  <c r="F100" i="17"/>
  <c r="F99" i="17"/>
  <c r="F98" i="17"/>
  <c r="E91" i="17"/>
  <c r="E90" i="17"/>
  <c r="E89" i="17"/>
  <c r="D78" i="17"/>
  <c r="E77" i="17"/>
  <c r="D77" i="17"/>
  <c r="D79" i="17"/>
  <c r="D76" i="17"/>
  <c r="E75" i="17"/>
  <c r="F74" i="17"/>
  <c r="D73" i="17"/>
  <c r="F71" i="17"/>
  <c r="D69" i="17"/>
  <c r="D68" i="17"/>
  <c r="D70" i="17"/>
  <c r="D67" i="17"/>
  <c r="E65" i="17"/>
  <c r="D64" i="17"/>
  <c r="E62" i="17"/>
  <c r="F62" i="17"/>
  <c r="E60" i="17"/>
  <c r="F60" i="17"/>
  <c r="D60" i="17"/>
  <c r="E59" i="17"/>
  <c r="D59" i="17"/>
  <c r="E58" i="17"/>
  <c r="D58" i="17"/>
  <c r="F57" i="17"/>
  <c r="F56" i="17"/>
  <c r="E55" i="17"/>
  <c r="D55" i="17"/>
  <c r="F54" i="17"/>
  <c r="F53" i="17"/>
  <c r="F44" i="17"/>
  <c r="F43" i="17"/>
  <c r="E42" i="17"/>
  <c r="F42" i="17"/>
  <c r="E40" i="17"/>
  <c r="F40" i="17"/>
  <c r="D40" i="17"/>
  <c r="I39" i="17"/>
  <c r="F39" i="17"/>
  <c r="F38" i="17"/>
  <c r="E37" i="17"/>
  <c r="D37" i="17"/>
  <c r="I36" i="17"/>
  <c r="F36" i="17"/>
  <c r="F35" i="17"/>
  <c r="F33" i="17"/>
  <c r="E32" i="17"/>
  <c r="E34" i="17"/>
  <c r="D32" i="17"/>
  <c r="F31" i="17"/>
  <c r="F30" i="17"/>
  <c r="E27" i="17"/>
  <c r="D27" i="17"/>
  <c r="D28" i="17"/>
  <c r="H26" i="17"/>
  <c r="I26" i="17"/>
  <c r="G26" i="17"/>
  <c r="F26" i="17"/>
  <c r="F25" i="17"/>
  <c r="E24" i="17"/>
  <c r="D24" i="17"/>
  <c r="F23" i="17"/>
  <c r="D16" i="17"/>
  <c r="C16" i="17"/>
  <c r="D124" i="17"/>
  <c r="E63" i="17"/>
  <c r="F72" i="17"/>
  <c r="F24" i="17"/>
  <c r="F87" i="16"/>
  <c r="F87" i="17"/>
  <c r="F87" i="18"/>
  <c r="F87" i="19"/>
  <c r="F87" i="20"/>
  <c r="F87" i="21"/>
  <c r="F87" i="22"/>
  <c r="F87" i="23"/>
  <c r="F87" i="24"/>
  <c r="F87" i="25"/>
  <c r="F87" i="26"/>
  <c r="F92" i="16"/>
  <c r="F92" i="17"/>
  <c r="F92" i="18"/>
  <c r="F92" i="19"/>
  <c r="F92" i="20"/>
  <c r="F92" i="21"/>
  <c r="F92" i="22"/>
  <c r="F92" i="23"/>
  <c r="F92" i="24"/>
  <c r="F92" i="25"/>
  <c r="F92" i="26"/>
  <c r="F91" i="16"/>
  <c r="F90" i="16"/>
  <c r="F89" i="16"/>
  <c r="F89" i="17"/>
  <c r="F89" i="18"/>
  <c r="F88" i="16"/>
  <c r="F88" i="17"/>
  <c r="F88" i="18"/>
  <c r="F88" i="19"/>
  <c r="F88" i="20"/>
  <c r="F88" i="21"/>
  <c r="F88" i="22"/>
  <c r="F88" i="23"/>
  <c r="F88" i="24"/>
  <c r="F88" i="25"/>
  <c r="F88" i="26"/>
  <c r="G91" i="15"/>
  <c r="E91" i="15"/>
  <c r="G90" i="15"/>
  <c r="E90" i="15"/>
  <c r="G89" i="15"/>
  <c r="E89" i="15"/>
  <c r="E91" i="16"/>
  <c r="E90" i="16"/>
  <c r="E89" i="16"/>
  <c r="E24" i="16"/>
  <c r="E27" i="16"/>
  <c r="E32" i="16"/>
  <c r="E37" i="16"/>
  <c r="E40" i="16"/>
  <c r="E42" i="16"/>
  <c r="F42" i="16"/>
  <c r="G116" i="15"/>
  <c r="G116" i="16"/>
  <c r="G116" i="17"/>
  <c r="G116" i="18"/>
  <c r="E75" i="16"/>
  <c r="F75" i="16"/>
  <c r="E75" i="15"/>
  <c r="H75" i="15"/>
  <c r="H74" i="15"/>
  <c r="E72" i="16"/>
  <c r="E65" i="16"/>
  <c r="E65" i="15"/>
  <c r="E62" i="16"/>
  <c r="F62" i="16"/>
  <c r="H57" i="15"/>
  <c r="H56" i="15"/>
  <c r="H56" i="16"/>
  <c r="A155" i="16"/>
  <c r="E113" i="16"/>
  <c r="E122" i="16"/>
  <c r="E114" i="16"/>
  <c r="E126" i="16"/>
  <c r="E123" i="16"/>
  <c r="D113" i="16"/>
  <c r="D125" i="16"/>
  <c r="D122" i="16"/>
  <c r="D114" i="16"/>
  <c r="D123" i="16"/>
  <c r="F123" i="16"/>
  <c r="E121" i="16"/>
  <c r="D121" i="16"/>
  <c r="F120" i="16"/>
  <c r="F119" i="16"/>
  <c r="E118" i="16"/>
  <c r="D118" i="16"/>
  <c r="F117" i="16"/>
  <c r="F116" i="16"/>
  <c r="E112" i="16"/>
  <c r="D112" i="16"/>
  <c r="F111" i="16"/>
  <c r="F110" i="16"/>
  <c r="E109" i="16"/>
  <c r="D109" i="16"/>
  <c r="F109" i="16"/>
  <c r="F108" i="16"/>
  <c r="F107" i="16"/>
  <c r="E106" i="16"/>
  <c r="D106" i="16"/>
  <c r="F105" i="16"/>
  <c r="F104" i="16"/>
  <c r="E103" i="16"/>
  <c r="D103" i="16"/>
  <c r="F102" i="16"/>
  <c r="F101" i="16"/>
  <c r="E100" i="16"/>
  <c r="D100" i="16"/>
  <c r="F99" i="16"/>
  <c r="F98" i="16"/>
  <c r="E77" i="16"/>
  <c r="D77" i="16"/>
  <c r="D78" i="16"/>
  <c r="E76" i="16"/>
  <c r="D76" i="16"/>
  <c r="F74" i="16"/>
  <c r="D73" i="16"/>
  <c r="F71" i="16"/>
  <c r="D68" i="16"/>
  <c r="D69" i="16"/>
  <c r="D67" i="16"/>
  <c r="F65" i="16"/>
  <c r="D64" i="16"/>
  <c r="E59" i="16"/>
  <c r="F59" i="16"/>
  <c r="E60" i="16"/>
  <c r="D59" i="16"/>
  <c r="D61" i="16"/>
  <c r="D60" i="16"/>
  <c r="E58" i="16"/>
  <c r="D58" i="16"/>
  <c r="F57" i="16"/>
  <c r="F56" i="16"/>
  <c r="E55" i="16"/>
  <c r="D55" i="16"/>
  <c r="F55" i="16"/>
  <c r="F54" i="16"/>
  <c r="F53" i="16"/>
  <c r="H26" i="16"/>
  <c r="I26" i="16"/>
  <c r="G26" i="16"/>
  <c r="D24" i="16"/>
  <c r="D27" i="16"/>
  <c r="D32" i="16"/>
  <c r="D34" i="16"/>
  <c r="D37" i="16"/>
  <c r="D40" i="16"/>
  <c r="D41" i="16"/>
  <c r="F44" i="16"/>
  <c r="F43" i="16"/>
  <c r="F40" i="16"/>
  <c r="I39" i="16"/>
  <c r="F39" i="16"/>
  <c r="F38" i="16"/>
  <c r="I36" i="16"/>
  <c r="F36" i="16"/>
  <c r="F35" i="16"/>
  <c r="F33" i="16"/>
  <c r="F31" i="16"/>
  <c r="F30" i="16"/>
  <c r="F27" i="16"/>
  <c r="F26" i="16"/>
  <c r="F25" i="16"/>
  <c r="F23" i="16"/>
  <c r="D16" i="16"/>
  <c r="C16" i="16"/>
  <c r="D155" i="15"/>
  <c r="H120" i="15"/>
  <c r="H120" i="16"/>
  <c r="H120" i="17"/>
  <c r="H119" i="15"/>
  <c r="H117" i="15"/>
  <c r="H116" i="15"/>
  <c r="H116" i="16"/>
  <c r="H111" i="15"/>
  <c r="H110" i="15"/>
  <c r="H108" i="15"/>
  <c r="I108" i="15"/>
  <c r="H107" i="15"/>
  <c r="H107" i="16"/>
  <c r="H107" i="17"/>
  <c r="H105" i="15"/>
  <c r="H105" i="16"/>
  <c r="H105" i="17"/>
  <c r="H104" i="15"/>
  <c r="H102" i="15"/>
  <c r="H101" i="15"/>
  <c r="H101" i="16"/>
  <c r="H101" i="17"/>
  <c r="H99" i="15"/>
  <c r="H98" i="15"/>
  <c r="H71" i="15"/>
  <c r="E62" i="15"/>
  <c r="H62" i="15"/>
  <c r="H54" i="15"/>
  <c r="H53" i="15"/>
  <c r="H44" i="15"/>
  <c r="H43" i="15"/>
  <c r="H43" i="16"/>
  <c r="H38" i="15"/>
  <c r="H35" i="15"/>
  <c r="H33" i="15"/>
  <c r="H30" i="15"/>
  <c r="H30" i="16"/>
  <c r="H25" i="15"/>
  <c r="H23" i="15"/>
  <c r="H23" i="16"/>
  <c r="H24" i="16"/>
  <c r="G120" i="15"/>
  <c r="I120" i="15"/>
  <c r="G119" i="15"/>
  <c r="G117" i="15"/>
  <c r="G117" i="16"/>
  <c r="G111" i="15"/>
  <c r="G111" i="16"/>
  <c r="G111" i="17"/>
  <c r="G111" i="18"/>
  <c r="G111" i="19"/>
  <c r="G111" i="20"/>
  <c r="G111" i="21"/>
  <c r="G111" i="22"/>
  <c r="G111" i="23"/>
  <c r="G111" i="24"/>
  <c r="G111" i="25"/>
  <c r="G111" i="26"/>
  <c r="G110" i="15"/>
  <c r="G108" i="15"/>
  <c r="G108" i="16"/>
  <c r="G108" i="17"/>
  <c r="G108" i="18"/>
  <c r="G108" i="19"/>
  <c r="G108" i="20"/>
  <c r="G108" i="21"/>
  <c r="G108" i="22"/>
  <c r="G108" i="23"/>
  <c r="G108" i="24"/>
  <c r="G108" i="25"/>
  <c r="G108" i="26"/>
  <c r="G107" i="15"/>
  <c r="G105" i="15"/>
  <c r="G105" i="16"/>
  <c r="G105" i="17"/>
  <c r="G105" i="18"/>
  <c r="G105" i="19"/>
  <c r="G105" i="20"/>
  <c r="G105" i="21"/>
  <c r="G105" i="22"/>
  <c r="G105" i="23"/>
  <c r="G105" i="24"/>
  <c r="G105" i="25"/>
  <c r="G105" i="26"/>
  <c r="G104" i="15"/>
  <c r="G102" i="15"/>
  <c r="G102" i="16"/>
  <c r="G102" i="17"/>
  <c r="G102" i="18"/>
  <c r="G102" i="19"/>
  <c r="G102" i="20"/>
  <c r="G102" i="21"/>
  <c r="G102" i="22"/>
  <c r="G102" i="23"/>
  <c r="G102" i="24"/>
  <c r="G102" i="25"/>
  <c r="G102" i="26"/>
  <c r="G101" i="15"/>
  <c r="G99" i="15"/>
  <c r="G99" i="16"/>
  <c r="G75" i="15"/>
  <c r="G75" i="16"/>
  <c r="G75" i="17"/>
  <c r="G75" i="18"/>
  <c r="G75" i="19"/>
  <c r="G75" i="20"/>
  <c r="G75" i="21"/>
  <c r="G75" i="22"/>
  <c r="G75" i="23"/>
  <c r="G75" i="24"/>
  <c r="G75" i="25"/>
  <c r="G75" i="26"/>
  <c r="G74" i="15"/>
  <c r="G72" i="15"/>
  <c r="G71" i="15"/>
  <c r="G71" i="16"/>
  <c r="G66" i="15"/>
  <c r="G66" i="16"/>
  <c r="G66" i="17"/>
  <c r="G66" i="18"/>
  <c r="G66" i="19"/>
  <c r="G66" i="20"/>
  <c r="G66" i="21"/>
  <c r="G66" i="22"/>
  <c r="G66" i="23"/>
  <c r="G66" i="24"/>
  <c r="G66" i="25"/>
  <c r="G66" i="26"/>
  <c r="G65" i="15"/>
  <c r="G63" i="15"/>
  <c r="G62" i="15"/>
  <c r="G57" i="15"/>
  <c r="I57" i="15"/>
  <c r="G56" i="15"/>
  <c r="G54" i="15"/>
  <c r="G53" i="15"/>
  <c r="G53" i="16"/>
  <c r="G44" i="15"/>
  <c r="G44" i="16"/>
  <c r="G44" i="17"/>
  <c r="G44" i="18"/>
  <c r="G44" i="19"/>
  <c r="G44" i="20"/>
  <c r="G44" i="21"/>
  <c r="G44" i="22"/>
  <c r="G44" i="23"/>
  <c r="G44" i="24"/>
  <c r="G44" i="25"/>
  <c r="G44" i="26"/>
  <c r="G43" i="15"/>
  <c r="G43" i="16"/>
  <c r="G43" i="17"/>
  <c r="G43" i="18"/>
  <c r="G43" i="19"/>
  <c r="G43" i="20"/>
  <c r="G43" i="21"/>
  <c r="G43" i="22"/>
  <c r="G43" i="23"/>
  <c r="G43" i="24"/>
  <c r="G43" i="25"/>
  <c r="G43" i="26"/>
  <c r="G42" i="15"/>
  <c r="G42" i="16"/>
  <c r="G42" i="17"/>
  <c r="G42" i="18"/>
  <c r="G42" i="19"/>
  <c r="G42" i="20"/>
  <c r="G42" i="21"/>
  <c r="G42" i="22"/>
  <c r="G42" i="23"/>
  <c r="G42" i="24"/>
  <c r="G42" i="25"/>
  <c r="G42" i="26"/>
  <c r="G38" i="15"/>
  <c r="G38" i="16"/>
  <c r="G38" i="17"/>
  <c r="G35" i="15"/>
  <c r="G33" i="15"/>
  <c r="G33" i="16"/>
  <c r="G33" i="17"/>
  <c r="G33" i="18"/>
  <c r="G33" i="19"/>
  <c r="G33" i="20"/>
  <c r="G33" i="21"/>
  <c r="G33" i="22"/>
  <c r="G33" i="23"/>
  <c r="G33" i="24"/>
  <c r="G33" i="25"/>
  <c r="G33" i="26"/>
  <c r="G30" i="15"/>
  <c r="G25" i="15"/>
  <c r="G25" i="16"/>
  <c r="G23" i="15"/>
  <c r="G98" i="15"/>
  <c r="D100" i="15"/>
  <c r="A155" i="15"/>
  <c r="E123" i="15"/>
  <c r="D123" i="15"/>
  <c r="E122" i="15"/>
  <c r="E124" i="15"/>
  <c r="D122" i="15"/>
  <c r="E121" i="15"/>
  <c r="F121" i="15"/>
  <c r="D121" i="15"/>
  <c r="F120" i="15"/>
  <c r="F119" i="15"/>
  <c r="E118" i="15"/>
  <c r="F118" i="15"/>
  <c r="D118" i="15"/>
  <c r="F117" i="15"/>
  <c r="F116" i="15"/>
  <c r="E114" i="15"/>
  <c r="D114" i="15"/>
  <c r="E113" i="15"/>
  <c r="E125" i="15"/>
  <c r="D113" i="15"/>
  <c r="E112" i="15"/>
  <c r="D112" i="15"/>
  <c r="F111" i="15"/>
  <c r="F110" i="15"/>
  <c r="E109" i="15"/>
  <c r="D109" i="15"/>
  <c r="F108" i="15"/>
  <c r="F107" i="15"/>
  <c r="E106" i="15"/>
  <c r="D106" i="15"/>
  <c r="F106" i="15"/>
  <c r="F105" i="15"/>
  <c r="F104" i="15"/>
  <c r="E103" i="15"/>
  <c r="D103" i="15"/>
  <c r="F102" i="15"/>
  <c r="I101" i="15"/>
  <c r="F101" i="15"/>
  <c r="E100" i="15"/>
  <c r="F100" i="15"/>
  <c r="F99" i="15"/>
  <c r="F98" i="15"/>
  <c r="D78" i="15"/>
  <c r="E77" i="15"/>
  <c r="D77" i="15"/>
  <c r="D79" i="15"/>
  <c r="D76" i="15"/>
  <c r="F74" i="15"/>
  <c r="D73" i="15"/>
  <c r="E72" i="15"/>
  <c r="G73" i="15"/>
  <c r="F71" i="15"/>
  <c r="D69" i="15"/>
  <c r="D68" i="15"/>
  <c r="D70" i="15"/>
  <c r="D67" i="15"/>
  <c r="D64" i="15"/>
  <c r="E60" i="15"/>
  <c r="D60" i="15"/>
  <c r="E59" i="15"/>
  <c r="D59" i="15"/>
  <c r="E58" i="15"/>
  <c r="D58" i="15"/>
  <c r="F57" i="15"/>
  <c r="F56" i="15"/>
  <c r="E55" i="15"/>
  <c r="D55" i="15"/>
  <c r="F54" i="15"/>
  <c r="F53" i="15"/>
  <c r="F44" i="15"/>
  <c r="I43" i="15"/>
  <c r="F43" i="15"/>
  <c r="E42" i="15"/>
  <c r="H40" i="15"/>
  <c r="E40" i="15"/>
  <c r="D40" i="15"/>
  <c r="I39" i="15"/>
  <c r="F39" i="15"/>
  <c r="F38" i="15"/>
  <c r="E37" i="15"/>
  <c r="E41" i="15"/>
  <c r="D37" i="15"/>
  <c r="I36" i="15"/>
  <c r="F36" i="15"/>
  <c r="F35" i="15"/>
  <c r="F33" i="15"/>
  <c r="E32" i="15"/>
  <c r="D32" i="15"/>
  <c r="D34" i="15"/>
  <c r="H31" i="15"/>
  <c r="G31" i="15"/>
  <c r="G31" i="16"/>
  <c r="G31" i="17"/>
  <c r="G31" i="18"/>
  <c r="G31" i="19"/>
  <c r="G31" i="20"/>
  <c r="G31" i="21"/>
  <c r="G31" i="22"/>
  <c r="G31" i="23"/>
  <c r="G31" i="24"/>
  <c r="G31" i="25"/>
  <c r="G31" i="26"/>
  <c r="F31" i="15"/>
  <c r="F30" i="15"/>
  <c r="E27" i="15"/>
  <c r="D27" i="15"/>
  <c r="H26" i="15"/>
  <c r="G26" i="15"/>
  <c r="I26" i="15"/>
  <c r="F26" i="15"/>
  <c r="F25" i="15"/>
  <c r="E24" i="15"/>
  <c r="D24" i="15"/>
  <c r="F23" i="15"/>
  <c r="C16" i="15"/>
  <c r="E63" i="15"/>
  <c r="F65" i="15"/>
  <c r="F75" i="15"/>
  <c r="H42" i="15"/>
  <c r="I42" i="15"/>
  <c r="G77" i="15"/>
  <c r="I119" i="15"/>
  <c r="E76" i="15"/>
  <c r="F42" i="15"/>
  <c r="I30" i="15"/>
  <c r="F62" i="15"/>
  <c r="I99" i="15"/>
  <c r="I116" i="15"/>
  <c r="G118" i="15"/>
  <c r="G122" i="15"/>
  <c r="F63" i="17"/>
  <c r="H35" i="16"/>
  <c r="H37" i="16"/>
  <c r="H37" i="15"/>
  <c r="F32" i="16"/>
  <c r="I105" i="15"/>
  <c r="G40" i="15"/>
  <c r="F77" i="17"/>
  <c r="F106" i="17"/>
  <c r="F109" i="17"/>
  <c r="F112" i="17"/>
  <c r="F121" i="17"/>
  <c r="G62" i="16"/>
  <c r="G64" i="15"/>
  <c r="I23" i="15"/>
  <c r="F76" i="15"/>
  <c r="F27" i="15"/>
  <c r="F55" i="15"/>
  <c r="F58" i="15"/>
  <c r="E68" i="16"/>
  <c r="F103" i="16"/>
  <c r="F113" i="18"/>
  <c r="F121" i="18"/>
  <c r="H53" i="16"/>
  <c r="H53" i="17"/>
  <c r="H53" i="18"/>
  <c r="H59" i="15"/>
  <c r="I53" i="15"/>
  <c r="E124" i="18"/>
  <c r="F123" i="18"/>
  <c r="E64" i="17"/>
  <c r="F64" i="17"/>
  <c r="G114" i="15"/>
  <c r="H24" i="15"/>
  <c r="G104" i="16"/>
  <c r="G106" i="15"/>
  <c r="D124" i="16"/>
  <c r="F113" i="16"/>
  <c r="E34" i="16"/>
  <c r="F34" i="16"/>
  <c r="H23" i="17"/>
  <c r="H24" i="17"/>
  <c r="F32" i="18"/>
  <c r="D61" i="19"/>
  <c r="G27" i="15"/>
  <c r="F121" i="16"/>
  <c r="D41" i="17"/>
  <c r="F55" i="17"/>
  <c r="E115" i="17"/>
  <c r="F100" i="18"/>
  <c r="I26" i="19"/>
  <c r="D79" i="19"/>
  <c r="D124" i="19"/>
  <c r="E28" i="15"/>
  <c r="F40" i="15"/>
  <c r="F109" i="15"/>
  <c r="D79" i="16"/>
  <c r="E66" i="15"/>
  <c r="E67" i="15"/>
  <c r="F67" i="15"/>
  <c r="D79" i="18"/>
  <c r="F112" i="18"/>
  <c r="F100" i="19"/>
  <c r="F106" i="19"/>
  <c r="F112" i="19"/>
  <c r="F40" i="19"/>
  <c r="E45" i="20"/>
  <c r="F45" i="20"/>
  <c r="E69" i="15"/>
  <c r="F69" i="15"/>
  <c r="H63" i="15"/>
  <c r="H31" i="16"/>
  <c r="I31" i="15"/>
  <c r="H32" i="15"/>
  <c r="F60" i="15"/>
  <c r="E61" i="15"/>
  <c r="H72" i="15"/>
  <c r="H72" i="16"/>
  <c r="F72" i="15"/>
  <c r="E78" i="15"/>
  <c r="F78" i="15"/>
  <c r="D125" i="15"/>
  <c r="F113" i="15"/>
  <c r="F73" i="17"/>
  <c r="E64" i="15"/>
  <c r="F64" i="15"/>
  <c r="H54" i="16"/>
  <c r="H54" i="17"/>
  <c r="H54" i="18"/>
  <c r="H60" i="15"/>
  <c r="H100" i="15"/>
  <c r="H98" i="16"/>
  <c r="I98" i="15"/>
  <c r="H113" i="15"/>
  <c r="H104" i="16"/>
  <c r="H104" i="17"/>
  <c r="H106" i="15"/>
  <c r="I106" i="15"/>
  <c r="I104" i="15"/>
  <c r="H110" i="16"/>
  <c r="H112" i="15"/>
  <c r="I110" i="15"/>
  <c r="H119" i="16"/>
  <c r="H119" i="17"/>
  <c r="H121" i="15"/>
  <c r="H122" i="15"/>
  <c r="H125" i="15"/>
  <c r="I75" i="15"/>
  <c r="G120" i="16"/>
  <c r="G120" i="17"/>
  <c r="G120" i="18"/>
  <c r="D28" i="19"/>
  <c r="F24" i="19"/>
  <c r="E34" i="19"/>
  <c r="F34" i="19"/>
  <c r="F32" i="19"/>
  <c r="D34" i="17"/>
  <c r="F34" i="17"/>
  <c r="F32" i="17"/>
  <c r="F75" i="18"/>
  <c r="E76" i="18"/>
  <c r="F76" i="18"/>
  <c r="E66" i="18"/>
  <c r="D124" i="18"/>
  <c r="F122" i="18"/>
  <c r="F63" i="15"/>
  <c r="D115" i="15"/>
  <c r="E73" i="15"/>
  <c r="F73" i="15"/>
  <c r="G23" i="16"/>
  <c r="G23" i="17"/>
  <c r="I23" i="17"/>
  <c r="G24" i="15"/>
  <c r="G35" i="16"/>
  <c r="G37" i="15"/>
  <c r="I37" i="15"/>
  <c r="I35" i="15"/>
  <c r="G57" i="16"/>
  <c r="G57" i="17"/>
  <c r="G60" i="15"/>
  <c r="G110" i="16"/>
  <c r="G112" i="15"/>
  <c r="H33" i="16"/>
  <c r="I33" i="15"/>
  <c r="H44" i="16"/>
  <c r="I44" i="16"/>
  <c r="I44" i="15"/>
  <c r="E63" i="16"/>
  <c r="E78" i="16"/>
  <c r="E126" i="19"/>
  <c r="F126" i="19"/>
  <c r="F114" i="19"/>
  <c r="E115" i="19"/>
  <c r="E34" i="15"/>
  <c r="F34" i="15"/>
  <c r="F32" i="15"/>
  <c r="H57" i="16"/>
  <c r="H57" i="17"/>
  <c r="H58" i="15"/>
  <c r="H65" i="15"/>
  <c r="E68" i="15"/>
  <c r="H76" i="15"/>
  <c r="E41" i="16"/>
  <c r="F37" i="16"/>
  <c r="E28" i="16"/>
  <c r="E45" i="16"/>
  <c r="F24" i="16"/>
  <c r="F103" i="17"/>
  <c r="E124" i="17"/>
  <c r="F124" i="17"/>
  <c r="E125" i="17"/>
  <c r="F58" i="18"/>
  <c r="G98" i="16"/>
  <c r="I98" i="16"/>
  <c r="G100" i="15"/>
  <c r="G56" i="16"/>
  <c r="G56" i="17"/>
  <c r="I56" i="15"/>
  <c r="G58" i="15"/>
  <c r="G59" i="15"/>
  <c r="G65" i="16"/>
  <c r="G65" i="17"/>
  <c r="G65" i="18"/>
  <c r="G68" i="15"/>
  <c r="G74" i="16"/>
  <c r="G76" i="15"/>
  <c r="G119" i="16"/>
  <c r="G119" i="17"/>
  <c r="G121" i="15"/>
  <c r="I121" i="15"/>
  <c r="H62" i="16"/>
  <c r="I62" i="15"/>
  <c r="H99" i="16"/>
  <c r="I99" i="16"/>
  <c r="H114" i="15"/>
  <c r="I114" i="15"/>
  <c r="H111" i="16"/>
  <c r="I111" i="15"/>
  <c r="D70" i="16"/>
  <c r="D126" i="16"/>
  <c r="D127" i="16"/>
  <c r="D115" i="16"/>
  <c r="I116" i="16"/>
  <c r="F106" i="16"/>
  <c r="E115" i="16"/>
  <c r="F115" i="16"/>
  <c r="G91" i="16"/>
  <c r="F34" i="18"/>
  <c r="E78" i="18"/>
  <c r="F78" i="18"/>
  <c r="F106" i="18"/>
  <c r="D125" i="18"/>
  <c r="F125" i="18"/>
  <c r="F58" i="19"/>
  <c r="F103" i="19"/>
  <c r="F109" i="19"/>
  <c r="H61" i="15"/>
  <c r="F103" i="15"/>
  <c r="F112" i="15"/>
  <c r="H55" i="15"/>
  <c r="F41" i="16"/>
  <c r="G89" i="17"/>
  <c r="D61" i="17"/>
  <c r="F91" i="17"/>
  <c r="I26" i="18"/>
  <c r="D61" i="18"/>
  <c r="F61" i="18"/>
  <c r="F59" i="18"/>
  <c r="E126" i="18"/>
  <c r="E127" i="18"/>
  <c r="D41" i="19"/>
  <c r="F60" i="19"/>
  <c r="F118" i="19"/>
  <c r="F125" i="15"/>
  <c r="G58" i="16"/>
  <c r="H30" i="17"/>
  <c r="H32" i="16"/>
  <c r="D41" i="15"/>
  <c r="F41" i="15"/>
  <c r="F37" i="15"/>
  <c r="I40" i="15"/>
  <c r="I60" i="15"/>
  <c r="G61" i="15"/>
  <c r="I61" i="15"/>
  <c r="D61" i="15"/>
  <c r="F61" i="15"/>
  <c r="F59" i="15"/>
  <c r="F77" i="15"/>
  <c r="H64" i="15"/>
  <c r="I64" i="15"/>
  <c r="D28" i="15"/>
  <c r="F24" i="15"/>
  <c r="G41" i="15"/>
  <c r="E126" i="15"/>
  <c r="E127" i="15"/>
  <c r="F127" i="15"/>
  <c r="F114" i="15"/>
  <c r="E115" i="15"/>
  <c r="G123" i="15"/>
  <c r="I62" i="16"/>
  <c r="G35" i="17"/>
  <c r="G37" i="16"/>
  <c r="E67" i="19"/>
  <c r="F67" i="19"/>
  <c r="F66" i="19"/>
  <c r="H34" i="15"/>
  <c r="G25" i="17"/>
  <c r="G27" i="16"/>
  <c r="G71" i="17"/>
  <c r="G77" i="16"/>
  <c r="H53" i="19"/>
  <c r="F60" i="16"/>
  <c r="E61" i="16"/>
  <c r="F61" i="16"/>
  <c r="D126" i="15"/>
  <c r="D127" i="15"/>
  <c r="F123" i="15"/>
  <c r="D124" i="15"/>
  <c r="F124" i="15"/>
  <c r="G30" i="16"/>
  <c r="I30" i="16"/>
  <c r="G32" i="15"/>
  <c r="G34" i="15"/>
  <c r="G54" i="16"/>
  <c r="G55" i="16"/>
  <c r="I55" i="16"/>
  <c r="G55" i="15"/>
  <c r="I54" i="15"/>
  <c r="G63" i="16"/>
  <c r="G64" i="16"/>
  <c r="G69" i="15"/>
  <c r="G72" i="16"/>
  <c r="G78" i="15"/>
  <c r="G79" i="15"/>
  <c r="G101" i="16"/>
  <c r="I101" i="16"/>
  <c r="G103" i="15"/>
  <c r="I103" i="15"/>
  <c r="G113" i="15"/>
  <c r="G107" i="16"/>
  <c r="G109" i="15"/>
  <c r="I107" i="15"/>
  <c r="G117" i="17"/>
  <c r="G118" i="16"/>
  <c r="H25" i="16"/>
  <c r="H27" i="15"/>
  <c r="I25" i="15"/>
  <c r="H38" i="16"/>
  <c r="I38" i="15"/>
  <c r="I55" i="15"/>
  <c r="H71" i="16"/>
  <c r="I71" i="15"/>
  <c r="H77" i="15"/>
  <c r="H79" i="15"/>
  <c r="I79" i="15"/>
  <c r="H102" i="16"/>
  <c r="I102" i="15"/>
  <c r="H103" i="15"/>
  <c r="H108" i="16"/>
  <c r="H109" i="15"/>
  <c r="H117" i="16"/>
  <c r="H118" i="15"/>
  <c r="I118" i="15"/>
  <c r="H123" i="15"/>
  <c r="H126" i="15"/>
  <c r="I126" i="15"/>
  <c r="I117" i="15"/>
  <c r="H56" i="17"/>
  <c r="H59" i="17"/>
  <c r="H58" i="16"/>
  <c r="G62" i="17"/>
  <c r="H74" i="16"/>
  <c r="I74" i="15"/>
  <c r="G104" i="17"/>
  <c r="G106" i="16"/>
  <c r="E28" i="17"/>
  <c r="F27" i="17"/>
  <c r="D125" i="17"/>
  <c r="F113" i="17"/>
  <c r="D115" i="17"/>
  <c r="F115" i="17"/>
  <c r="H23" i="18"/>
  <c r="E41" i="18"/>
  <c r="F37" i="18"/>
  <c r="H31" i="17"/>
  <c r="I31" i="16"/>
  <c r="G98" i="17"/>
  <c r="G100" i="16"/>
  <c r="G67" i="17"/>
  <c r="G74" i="17"/>
  <c r="G76" i="16"/>
  <c r="H120" i="18"/>
  <c r="G40" i="16"/>
  <c r="F58" i="16"/>
  <c r="F77" i="16"/>
  <c r="H42" i="16"/>
  <c r="E68" i="17"/>
  <c r="F65" i="17"/>
  <c r="H44" i="17"/>
  <c r="G110" i="17"/>
  <c r="G112" i="16"/>
  <c r="H33" i="17"/>
  <c r="I33" i="16"/>
  <c r="H105" i="18"/>
  <c r="I105" i="17"/>
  <c r="I23" i="16"/>
  <c r="F76" i="16"/>
  <c r="F100" i="16"/>
  <c r="I105" i="16"/>
  <c r="H106" i="16"/>
  <c r="I110" i="16"/>
  <c r="F112" i="16"/>
  <c r="F118" i="16"/>
  <c r="I119" i="16"/>
  <c r="H43" i="17"/>
  <c r="I43" i="16"/>
  <c r="G67" i="15"/>
  <c r="G38" i="18"/>
  <c r="G38" i="19"/>
  <c r="G38" i="20"/>
  <c r="G38" i="21"/>
  <c r="G40" i="17"/>
  <c r="G53" i="17"/>
  <c r="I53" i="17"/>
  <c r="G114" i="16"/>
  <c r="G99" i="17"/>
  <c r="H35" i="17"/>
  <c r="I35" i="16"/>
  <c r="H101" i="18"/>
  <c r="H107" i="18"/>
  <c r="H116" i="17"/>
  <c r="D28" i="16"/>
  <c r="I53" i="16"/>
  <c r="I57" i="16"/>
  <c r="H59" i="16"/>
  <c r="F68" i="16"/>
  <c r="E125" i="16"/>
  <c r="E124" i="16"/>
  <c r="F124" i="16"/>
  <c r="F122" i="16"/>
  <c r="E66" i="16"/>
  <c r="E67" i="16"/>
  <c r="F67" i="16"/>
  <c r="H75" i="16"/>
  <c r="I75" i="16"/>
  <c r="F90" i="17"/>
  <c r="G90" i="16"/>
  <c r="F75" i="17"/>
  <c r="E66" i="17"/>
  <c r="E76" i="17"/>
  <c r="F76" i="17"/>
  <c r="E78" i="17"/>
  <c r="F68" i="18"/>
  <c r="F72" i="16"/>
  <c r="E73" i="16"/>
  <c r="F73" i="16"/>
  <c r="F114" i="16"/>
  <c r="G116" i="19"/>
  <c r="D45" i="17"/>
  <c r="D46" i="17"/>
  <c r="D47" i="17"/>
  <c r="F37" i="17"/>
  <c r="E41" i="17"/>
  <c r="F41" i="17"/>
  <c r="F59" i="17"/>
  <c r="E61" i="17"/>
  <c r="F118" i="17"/>
  <c r="H62" i="17"/>
  <c r="G91" i="17"/>
  <c r="F28" i="18"/>
  <c r="F91" i="18"/>
  <c r="F89" i="19"/>
  <c r="G89" i="18"/>
  <c r="F58" i="17"/>
  <c r="E126" i="17"/>
  <c r="F114" i="17"/>
  <c r="F124" i="18"/>
  <c r="D126" i="18"/>
  <c r="F126" i="18"/>
  <c r="F114" i="18"/>
  <c r="D115" i="18"/>
  <c r="F115" i="18"/>
  <c r="F61" i="19"/>
  <c r="F28" i="19"/>
  <c r="E78" i="19"/>
  <c r="F78" i="19"/>
  <c r="E63" i="19"/>
  <c r="E73" i="19"/>
  <c r="F73" i="19"/>
  <c r="E68" i="19"/>
  <c r="G89" i="16"/>
  <c r="F27" i="18"/>
  <c r="F55" i="19"/>
  <c r="D125" i="19"/>
  <c r="D127" i="19"/>
  <c r="D115" i="19"/>
  <c r="F115" i="19"/>
  <c r="E125" i="19"/>
  <c r="F113" i="19"/>
  <c r="E124" i="19"/>
  <c r="F124" i="19"/>
  <c r="F123" i="19"/>
  <c r="F59" i="19"/>
  <c r="F77" i="19"/>
  <c r="E41" i="19"/>
  <c r="F41" i="19"/>
  <c r="E69" i="20"/>
  <c r="F69" i="20"/>
  <c r="F66" i="20"/>
  <c r="F124" i="20"/>
  <c r="E67" i="20"/>
  <c r="F67" i="20"/>
  <c r="F61" i="20"/>
  <c r="F28" i="20"/>
  <c r="F63" i="20"/>
  <c r="F115" i="20"/>
  <c r="F126" i="20"/>
  <c r="E46" i="20"/>
  <c r="E79" i="20"/>
  <c r="F79" i="20"/>
  <c r="C155" i="20"/>
  <c r="H73" i="15"/>
  <c r="I73" i="15"/>
  <c r="F126" i="16"/>
  <c r="H41" i="15"/>
  <c r="H115" i="15"/>
  <c r="I59" i="15"/>
  <c r="H63" i="16"/>
  <c r="H64" i="16"/>
  <c r="E79" i="19"/>
  <c r="F79" i="19"/>
  <c r="G24" i="16"/>
  <c r="G28" i="16"/>
  <c r="G45" i="16"/>
  <c r="G46" i="16"/>
  <c r="G47" i="16"/>
  <c r="G70" i="15"/>
  <c r="H75" i="17"/>
  <c r="I106" i="16"/>
  <c r="H66" i="15"/>
  <c r="I66" i="15"/>
  <c r="F66" i="15"/>
  <c r="F61" i="17"/>
  <c r="G59" i="16"/>
  <c r="H99" i="17"/>
  <c r="I120" i="17"/>
  <c r="I56" i="16"/>
  <c r="I109" i="15"/>
  <c r="G123" i="16"/>
  <c r="G126" i="16"/>
  <c r="G113" i="16"/>
  <c r="I120" i="16"/>
  <c r="F115" i="15"/>
  <c r="I58" i="15"/>
  <c r="H98" i="17"/>
  <c r="H100" i="16"/>
  <c r="I100" i="16"/>
  <c r="H113" i="16"/>
  <c r="H69" i="15"/>
  <c r="I63" i="15"/>
  <c r="E70" i="20"/>
  <c r="F70" i="20"/>
  <c r="E79" i="18"/>
  <c r="F79" i="18"/>
  <c r="H55" i="16"/>
  <c r="H122" i="16"/>
  <c r="H55" i="17"/>
  <c r="G122" i="16"/>
  <c r="G67" i="16"/>
  <c r="G68" i="16"/>
  <c r="I58" i="16"/>
  <c r="E45" i="15"/>
  <c r="E46" i="15"/>
  <c r="E79" i="15"/>
  <c r="F79" i="15"/>
  <c r="H111" i="17"/>
  <c r="I111" i="16"/>
  <c r="I76" i="15"/>
  <c r="F78" i="16"/>
  <c r="E79" i="16"/>
  <c r="F79" i="16"/>
  <c r="D45" i="19"/>
  <c r="D46" i="19"/>
  <c r="D47" i="19"/>
  <c r="I112" i="15"/>
  <c r="I100" i="15"/>
  <c r="I72" i="15"/>
  <c r="H78" i="15"/>
  <c r="I104" i="16"/>
  <c r="I34" i="15"/>
  <c r="I65" i="15"/>
  <c r="H68" i="15"/>
  <c r="H65" i="16"/>
  <c r="H68" i="16"/>
  <c r="G24" i="17"/>
  <c r="G23" i="18"/>
  <c r="H121" i="16"/>
  <c r="H60" i="16"/>
  <c r="H61" i="16"/>
  <c r="G121" i="16"/>
  <c r="I121" i="16"/>
  <c r="I54" i="16"/>
  <c r="I32" i="15"/>
  <c r="F126" i="15"/>
  <c r="E70" i="15"/>
  <c r="F70" i="15"/>
  <c r="F68" i="15"/>
  <c r="F63" i="16"/>
  <c r="E64" i="16"/>
  <c r="F64" i="16"/>
  <c r="G28" i="15"/>
  <c r="G45" i="15"/>
  <c r="G46" i="15"/>
  <c r="G47" i="15"/>
  <c r="I24" i="15"/>
  <c r="F66" i="18"/>
  <c r="E67" i="18"/>
  <c r="F67" i="18"/>
  <c r="H110" i="17"/>
  <c r="H112" i="16"/>
  <c r="I112" i="16"/>
  <c r="G115" i="16"/>
  <c r="F68" i="19"/>
  <c r="G40" i="18"/>
  <c r="F68" i="17"/>
  <c r="H120" i="19"/>
  <c r="H31" i="18"/>
  <c r="I31" i="17"/>
  <c r="I59" i="16"/>
  <c r="I43" i="17"/>
  <c r="H43" i="18"/>
  <c r="I105" i="18"/>
  <c r="H105" i="19"/>
  <c r="H33" i="18"/>
  <c r="I33" i="17"/>
  <c r="H42" i="17"/>
  <c r="I42" i="16"/>
  <c r="H54" i="19"/>
  <c r="G74" i="18"/>
  <c r="G76" i="17"/>
  <c r="F41" i="18"/>
  <c r="E45" i="18"/>
  <c r="F28" i="17"/>
  <c r="E45" i="17"/>
  <c r="H74" i="17"/>
  <c r="I74" i="16"/>
  <c r="H76" i="16"/>
  <c r="I76" i="16"/>
  <c r="I123" i="15"/>
  <c r="H108" i="17"/>
  <c r="I108" i="16"/>
  <c r="H109" i="16"/>
  <c r="I77" i="15"/>
  <c r="I27" i="15"/>
  <c r="H28" i="15"/>
  <c r="G117" i="18"/>
  <c r="G123" i="17"/>
  <c r="G118" i="17"/>
  <c r="G115" i="15"/>
  <c r="I115" i="15"/>
  <c r="I113" i="15"/>
  <c r="G125" i="15"/>
  <c r="G72" i="17"/>
  <c r="G73" i="17"/>
  <c r="G78" i="16"/>
  <c r="H55" i="18"/>
  <c r="I24" i="16"/>
  <c r="G41" i="16"/>
  <c r="D45" i="15"/>
  <c r="D46" i="15"/>
  <c r="D47" i="15"/>
  <c r="F28" i="15"/>
  <c r="E127" i="19"/>
  <c r="F127" i="19"/>
  <c r="F125" i="19"/>
  <c r="I116" i="17"/>
  <c r="H116" i="18"/>
  <c r="H44" i="18"/>
  <c r="I44" i="17"/>
  <c r="H23" i="19"/>
  <c r="H24" i="18"/>
  <c r="F89" i="20"/>
  <c r="G89" i="20"/>
  <c r="G89" i="19"/>
  <c r="D127" i="18"/>
  <c r="F127" i="18"/>
  <c r="F90" i="18"/>
  <c r="G90" i="17"/>
  <c r="F28" i="16"/>
  <c r="D45" i="16"/>
  <c r="H35" i="18"/>
  <c r="H37" i="17"/>
  <c r="I35" i="17"/>
  <c r="G124" i="16"/>
  <c r="G100" i="17"/>
  <c r="G98" i="18"/>
  <c r="G73" i="16"/>
  <c r="G35" i="18"/>
  <c r="G37" i="17"/>
  <c r="G41" i="17"/>
  <c r="C155" i="15"/>
  <c r="H155" i="15"/>
  <c r="B155" i="16"/>
  <c r="H63" i="17"/>
  <c r="H64" i="17"/>
  <c r="I63" i="16"/>
  <c r="G62" i="18"/>
  <c r="G68" i="17"/>
  <c r="H102" i="17"/>
  <c r="H114" i="17"/>
  <c r="I114" i="17"/>
  <c r="I102" i="16"/>
  <c r="G107" i="17"/>
  <c r="G109" i="16"/>
  <c r="I107" i="16"/>
  <c r="G30" i="17"/>
  <c r="I30" i="17"/>
  <c r="G32" i="16"/>
  <c r="G34" i="16"/>
  <c r="I34" i="16"/>
  <c r="G71" i="18"/>
  <c r="G77" i="17"/>
  <c r="H30" i="18"/>
  <c r="H32" i="17"/>
  <c r="E69" i="19"/>
  <c r="F69" i="19"/>
  <c r="F63" i="19"/>
  <c r="H62" i="18"/>
  <c r="I62" i="17"/>
  <c r="G116" i="20"/>
  <c r="G116" i="21"/>
  <c r="G116" i="22"/>
  <c r="G116" i="23"/>
  <c r="H101" i="19"/>
  <c r="E45" i="19"/>
  <c r="E69" i="17"/>
  <c r="F69" i="17"/>
  <c r="E67" i="17"/>
  <c r="F67" i="17"/>
  <c r="F66" i="17"/>
  <c r="F66" i="16"/>
  <c r="H66" i="16"/>
  <c r="H69" i="16"/>
  <c r="I69" i="16"/>
  <c r="E69" i="16"/>
  <c r="F69" i="16"/>
  <c r="E127" i="16"/>
  <c r="F127" i="16"/>
  <c r="F125" i="16"/>
  <c r="H107" i="19"/>
  <c r="G53" i="18"/>
  <c r="G53" i="19"/>
  <c r="H103" i="16"/>
  <c r="I103" i="16"/>
  <c r="H114" i="16"/>
  <c r="G65" i="19"/>
  <c r="G67" i="18"/>
  <c r="H25" i="17"/>
  <c r="H27" i="16"/>
  <c r="I25" i="16"/>
  <c r="G54" i="17"/>
  <c r="G55" i="17"/>
  <c r="I55" i="17"/>
  <c r="G60" i="16"/>
  <c r="G61" i="16"/>
  <c r="E64" i="19"/>
  <c r="F64" i="19"/>
  <c r="F126" i="17"/>
  <c r="E127" i="17"/>
  <c r="F91" i="19"/>
  <c r="G91" i="18"/>
  <c r="F78" i="17"/>
  <c r="E79" i="17"/>
  <c r="F79" i="17"/>
  <c r="H72" i="17"/>
  <c r="H78" i="16"/>
  <c r="I78" i="16"/>
  <c r="I72" i="16"/>
  <c r="G99" i="18"/>
  <c r="G114" i="17"/>
  <c r="G126" i="17"/>
  <c r="H99" i="18"/>
  <c r="I99" i="17"/>
  <c r="G112" i="17"/>
  <c r="G110" i="18"/>
  <c r="I24" i="17"/>
  <c r="D127" i="17"/>
  <c r="F125" i="17"/>
  <c r="G104" i="18"/>
  <c r="G106" i="17"/>
  <c r="H56" i="18"/>
  <c r="I37" i="16"/>
  <c r="H123" i="16"/>
  <c r="I123" i="16"/>
  <c r="I117" i="16"/>
  <c r="H118" i="16"/>
  <c r="I118" i="16"/>
  <c r="H117" i="17"/>
  <c r="H118" i="17"/>
  <c r="I118" i="17"/>
  <c r="H71" i="17"/>
  <c r="H73" i="17"/>
  <c r="I73" i="17"/>
  <c r="I71" i="16"/>
  <c r="H77" i="16"/>
  <c r="H73" i="16"/>
  <c r="I73" i="16"/>
  <c r="H38" i="17"/>
  <c r="I38" i="17"/>
  <c r="H40" i="16"/>
  <c r="I38" i="16"/>
  <c r="G101" i="17"/>
  <c r="G113" i="17"/>
  <c r="G115" i="17"/>
  <c r="G103" i="16"/>
  <c r="G63" i="17"/>
  <c r="G64" i="17"/>
  <c r="G69" i="16"/>
  <c r="G70" i="16"/>
  <c r="H53" i="20"/>
  <c r="H53" i="21"/>
  <c r="H53" i="22"/>
  <c r="H53" i="23"/>
  <c r="H55" i="19"/>
  <c r="G79" i="16"/>
  <c r="G25" i="18"/>
  <c r="G27" i="17"/>
  <c r="G28" i="17"/>
  <c r="G45" i="17"/>
  <c r="G46" i="17"/>
  <c r="G126" i="15"/>
  <c r="G124" i="15"/>
  <c r="I69" i="15"/>
  <c r="I41" i="15"/>
  <c r="H34" i="16"/>
  <c r="E47" i="20"/>
  <c r="F47" i="20"/>
  <c r="F46" i="20"/>
  <c r="G125" i="16"/>
  <c r="G127" i="16"/>
  <c r="I75" i="17"/>
  <c r="H75" i="18"/>
  <c r="H67" i="15"/>
  <c r="I67" i="15"/>
  <c r="I122" i="16"/>
  <c r="H125" i="16"/>
  <c r="G23" i="19"/>
  <c r="G24" i="18"/>
  <c r="I24" i="18"/>
  <c r="F45" i="15"/>
  <c r="E70" i="19"/>
  <c r="F70" i="19"/>
  <c r="I65" i="16"/>
  <c r="H65" i="17"/>
  <c r="H111" i="18"/>
  <c r="I111" i="17"/>
  <c r="H98" i="18"/>
  <c r="I98" i="17"/>
  <c r="H100" i="17"/>
  <c r="I100" i="17"/>
  <c r="I110" i="17"/>
  <c r="H112" i="17"/>
  <c r="I112" i="17"/>
  <c r="H110" i="18"/>
  <c r="I78" i="15"/>
  <c r="F89" i="21"/>
  <c r="I23" i="18"/>
  <c r="I113" i="16"/>
  <c r="I68" i="15"/>
  <c r="H70" i="15"/>
  <c r="I70" i="15"/>
  <c r="G109" i="17"/>
  <c r="G107" i="18"/>
  <c r="I107" i="17"/>
  <c r="G74" i="19"/>
  <c r="G76" i="18"/>
  <c r="H31" i="19"/>
  <c r="I31" i="18"/>
  <c r="H40" i="17"/>
  <c r="I40" i="17"/>
  <c r="H77" i="17"/>
  <c r="H71" i="18"/>
  <c r="I71" i="17"/>
  <c r="H124" i="16"/>
  <c r="I124" i="16"/>
  <c r="F127" i="17"/>
  <c r="I27" i="16"/>
  <c r="H28" i="16"/>
  <c r="G65" i="20"/>
  <c r="G67" i="19"/>
  <c r="E70" i="16"/>
  <c r="F70" i="16"/>
  <c r="H34" i="17"/>
  <c r="G32" i="17"/>
  <c r="I32" i="17"/>
  <c r="G34" i="17"/>
  <c r="G35" i="19"/>
  <c r="G37" i="18"/>
  <c r="G41" i="18"/>
  <c r="I37" i="17"/>
  <c r="H44" i="19"/>
  <c r="I44" i="18"/>
  <c r="I125" i="15"/>
  <c r="G127" i="15"/>
  <c r="H108" i="18"/>
  <c r="I108" i="17"/>
  <c r="H109" i="17"/>
  <c r="I109" i="17"/>
  <c r="C155" i="17"/>
  <c r="E46" i="17"/>
  <c r="F45" i="17"/>
  <c r="H105" i="20"/>
  <c r="I105" i="19"/>
  <c r="H120" i="20"/>
  <c r="I40" i="16"/>
  <c r="H41" i="16"/>
  <c r="I41" i="16"/>
  <c r="F91" i="20"/>
  <c r="G91" i="19"/>
  <c r="H101" i="20"/>
  <c r="H101" i="21"/>
  <c r="H101" i="22"/>
  <c r="H101" i="23"/>
  <c r="G62" i="19"/>
  <c r="G68" i="18"/>
  <c r="H74" i="18"/>
  <c r="H76" i="17"/>
  <c r="I76" i="17"/>
  <c r="I74" i="17"/>
  <c r="H33" i="19"/>
  <c r="I33" i="18"/>
  <c r="G101" i="18"/>
  <c r="G103" i="17"/>
  <c r="I101" i="17"/>
  <c r="G99" i="19"/>
  <c r="G114" i="18"/>
  <c r="I72" i="17"/>
  <c r="H78" i="17"/>
  <c r="H72" i="18"/>
  <c r="H25" i="18"/>
  <c r="I25" i="17"/>
  <c r="H27" i="17"/>
  <c r="I53" i="18"/>
  <c r="H107" i="20"/>
  <c r="H107" i="21"/>
  <c r="H107" i="22"/>
  <c r="H107" i="23"/>
  <c r="I66" i="16"/>
  <c r="H67" i="16"/>
  <c r="I67" i="16"/>
  <c r="C155" i="19"/>
  <c r="E46" i="19"/>
  <c r="F45" i="19"/>
  <c r="H30" i="19"/>
  <c r="H32" i="18"/>
  <c r="H102" i="18"/>
  <c r="I102" i="17"/>
  <c r="H103" i="17"/>
  <c r="I63" i="17"/>
  <c r="G98" i="19"/>
  <c r="G100" i="18"/>
  <c r="H35" i="19"/>
  <c r="H37" i="18"/>
  <c r="I35" i="18"/>
  <c r="F90" i="19"/>
  <c r="G90" i="18"/>
  <c r="I60" i="16"/>
  <c r="H116" i="19"/>
  <c r="I116" i="18"/>
  <c r="G117" i="19"/>
  <c r="G123" i="18"/>
  <c r="G118" i="18"/>
  <c r="I42" i="17"/>
  <c r="H42" i="18"/>
  <c r="I61" i="16"/>
  <c r="G40" i="19"/>
  <c r="G25" i="19"/>
  <c r="G27" i="18"/>
  <c r="G28" i="18"/>
  <c r="G63" i="18"/>
  <c r="G69" i="17"/>
  <c r="H56" i="19"/>
  <c r="H59" i="18"/>
  <c r="I62" i="18"/>
  <c r="H62" i="19"/>
  <c r="G72" i="18"/>
  <c r="G73" i="18"/>
  <c r="G78" i="17"/>
  <c r="G79" i="17"/>
  <c r="H117" i="18"/>
  <c r="I117" i="17"/>
  <c r="H123" i="17"/>
  <c r="I123" i="17"/>
  <c r="I32" i="16"/>
  <c r="G47" i="17"/>
  <c r="H79" i="16"/>
  <c r="I79" i="16"/>
  <c r="I77" i="16"/>
  <c r="G104" i="19"/>
  <c r="G106" i="19"/>
  <c r="G106" i="18"/>
  <c r="G110" i="19"/>
  <c r="G112" i="18"/>
  <c r="H99" i="19"/>
  <c r="I99" i="18"/>
  <c r="G54" i="18"/>
  <c r="G55" i="18"/>
  <c r="I55" i="18"/>
  <c r="I54" i="17"/>
  <c r="H126" i="16"/>
  <c r="I114" i="16"/>
  <c r="H115" i="16"/>
  <c r="I115" i="16"/>
  <c r="H66" i="17"/>
  <c r="H69" i="17"/>
  <c r="I69" i="17"/>
  <c r="I64" i="17"/>
  <c r="G71" i="19"/>
  <c r="G77" i="18"/>
  <c r="G70" i="17"/>
  <c r="D46" i="16"/>
  <c r="F45" i="16"/>
  <c r="H23" i="20"/>
  <c r="H24" i="20"/>
  <c r="I24" i="20"/>
  <c r="H23" i="21"/>
  <c r="H23" i="22"/>
  <c r="H23" i="23"/>
  <c r="I23" i="19"/>
  <c r="H24" i="19"/>
  <c r="I28" i="15"/>
  <c r="H45" i="15"/>
  <c r="I109" i="16"/>
  <c r="C155" i="18"/>
  <c r="E46" i="18"/>
  <c r="H54" i="20"/>
  <c r="H55" i="20"/>
  <c r="H43" i="19"/>
  <c r="I43" i="18"/>
  <c r="E70" i="17"/>
  <c r="F70" i="17"/>
  <c r="G89" i="21"/>
  <c r="F89" i="22"/>
  <c r="I125" i="16"/>
  <c r="I75" i="18"/>
  <c r="H75" i="19"/>
  <c r="H110" i="19"/>
  <c r="I110" i="18"/>
  <c r="H112" i="18"/>
  <c r="I112" i="18"/>
  <c r="I98" i="18"/>
  <c r="H98" i="19"/>
  <c r="H100" i="18"/>
  <c r="I100" i="18"/>
  <c r="I78" i="17"/>
  <c r="G67" i="20"/>
  <c r="G65" i="21"/>
  <c r="H65" i="18"/>
  <c r="I65" i="17"/>
  <c r="H68" i="17"/>
  <c r="I68" i="17"/>
  <c r="G23" i="20"/>
  <c r="G24" i="19"/>
  <c r="I105" i="20"/>
  <c r="H105" i="21"/>
  <c r="H111" i="19"/>
  <c r="I111" i="18"/>
  <c r="H24" i="21"/>
  <c r="G40" i="20"/>
  <c r="G91" i="20"/>
  <c r="F91" i="21"/>
  <c r="H120" i="21"/>
  <c r="H120" i="22"/>
  <c r="H120" i="23"/>
  <c r="H43" i="20"/>
  <c r="I43" i="19"/>
  <c r="G72" i="19"/>
  <c r="G73" i="19"/>
  <c r="I73" i="19"/>
  <c r="G78" i="18"/>
  <c r="G79" i="18"/>
  <c r="I79" i="18"/>
  <c r="H102" i="19"/>
  <c r="I102" i="18"/>
  <c r="H103" i="18"/>
  <c r="E47" i="19"/>
  <c r="F47" i="19"/>
  <c r="F46" i="19"/>
  <c r="I27" i="17"/>
  <c r="H28" i="17"/>
  <c r="I77" i="17"/>
  <c r="H79" i="17"/>
  <c r="I79" i="17"/>
  <c r="G107" i="19"/>
  <c r="G109" i="18"/>
  <c r="I107" i="18"/>
  <c r="G104" i="20"/>
  <c r="H35" i="20"/>
  <c r="H35" i="21"/>
  <c r="I35" i="19"/>
  <c r="H37" i="19"/>
  <c r="H34" i="18"/>
  <c r="I44" i="19"/>
  <c r="H44" i="20"/>
  <c r="I34" i="17"/>
  <c r="E47" i="18"/>
  <c r="G25" i="20"/>
  <c r="G27" i="19"/>
  <c r="G28" i="19"/>
  <c r="H116" i="20"/>
  <c r="H116" i="21"/>
  <c r="I116" i="19"/>
  <c r="I37" i="18"/>
  <c r="H31" i="20"/>
  <c r="I31" i="19"/>
  <c r="I24" i="19"/>
  <c r="G71" i="20"/>
  <c r="G71" i="21"/>
  <c r="G71" i="22"/>
  <c r="G71" i="23"/>
  <c r="G77" i="19"/>
  <c r="I66" i="17"/>
  <c r="H66" i="18"/>
  <c r="H67" i="17"/>
  <c r="I67" i="17"/>
  <c r="G110" i="20"/>
  <c r="G112" i="19"/>
  <c r="G69" i="18"/>
  <c r="G70" i="18"/>
  <c r="G63" i="19"/>
  <c r="I42" i="18"/>
  <c r="H42" i="19"/>
  <c r="F90" i="20"/>
  <c r="G90" i="19"/>
  <c r="G113" i="18"/>
  <c r="I103" i="17"/>
  <c r="H30" i="20"/>
  <c r="H30" i="21"/>
  <c r="H30" i="22"/>
  <c r="H30" i="23"/>
  <c r="H32" i="19"/>
  <c r="G53" i="20"/>
  <c r="G53" i="21"/>
  <c r="G53" i="22"/>
  <c r="G53" i="23"/>
  <c r="I53" i="19"/>
  <c r="H25" i="19"/>
  <c r="H27" i="18"/>
  <c r="I25" i="18"/>
  <c r="G126" i="18"/>
  <c r="G101" i="19"/>
  <c r="G113" i="19"/>
  <c r="G103" i="18"/>
  <c r="I101" i="18"/>
  <c r="H74" i="19"/>
  <c r="H76" i="18"/>
  <c r="I76" i="18"/>
  <c r="I74" i="18"/>
  <c r="G64" i="18"/>
  <c r="F46" i="17"/>
  <c r="E47" i="17"/>
  <c r="F47" i="17"/>
  <c r="H108" i="19"/>
  <c r="I108" i="18"/>
  <c r="H109" i="18"/>
  <c r="I109" i="18"/>
  <c r="H71" i="19"/>
  <c r="H77" i="18"/>
  <c r="H73" i="18"/>
  <c r="I73" i="18"/>
  <c r="I71" i="18"/>
  <c r="G74" i="20"/>
  <c r="G76" i="19"/>
  <c r="I45" i="15"/>
  <c r="H46" i="15"/>
  <c r="I126" i="16"/>
  <c r="H127" i="16"/>
  <c r="I127" i="16"/>
  <c r="H99" i="20"/>
  <c r="H99" i="21"/>
  <c r="I99" i="19"/>
  <c r="H56" i="20"/>
  <c r="H56" i="21"/>
  <c r="H59" i="19"/>
  <c r="D47" i="16"/>
  <c r="G54" i="19"/>
  <c r="I54" i="18"/>
  <c r="H114" i="18"/>
  <c r="H117" i="19"/>
  <c r="H123" i="18"/>
  <c r="I123" i="18"/>
  <c r="I117" i="18"/>
  <c r="I62" i="19"/>
  <c r="H62" i="20"/>
  <c r="H62" i="21"/>
  <c r="H62" i="22"/>
  <c r="H100" i="19"/>
  <c r="G117" i="20"/>
  <c r="G117" i="21"/>
  <c r="G118" i="19"/>
  <c r="H118" i="18"/>
  <c r="I118" i="18"/>
  <c r="G98" i="20"/>
  <c r="G98" i="21"/>
  <c r="G100" i="19"/>
  <c r="I72" i="18"/>
  <c r="H78" i="18"/>
  <c r="I78" i="18"/>
  <c r="H72" i="19"/>
  <c r="G99" i="20"/>
  <c r="G114" i="19"/>
  <c r="H33" i="20"/>
  <c r="I33" i="19"/>
  <c r="G62" i="20"/>
  <c r="G62" i="21"/>
  <c r="G68" i="19"/>
  <c r="G64" i="19"/>
  <c r="H41" i="17"/>
  <c r="I41" i="17"/>
  <c r="G35" i="20"/>
  <c r="G37" i="19"/>
  <c r="G41" i="19"/>
  <c r="H45" i="16"/>
  <c r="I28" i="16"/>
  <c r="H126" i="17"/>
  <c r="I126" i="17"/>
  <c r="I53" i="22"/>
  <c r="G91" i="21"/>
  <c r="F91" i="22"/>
  <c r="F91" i="23"/>
  <c r="G91" i="22"/>
  <c r="G67" i="21"/>
  <c r="G65" i="22"/>
  <c r="G65" i="23"/>
  <c r="G67" i="22"/>
  <c r="I105" i="21"/>
  <c r="H105" i="22"/>
  <c r="H105" i="23"/>
  <c r="G40" i="21"/>
  <c r="G38" i="22"/>
  <c r="G38" i="23"/>
  <c r="I75" i="19"/>
  <c r="H75" i="20"/>
  <c r="G112" i="20"/>
  <c r="G110" i="21"/>
  <c r="I31" i="20"/>
  <c r="H31" i="21"/>
  <c r="I44" i="20"/>
  <c r="H44" i="21"/>
  <c r="I111" i="19"/>
  <c r="H111" i="20"/>
  <c r="G24" i="20"/>
  <c r="G23" i="21"/>
  <c r="G23" i="22"/>
  <c r="I98" i="19"/>
  <c r="H98" i="20"/>
  <c r="G114" i="20"/>
  <c r="G99" i="21"/>
  <c r="G76" i="20"/>
  <c r="G74" i="21"/>
  <c r="G90" i="20"/>
  <c r="F90" i="21"/>
  <c r="G106" i="20"/>
  <c r="G104" i="21"/>
  <c r="G104" i="22"/>
  <c r="G104" i="23"/>
  <c r="H110" i="20"/>
  <c r="H112" i="19"/>
  <c r="I112" i="19"/>
  <c r="I110" i="19"/>
  <c r="G37" i="20"/>
  <c r="G41" i="20"/>
  <c r="G35" i="21"/>
  <c r="I53" i="21"/>
  <c r="G27" i="20"/>
  <c r="G28" i="20"/>
  <c r="G25" i="21"/>
  <c r="I43" i="20"/>
  <c r="H43" i="21"/>
  <c r="I33" i="20"/>
  <c r="H33" i="21"/>
  <c r="I23" i="20"/>
  <c r="H65" i="19"/>
  <c r="I65" i="18"/>
  <c r="H68" i="18"/>
  <c r="I68" i="18"/>
  <c r="I116" i="20"/>
  <c r="G100" i="20"/>
  <c r="G118" i="20"/>
  <c r="H117" i="20"/>
  <c r="H117" i="21"/>
  <c r="H117" i="22"/>
  <c r="H117" i="23"/>
  <c r="H123" i="19"/>
  <c r="I117" i="19"/>
  <c r="G54" i="20"/>
  <c r="I54" i="19"/>
  <c r="G115" i="18"/>
  <c r="G63" i="20"/>
  <c r="G69" i="19"/>
  <c r="G70" i="19"/>
  <c r="I98" i="20"/>
  <c r="I66" i="18"/>
  <c r="H66" i="19"/>
  <c r="H67" i="18"/>
  <c r="I67" i="18"/>
  <c r="G77" i="20"/>
  <c r="H118" i="19"/>
  <c r="I118" i="19"/>
  <c r="I35" i="20"/>
  <c r="H37" i="20"/>
  <c r="I28" i="17"/>
  <c r="H45" i="17"/>
  <c r="I103" i="18"/>
  <c r="G72" i="20"/>
  <c r="G78" i="19"/>
  <c r="G79" i="19"/>
  <c r="H108" i="20"/>
  <c r="H108" i="21"/>
  <c r="H108" i="22"/>
  <c r="H108" i="23"/>
  <c r="I108" i="19"/>
  <c r="H109" i="19"/>
  <c r="I100" i="19"/>
  <c r="H114" i="19"/>
  <c r="H47" i="15"/>
  <c r="I47" i="15"/>
  <c r="I46" i="15"/>
  <c r="H79" i="18"/>
  <c r="I77" i="18"/>
  <c r="H74" i="20"/>
  <c r="H74" i="21"/>
  <c r="H76" i="19"/>
  <c r="I76" i="19"/>
  <c r="I74" i="19"/>
  <c r="I27" i="18"/>
  <c r="H28" i="18"/>
  <c r="G55" i="19"/>
  <c r="I55" i="19"/>
  <c r="H34" i="19"/>
  <c r="H42" i="20"/>
  <c r="H42" i="21"/>
  <c r="I42" i="19"/>
  <c r="H59" i="20"/>
  <c r="I99" i="20"/>
  <c r="H32" i="20"/>
  <c r="H100" i="20"/>
  <c r="I100" i="20"/>
  <c r="I45" i="16"/>
  <c r="H46" i="16"/>
  <c r="G68" i="20"/>
  <c r="H78" i="19"/>
  <c r="I72" i="19"/>
  <c r="H72" i="20"/>
  <c r="H72" i="21"/>
  <c r="I62" i="20"/>
  <c r="I114" i="18"/>
  <c r="H126" i="18"/>
  <c r="I126" i="18"/>
  <c r="H71" i="20"/>
  <c r="H71" i="21"/>
  <c r="H71" i="22"/>
  <c r="H73" i="19"/>
  <c r="I71" i="19"/>
  <c r="H77" i="19"/>
  <c r="G101" i="20"/>
  <c r="G103" i="19"/>
  <c r="I101" i="19"/>
  <c r="H25" i="20"/>
  <c r="H25" i="21"/>
  <c r="I25" i="19"/>
  <c r="H27" i="19"/>
  <c r="I53" i="20"/>
  <c r="I37" i="19"/>
  <c r="I110" i="20"/>
  <c r="G107" i="20"/>
  <c r="G107" i="21"/>
  <c r="G109" i="19"/>
  <c r="I107" i="19"/>
  <c r="H102" i="20"/>
  <c r="I102" i="19"/>
  <c r="H103" i="19"/>
  <c r="G90" i="21"/>
  <c r="F90" i="22"/>
  <c r="F90" i="23"/>
  <c r="G90" i="22"/>
  <c r="G114" i="21"/>
  <c r="G99" i="22"/>
  <c r="G99" i="23"/>
  <c r="I31" i="21"/>
  <c r="H31" i="22"/>
  <c r="H31" i="23"/>
  <c r="H75" i="21"/>
  <c r="I75" i="20"/>
  <c r="I43" i="21"/>
  <c r="H43" i="22"/>
  <c r="H43" i="23"/>
  <c r="I43" i="22"/>
  <c r="G106" i="22"/>
  <c r="I105" i="22"/>
  <c r="I33" i="21"/>
  <c r="H33" i="22"/>
  <c r="H33" i="23"/>
  <c r="I33" i="22"/>
  <c r="G27" i="21"/>
  <c r="G25" i="22"/>
  <c r="G25" i="23"/>
  <c r="G37" i="21"/>
  <c r="G41" i="21"/>
  <c r="G35" i="22"/>
  <c r="G35" i="23"/>
  <c r="G76" i="21"/>
  <c r="G74" i="22"/>
  <c r="G74" i="23"/>
  <c r="I44" i="21"/>
  <c r="H44" i="22"/>
  <c r="H44" i="23"/>
  <c r="I44" i="22"/>
  <c r="G112" i="21"/>
  <c r="G110" i="22"/>
  <c r="G110" i="23"/>
  <c r="G112" i="22"/>
  <c r="I108" i="22"/>
  <c r="I65" i="19"/>
  <c r="H65" i="20"/>
  <c r="H68" i="19"/>
  <c r="I68" i="19"/>
  <c r="H110" i="21"/>
  <c r="H110" i="22"/>
  <c r="H112" i="20"/>
  <c r="I112" i="20"/>
  <c r="G24" i="21"/>
  <c r="I23" i="21"/>
  <c r="H114" i="20"/>
  <c r="H102" i="21"/>
  <c r="H102" i="22"/>
  <c r="H102" i="23"/>
  <c r="I42" i="20"/>
  <c r="I108" i="21"/>
  <c r="H109" i="21"/>
  <c r="G69" i="20"/>
  <c r="G70" i="20"/>
  <c r="G63" i="21"/>
  <c r="G63" i="22"/>
  <c r="G63" i="23"/>
  <c r="H123" i="21"/>
  <c r="G106" i="21"/>
  <c r="H98" i="21"/>
  <c r="H98" i="22"/>
  <c r="H98" i="23"/>
  <c r="G55" i="20"/>
  <c r="I55" i="20"/>
  <c r="G54" i="21"/>
  <c r="G54" i="22"/>
  <c r="G54" i="23"/>
  <c r="G77" i="21"/>
  <c r="I111" i="20"/>
  <c r="H111" i="21"/>
  <c r="I103" i="19"/>
  <c r="G113" i="20"/>
  <c r="G115" i="20"/>
  <c r="G101" i="21"/>
  <c r="G101" i="22"/>
  <c r="I71" i="21"/>
  <c r="G78" i="20"/>
  <c r="G79" i="20"/>
  <c r="G72" i="21"/>
  <c r="G72" i="22"/>
  <c r="H32" i="21"/>
  <c r="I114" i="20"/>
  <c r="G109" i="20"/>
  <c r="H27" i="20"/>
  <c r="I25" i="20"/>
  <c r="I71" i="20"/>
  <c r="H77" i="20"/>
  <c r="I78" i="19"/>
  <c r="G64" i="20"/>
  <c r="I109" i="19"/>
  <c r="I54" i="20"/>
  <c r="H34" i="20"/>
  <c r="H126" i="19"/>
  <c r="I114" i="19"/>
  <c r="I66" i="19"/>
  <c r="H66" i="20"/>
  <c r="H67" i="19"/>
  <c r="I67" i="19"/>
  <c r="G103" i="20"/>
  <c r="I101" i="20"/>
  <c r="I46" i="16"/>
  <c r="H47" i="16"/>
  <c r="I47" i="16"/>
  <c r="I102" i="20"/>
  <c r="H103" i="20"/>
  <c r="I77" i="19"/>
  <c r="H79" i="19"/>
  <c r="I79" i="19"/>
  <c r="I27" i="19"/>
  <c r="H28" i="19"/>
  <c r="H78" i="20"/>
  <c r="I72" i="20"/>
  <c r="I28" i="18"/>
  <c r="H76" i="20"/>
  <c r="I76" i="20"/>
  <c r="I74" i="20"/>
  <c r="I108" i="20"/>
  <c r="H109" i="20"/>
  <c r="H46" i="17"/>
  <c r="I46" i="17"/>
  <c r="I45" i="17"/>
  <c r="I37" i="20"/>
  <c r="G73" i="20"/>
  <c r="I117" i="20"/>
  <c r="H123" i="20"/>
  <c r="H118" i="20"/>
  <c r="I118" i="20"/>
  <c r="I31" i="22"/>
  <c r="H32" i="22"/>
  <c r="G114" i="22"/>
  <c r="I111" i="21"/>
  <c r="H111" i="22"/>
  <c r="H111" i="23"/>
  <c r="G55" i="22"/>
  <c r="G69" i="22"/>
  <c r="G76" i="22"/>
  <c r="G77" i="22"/>
  <c r="I102" i="22"/>
  <c r="H103" i="22"/>
  <c r="G37" i="22"/>
  <c r="I75" i="21"/>
  <c r="H75" i="22"/>
  <c r="G28" i="21"/>
  <c r="I24" i="21"/>
  <c r="H65" i="21"/>
  <c r="H65" i="22"/>
  <c r="I65" i="20"/>
  <c r="H68" i="20"/>
  <c r="I68" i="20"/>
  <c r="G103" i="21"/>
  <c r="I101" i="21"/>
  <c r="G55" i="21"/>
  <c r="I102" i="21"/>
  <c r="H103" i="21"/>
  <c r="H114" i="21"/>
  <c r="G69" i="21"/>
  <c r="H34" i="21"/>
  <c r="I110" i="21"/>
  <c r="H112" i="21"/>
  <c r="I112" i="21"/>
  <c r="I78" i="20"/>
  <c r="G78" i="21"/>
  <c r="G79" i="21"/>
  <c r="G73" i="21"/>
  <c r="I109" i="20"/>
  <c r="H47" i="17"/>
  <c r="I47" i="17"/>
  <c r="I28" i="19"/>
  <c r="I103" i="20"/>
  <c r="I27" i="20"/>
  <c r="H28" i="20"/>
  <c r="I28" i="20"/>
  <c r="I66" i="20"/>
  <c r="H67" i="20"/>
  <c r="I67" i="20"/>
  <c r="I77" i="20"/>
  <c r="H79" i="20"/>
  <c r="I79" i="20"/>
  <c r="H126" i="20"/>
  <c r="I75" i="22"/>
  <c r="I65" i="22"/>
  <c r="H68" i="22"/>
  <c r="H34" i="22"/>
  <c r="I114" i="21"/>
  <c r="H126" i="21"/>
  <c r="I103" i="21"/>
  <c r="I65" i="21"/>
  <c r="H68" i="21"/>
  <c r="I46" i="28"/>
  <c r="H47" i="28"/>
  <c r="I47" i="28"/>
  <c r="G126" i="27"/>
  <c r="I112" i="27"/>
  <c r="I109" i="27"/>
  <c r="G79" i="27"/>
  <c r="I41" i="27"/>
  <c r="F126" i="27"/>
  <c r="F124" i="27"/>
  <c r="I114" i="27"/>
  <c r="F61" i="27"/>
  <c r="I55" i="27"/>
  <c r="E67" i="27"/>
  <c r="F67" i="27"/>
  <c r="I66" i="27"/>
  <c r="H76" i="27"/>
  <c r="I76" i="27"/>
  <c r="I113" i="27"/>
  <c r="H125" i="27"/>
  <c r="H115" i="27"/>
  <c r="I68" i="27"/>
  <c r="H73" i="27"/>
  <c r="I73" i="27"/>
  <c r="I72" i="27"/>
  <c r="H78" i="27"/>
  <c r="I78" i="27"/>
  <c r="G125" i="27"/>
  <c r="G127" i="27"/>
  <c r="G115" i="27"/>
  <c r="I77" i="27"/>
  <c r="E45" i="27"/>
  <c r="F28" i="27"/>
  <c r="I59" i="27"/>
  <c r="H61" i="27"/>
  <c r="I61" i="27"/>
  <c r="H34" i="27"/>
  <c r="I34" i="27"/>
  <c r="I32" i="27"/>
  <c r="I123" i="27"/>
  <c r="H126" i="27"/>
  <c r="H124" i="27"/>
  <c r="I124" i="27"/>
  <c r="G70" i="27"/>
  <c r="E127" i="27"/>
  <c r="F127" i="27"/>
  <c r="E79" i="27"/>
  <c r="F79" i="27"/>
  <c r="E69" i="27"/>
  <c r="E64" i="27"/>
  <c r="F64" i="27"/>
  <c r="F63" i="27"/>
  <c r="H28" i="27"/>
  <c r="G72" i="23"/>
  <c r="G78" i="22"/>
  <c r="G79" i="22"/>
  <c r="G73" i="22"/>
  <c r="G101" i="23"/>
  <c r="G103" i="22"/>
  <c r="I103" i="22"/>
  <c r="I101" i="22"/>
  <c r="I107" i="21"/>
  <c r="G107" i="22"/>
  <c r="G109" i="21"/>
  <c r="I109" i="21"/>
  <c r="H42" i="22"/>
  <c r="I42" i="22"/>
  <c r="I42" i="21"/>
  <c r="G115" i="19"/>
  <c r="I62" i="21"/>
  <c r="G62" i="22"/>
  <c r="G68" i="21"/>
  <c r="G64" i="21"/>
  <c r="H71" i="23"/>
  <c r="H77" i="22"/>
  <c r="I71" i="22"/>
  <c r="H74" i="22"/>
  <c r="H76" i="21"/>
  <c r="I76" i="21"/>
  <c r="H77" i="21"/>
  <c r="I74" i="21"/>
  <c r="G23" i="23"/>
  <c r="I23" i="22"/>
  <c r="G24" i="22"/>
  <c r="G117" i="22"/>
  <c r="G118" i="21"/>
  <c r="I117" i="21"/>
  <c r="H118" i="21"/>
  <c r="I116" i="21"/>
  <c r="H116" i="22"/>
  <c r="H110" i="23"/>
  <c r="H112" i="22"/>
  <c r="I112" i="22"/>
  <c r="I110" i="22"/>
  <c r="H25" i="22"/>
  <c r="H27" i="21"/>
  <c r="I25" i="21"/>
  <c r="I72" i="21"/>
  <c r="H72" i="22"/>
  <c r="H78" i="21"/>
  <c r="I78" i="21"/>
  <c r="G98" i="22"/>
  <c r="G100" i="21"/>
  <c r="G113" i="21"/>
  <c r="I98" i="21"/>
  <c r="I62" i="22"/>
  <c r="H56" i="22"/>
  <c r="H59" i="21"/>
  <c r="H99" i="22"/>
  <c r="I99" i="21"/>
  <c r="H100" i="21"/>
  <c r="I100" i="21"/>
  <c r="H35" i="22"/>
  <c r="H37" i="21"/>
  <c r="I35" i="21"/>
  <c r="G110" i="24"/>
  <c r="G112" i="23"/>
  <c r="G27" i="22"/>
  <c r="H33" i="24"/>
  <c r="I33" i="23"/>
  <c r="H43" i="24"/>
  <c r="I43" i="23"/>
  <c r="H123" i="22"/>
  <c r="F90" i="24"/>
  <c r="G90" i="23"/>
  <c r="G40" i="22"/>
  <c r="G41" i="22"/>
  <c r="G67" i="23"/>
  <c r="G65" i="24"/>
  <c r="H54" i="21"/>
  <c r="H24" i="22"/>
  <c r="I64" i="16"/>
  <c r="I57" i="17"/>
  <c r="H58" i="17"/>
  <c r="H60" i="17"/>
  <c r="H57" i="18"/>
  <c r="I120" i="18"/>
  <c r="G120" i="19"/>
  <c r="H104" i="18"/>
  <c r="H106" i="17"/>
  <c r="I106" i="17"/>
  <c r="I104" i="17"/>
  <c r="H113" i="17"/>
  <c r="I111" i="22"/>
  <c r="H73" i="20"/>
  <c r="I73" i="20"/>
  <c r="I107" i="20"/>
  <c r="H73" i="21"/>
  <c r="I73" i="21"/>
  <c r="H109" i="22"/>
  <c r="G76" i="23"/>
  <c r="G74" i="24"/>
  <c r="G27" i="23"/>
  <c r="G25" i="24"/>
  <c r="H31" i="24"/>
  <c r="I31" i="23"/>
  <c r="G99" i="24"/>
  <c r="G114" i="23"/>
  <c r="G38" i="24"/>
  <c r="G40" i="23"/>
  <c r="H105" i="24"/>
  <c r="I105" i="23"/>
  <c r="H70" i="17"/>
  <c r="I70" i="17"/>
  <c r="H107" i="24"/>
  <c r="H109" i="23"/>
  <c r="H101" i="24"/>
  <c r="H103" i="23"/>
  <c r="I101" i="23"/>
  <c r="G121" i="17"/>
  <c r="G119" i="18"/>
  <c r="G122" i="17"/>
  <c r="C155" i="16"/>
  <c r="H155" i="16"/>
  <c r="B155" i="17"/>
  <c r="H155" i="17"/>
  <c r="B155" i="18"/>
  <c r="H155" i="18"/>
  <c r="B155" i="19"/>
  <c r="H155" i="19"/>
  <c r="B155" i="20"/>
  <c r="H155" i="20"/>
  <c r="B155" i="21"/>
  <c r="E46" i="16"/>
  <c r="H121" i="17"/>
  <c r="H122" i="17"/>
  <c r="I119" i="17"/>
  <c r="H119" i="18"/>
  <c r="H111" i="24"/>
  <c r="I111" i="23"/>
  <c r="G63" i="24"/>
  <c r="G69" i="23"/>
  <c r="H102" i="24"/>
  <c r="I102" i="23"/>
  <c r="H108" i="24"/>
  <c r="I108" i="23"/>
  <c r="H117" i="24"/>
  <c r="H123" i="23"/>
  <c r="G104" i="24"/>
  <c r="G106" i="23"/>
  <c r="G53" i="24"/>
  <c r="G55" i="23"/>
  <c r="H30" i="24"/>
  <c r="H32" i="23"/>
  <c r="G71" i="24"/>
  <c r="G77" i="23"/>
  <c r="G73" i="23"/>
  <c r="F89" i="23"/>
  <c r="G89" i="22"/>
  <c r="H23" i="24"/>
  <c r="H24" i="23"/>
  <c r="I23" i="23"/>
  <c r="G54" i="24"/>
  <c r="H98" i="24"/>
  <c r="I44" i="23"/>
  <c r="H44" i="24"/>
  <c r="G35" i="24"/>
  <c r="G37" i="23"/>
  <c r="F91" i="24"/>
  <c r="G91" i="23"/>
  <c r="H120" i="24"/>
  <c r="I68" i="16"/>
  <c r="H70" i="16"/>
  <c r="I70" i="16"/>
  <c r="E47" i="15"/>
  <c r="F47" i="15"/>
  <c r="F46" i="15"/>
  <c r="G56" i="18"/>
  <c r="G58" i="17"/>
  <c r="G59" i="17"/>
  <c r="I56" i="17"/>
  <c r="G57" i="18"/>
  <c r="G60" i="17"/>
  <c r="H127" i="15"/>
  <c r="I127" i="15"/>
  <c r="G30" i="18"/>
  <c r="H38" i="18"/>
  <c r="H124" i="15"/>
  <c r="I124" i="15"/>
  <c r="E127" i="20"/>
  <c r="F127" i="20"/>
  <c r="F125" i="20"/>
  <c r="F41" i="21"/>
  <c r="D45" i="22"/>
  <c r="D46" i="22"/>
  <c r="D47" i="22"/>
  <c r="F41" i="22"/>
  <c r="I122" i="15"/>
  <c r="D45" i="18"/>
  <c r="F125" i="21"/>
  <c r="E127" i="21"/>
  <c r="F127" i="21"/>
  <c r="H53" i="24"/>
  <c r="I53" i="23"/>
  <c r="G116" i="24"/>
  <c r="F32" i="21"/>
  <c r="E34" i="21"/>
  <c r="F34" i="21"/>
  <c r="F125" i="22"/>
  <c r="E127" i="22"/>
  <c r="F127" i="22"/>
  <c r="F62" i="18"/>
  <c r="E63" i="18"/>
  <c r="E45" i="22"/>
  <c r="F30" i="21"/>
  <c r="E69" i="22"/>
  <c r="E115" i="22"/>
  <c r="F113" i="22"/>
  <c r="F37" i="22"/>
  <c r="F63" i="23"/>
  <c r="H65" i="23"/>
  <c r="H75" i="23"/>
  <c r="F125" i="24"/>
  <c r="F40" i="18"/>
  <c r="F24" i="18"/>
  <c r="F62" i="20"/>
  <c r="F113" i="20"/>
  <c r="E28" i="21"/>
  <c r="F113" i="21"/>
  <c r="F37" i="21"/>
  <c r="E66" i="21"/>
  <c r="D115" i="22"/>
  <c r="E45" i="23"/>
  <c r="F28" i="23"/>
  <c r="F122" i="15"/>
  <c r="H42" i="23"/>
  <c r="I42" i="23"/>
  <c r="E127" i="23"/>
  <c r="F127" i="23"/>
  <c r="E64" i="23"/>
  <c r="F64" i="23"/>
  <c r="E124" i="23"/>
  <c r="F124" i="23"/>
  <c r="E78" i="23"/>
  <c r="F65" i="23"/>
  <c r="H62" i="23"/>
  <c r="H72" i="23"/>
  <c r="D79" i="24"/>
  <c r="F79" i="24"/>
  <c r="E28" i="24"/>
  <c r="F32" i="24"/>
  <c r="E126" i="24"/>
  <c r="F126" i="24"/>
  <c r="E115" i="23"/>
  <c r="F115" i="23"/>
  <c r="E73" i="23"/>
  <c r="F73" i="23"/>
  <c r="F113" i="23"/>
  <c r="F75" i="23"/>
  <c r="F42" i="23"/>
  <c r="E66" i="23"/>
  <c r="E115" i="24"/>
  <c r="F115" i="24"/>
  <c r="F37" i="24"/>
  <c r="D45" i="24"/>
  <c r="D46" i="24"/>
  <c r="D47" i="24"/>
  <c r="D61" i="24"/>
  <c r="E68" i="24"/>
  <c r="H62" i="24"/>
  <c r="H65" i="24"/>
  <c r="E124" i="24"/>
  <c r="F124" i="24"/>
  <c r="D45" i="25"/>
  <c r="H42" i="24"/>
  <c r="I42" i="24"/>
  <c r="F61" i="24"/>
  <c r="F123" i="24"/>
  <c r="E46" i="25"/>
  <c r="F60" i="25"/>
  <c r="F32" i="25"/>
  <c r="F69" i="25"/>
  <c r="F70" i="25"/>
  <c r="H65" i="25"/>
  <c r="F127" i="25"/>
  <c r="D41" i="26"/>
  <c r="F41" i="26"/>
  <c r="D28" i="26"/>
  <c r="F58" i="26"/>
  <c r="F62" i="26"/>
  <c r="E68" i="26"/>
  <c r="E64" i="26"/>
  <c r="F64" i="26"/>
  <c r="F76" i="26"/>
  <c r="D79" i="26"/>
  <c r="F77" i="26"/>
  <c r="F106" i="26"/>
  <c r="E115" i="26"/>
  <c r="F115" i="26"/>
  <c r="F114" i="26"/>
  <c r="E126" i="26"/>
  <c r="E46" i="26"/>
  <c r="F114" i="25"/>
  <c r="F126" i="25"/>
  <c r="D61" i="26"/>
  <c r="F61" i="26"/>
  <c r="F59" i="26"/>
  <c r="E67" i="26"/>
  <c r="F67" i="26"/>
  <c r="F66" i="26"/>
  <c r="F112" i="26"/>
  <c r="F118" i="26"/>
  <c r="F68" i="25"/>
  <c r="D125" i="26"/>
  <c r="D115" i="26"/>
  <c r="F113" i="26"/>
  <c r="E127" i="26"/>
  <c r="F125" i="26"/>
  <c r="D126" i="26"/>
  <c r="F123" i="26"/>
  <c r="E78" i="26"/>
  <c r="I126" i="27"/>
  <c r="I115" i="27"/>
  <c r="H67" i="27"/>
  <c r="I67" i="27"/>
  <c r="H79" i="27"/>
  <c r="I79" i="27"/>
  <c r="F69" i="27"/>
  <c r="E70" i="27"/>
  <c r="F70" i="27"/>
  <c r="I125" i="27"/>
  <c r="H127" i="27"/>
  <c r="I127" i="27"/>
  <c r="H45" i="27"/>
  <c r="I28" i="27"/>
  <c r="I63" i="27"/>
  <c r="H69" i="27"/>
  <c r="H64" i="27"/>
  <c r="I64" i="27"/>
  <c r="C155" i="27"/>
  <c r="H155" i="27"/>
  <c r="F45" i="27"/>
  <c r="E46" i="27"/>
  <c r="E47" i="26"/>
  <c r="H42" i="25"/>
  <c r="E47" i="25"/>
  <c r="F46" i="25"/>
  <c r="F45" i="25"/>
  <c r="D46" i="25"/>
  <c r="D47" i="25"/>
  <c r="E70" i="24"/>
  <c r="F70" i="24"/>
  <c r="F68" i="24"/>
  <c r="H68" i="23"/>
  <c r="E67" i="21"/>
  <c r="F67" i="21"/>
  <c r="F66" i="21"/>
  <c r="H66" i="21"/>
  <c r="I65" i="23"/>
  <c r="F45" i="22"/>
  <c r="C155" i="22"/>
  <c r="E46" i="22"/>
  <c r="E69" i="21"/>
  <c r="H120" i="25"/>
  <c r="G35" i="25"/>
  <c r="G37" i="24"/>
  <c r="G54" i="25"/>
  <c r="H23" i="25"/>
  <c r="H24" i="24"/>
  <c r="H30" i="25"/>
  <c r="H32" i="24"/>
  <c r="H117" i="25"/>
  <c r="H123" i="24"/>
  <c r="H102" i="25"/>
  <c r="I102" i="24"/>
  <c r="H111" i="25"/>
  <c r="I111" i="24"/>
  <c r="I121" i="17"/>
  <c r="G119" i="19"/>
  <c r="G122" i="18"/>
  <c r="G121" i="18"/>
  <c r="H107" i="25"/>
  <c r="H109" i="24"/>
  <c r="G25" i="25"/>
  <c r="G27" i="24"/>
  <c r="H60" i="18"/>
  <c r="H57" i="19"/>
  <c r="I57" i="18"/>
  <c r="H58" i="18"/>
  <c r="H54" i="22"/>
  <c r="H55" i="21"/>
  <c r="I55" i="21"/>
  <c r="I54" i="21"/>
  <c r="H33" i="25"/>
  <c r="I33" i="24"/>
  <c r="I37" i="21"/>
  <c r="G115" i="21"/>
  <c r="H71" i="24"/>
  <c r="H73" i="23"/>
  <c r="I73" i="23"/>
  <c r="I71" i="23"/>
  <c r="G101" i="24"/>
  <c r="G103" i="23"/>
  <c r="I103" i="23"/>
  <c r="D127" i="26"/>
  <c r="F126" i="26"/>
  <c r="F66" i="23"/>
  <c r="E69" i="23"/>
  <c r="E45" i="24"/>
  <c r="F28" i="24"/>
  <c r="E67" i="23"/>
  <c r="F67" i="23"/>
  <c r="E127" i="24"/>
  <c r="F127" i="24"/>
  <c r="F115" i="22"/>
  <c r="F63" i="18"/>
  <c r="E64" i="18"/>
  <c r="F64" i="18"/>
  <c r="H63" i="18"/>
  <c r="E69" i="18"/>
  <c r="H40" i="18"/>
  <c r="I38" i="18"/>
  <c r="H38" i="19"/>
  <c r="I59" i="17"/>
  <c r="G61" i="17"/>
  <c r="H44" i="25"/>
  <c r="I44" i="24"/>
  <c r="G71" i="25"/>
  <c r="G77" i="24"/>
  <c r="G104" i="25"/>
  <c r="G106" i="24"/>
  <c r="H119" i="19"/>
  <c r="I119" i="18"/>
  <c r="H121" i="18"/>
  <c r="I121" i="18"/>
  <c r="H122" i="18"/>
  <c r="E47" i="16"/>
  <c r="F47" i="16"/>
  <c r="F46" i="16"/>
  <c r="H101" i="25"/>
  <c r="I101" i="24"/>
  <c r="H103" i="24"/>
  <c r="H105" i="25"/>
  <c r="I105" i="24"/>
  <c r="G99" i="25"/>
  <c r="G114" i="24"/>
  <c r="I104" i="18"/>
  <c r="H104" i="19"/>
  <c r="H106" i="18"/>
  <c r="I106" i="18"/>
  <c r="H113" i="18"/>
  <c r="H61" i="17"/>
  <c r="I61" i="17"/>
  <c r="I60" i="17"/>
  <c r="H35" i="23"/>
  <c r="H37" i="22"/>
  <c r="I35" i="22"/>
  <c r="H99" i="23"/>
  <c r="I99" i="22"/>
  <c r="H100" i="22"/>
  <c r="H114" i="22"/>
  <c r="H116" i="23"/>
  <c r="H118" i="22"/>
  <c r="I116" i="22"/>
  <c r="G28" i="22"/>
  <c r="I77" i="21"/>
  <c r="H79" i="21"/>
  <c r="I79" i="21"/>
  <c r="G107" i="23"/>
  <c r="G109" i="22"/>
  <c r="I109" i="22"/>
  <c r="I107" i="22"/>
  <c r="F127" i="26"/>
  <c r="E70" i="26"/>
  <c r="F70" i="26"/>
  <c r="F68" i="26"/>
  <c r="D45" i="26"/>
  <c r="F28" i="26"/>
  <c r="I65" i="24"/>
  <c r="E46" i="23"/>
  <c r="C155" i="23"/>
  <c r="F45" i="23"/>
  <c r="F69" i="22"/>
  <c r="E70" i="22"/>
  <c r="F70" i="22"/>
  <c r="D46" i="18"/>
  <c r="F45" i="18"/>
  <c r="I30" i="18"/>
  <c r="G32" i="18"/>
  <c r="G30" i="19"/>
  <c r="F91" i="25"/>
  <c r="G91" i="24"/>
  <c r="H98" i="25"/>
  <c r="F89" i="24"/>
  <c r="G89" i="23"/>
  <c r="H108" i="25"/>
  <c r="I108" i="24"/>
  <c r="G63" i="25"/>
  <c r="G69" i="24"/>
  <c r="G74" i="25"/>
  <c r="G76" i="24"/>
  <c r="I113" i="17"/>
  <c r="H125" i="17"/>
  <c r="H115" i="17"/>
  <c r="I115" i="17"/>
  <c r="G120" i="20"/>
  <c r="I120" i="19"/>
  <c r="G123" i="19"/>
  <c r="I58" i="17"/>
  <c r="G65" i="25"/>
  <c r="I65" i="25"/>
  <c r="G67" i="24"/>
  <c r="H43" i="25"/>
  <c r="I43" i="24"/>
  <c r="G98" i="23"/>
  <c r="G100" i="22"/>
  <c r="G113" i="22"/>
  <c r="I98" i="22"/>
  <c r="H28" i="21"/>
  <c r="I27" i="21"/>
  <c r="H110" i="24"/>
  <c r="I110" i="23"/>
  <c r="H112" i="23"/>
  <c r="I112" i="23"/>
  <c r="I77" i="22"/>
  <c r="G70" i="21"/>
  <c r="I68" i="21"/>
  <c r="F78" i="26"/>
  <c r="E79" i="26"/>
  <c r="F79" i="26"/>
  <c r="H65" i="26"/>
  <c r="H62" i="25"/>
  <c r="H68" i="24"/>
  <c r="H72" i="24"/>
  <c r="H78" i="23"/>
  <c r="I72" i="23"/>
  <c r="F78" i="23"/>
  <c r="E79" i="23"/>
  <c r="F79" i="23"/>
  <c r="E45" i="21"/>
  <c r="F28" i="21"/>
  <c r="I75" i="23"/>
  <c r="H75" i="24"/>
  <c r="G116" i="25"/>
  <c r="H53" i="25"/>
  <c r="I53" i="24"/>
  <c r="G57" i="19"/>
  <c r="G60" i="18"/>
  <c r="G59" i="18"/>
  <c r="I56" i="18"/>
  <c r="G56" i="19"/>
  <c r="G58" i="18"/>
  <c r="G41" i="23"/>
  <c r="H34" i="23"/>
  <c r="G53" i="25"/>
  <c r="G55" i="24"/>
  <c r="I122" i="17"/>
  <c r="H124" i="17"/>
  <c r="G125" i="17"/>
  <c r="G127" i="17"/>
  <c r="G124" i="17"/>
  <c r="G38" i="25"/>
  <c r="G40" i="24"/>
  <c r="H31" i="25"/>
  <c r="I31" i="24"/>
  <c r="I24" i="22"/>
  <c r="F90" i="25"/>
  <c r="G90" i="24"/>
  <c r="G110" i="25"/>
  <c r="G112" i="24"/>
  <c r="H56" i="23"/>
  <c r="H59" i="22"/>
  <c r="I72" i="22"/>
  <c r="H78" i="22"/>
  <c r="I78" i="22"/>
  <c r="H25" i="23"/>
  <c r="H27" i="22"/>
  <c r="I27" i="22"/>
  <c r="I25" i="22"/>
  <c r="I118" i="21"/>
  <c r="G117" i="23"/>
  <c r="G118" i="22"/>
  <c r="I117" i="22"/>
  <c r="G23" i="24"/>
  <c r="G24" i="23"/>
  <c r="G28" i="23"/>
  <c r="H74" i="23"/>
  <c r="I74" i="22"/>
  <c r="H76" i="22"/>
  <c r="I76" i="22"/>
  <c r="H73" i="22"/>
  <c r="I73" i="22"/>
  <c r="G62" i="23"/>
  <c r="G68" i="22"/>
  <c r="G64" i="22"/>
  <c r="G72" i="24"/>
  <c r="G73" i="24"/>
  <c r="G78" i="23"/>
  <c r="G79" i="23"/>
  <c r="I69" i="27"/>
  <c r="H70" i="27"/>
  <c r="I70" i="27"/>
  <c r="I45" i="27"/>
  <c r="H46" i="27"/>
  <c r="E47" i="27"/>
  <c r="F47" i="27"/>
  <c r="F46" i="27"/>
  <c r="G23" i="25"/>
  <c r="G24" i="24"/>
  <c r="G28" i="24"/>
  <c r="H25" i="24"/>
  <c r="H27" i="23"/>
  <c r="I25" i="23"/>
  <c r="G110" i="26"/>
  <c r="G112" i="26"/>
  <c r="G112" i="25"/>
  <c r="G38" i="26"/>
  <c r="G40" i="26"/>
  <c r="G40" i="25"/>
  <c r="G70" i="22"/>
  <c r="I68" i="22"/>
  <c r="I24" i="23"/>
  <c r="G56" i="20"/>
  <c r="I56" i="19"/>
  <c r="G58" i="19"/>
  <c r="G59" i="19"/>
  <c r="G57" i="20"/>
  <c r="G60" i="19"/>
  <c r="C155" i="21"/>
  <c r="H155" i="21"/>
  <c r="B155" i="22"/>
  <c r="F45" i="21"/>
  <c r="E46" i="21"/>
  <c r="I78" i="23"/>
  <c r="G63" i="26"/>
  <c r="G69" i="26"/>
  <c r="G69" i="25"/>
  <c r="G30" i="20"/>
  <c r="G32" i="19"/>
  <c r="I30" i="19"/>
  <c r="D47" i="18"/>
  <c r="F47" i="18"/>
  <c r="F46" i="18"/>
  <c r="H126" i="22"/>
  <c r="I114" i="22"/>
  <c r="H105" i="26"/>
  <c r="I105" i="26"/>
  <c r="I105" i="25"/>
  <c r="H44" i="26"/>
  <c r="I44" i="26"/>
  <c r="I44" i="25"/>
  <c r="G101" i="25"/>
  <c r="G103" i="24"/>
  <c r="H57" i="20"/>
  <c r="I57" i="19"/>
  <c r="H60" i="19"/>
  <c r="H58" i="19"/>
  <c r="I58" i="19"/>
  <c r="G25" i="26"/>
  <c r="G27" i="26"/>
  <c r="G27" i="25"/>
  <c r="H107" i="26"/>
  <c r="H109" i="25"/>
  <c r="G122" i="19"/>
  <c r="G121" i="19"/>
  <c r="G119" i="20"/>
  <c r="H117" i="26"/>
  <c r="H123" i="25"/>
  <c r="F46" i="22"/>
  <c r="E47" i="22"/>
  <c r="F47" i="22"/>
  <c r="F47" i="25"/>
  <c r="G72" i="25"/>
  <c r="G78" i="24"/>
  <c r="G64" i="23"/>
  <c r="G62" i="24"/>
  <c r="G68" i="23"/>
  <c r="G70" i="23"/>
  <c r="H74" i="24"/>
  <c r="I74" i="23"/>
  <c r="H76" i="23"/>
  <c r="I76" i="23"/>
  <c r="H56" i="24"/>
  <c r="H59" i="23"/>
  <c r="F90" i="26"/>
  <c r="G90" i="26"/>
  <c r="G90" i="25"/>
  <c r="H31" i="26"/>
  <c r="I31" i="26"/>
  <c r="I31" i="25"/>
  <c r="I124" i="17"/>
  <c r="G53" i="26"/>
  <c r="G55" i="25"/>
  <c r="I75" i="24"/>
  <c r="H75" i="25"/>
  <c r="I72" i="24"/>
  <c r="H78" i="24"/>
  <c r="I78" i="24"/>
  <c r="H72" i="25"/>
  <c r="H68" i="25"/>
  <c r="H62" i="26"/>
  <c r="I28" i="21"/>
  <c r="G98" i="24"/>
  <c r="G100" i="23"/>
  <c r="G113" i="23"/>
  <c r="I98" i="23"/>
  <c r="H43" i="26"/>
  <c r="I43" i="26"/>
  <c r="I43" i="25"/>
  <c r="G120" i="21"/>
  <c r="I120" i="20"/>
  <c r="G123" i="20"/>
  <c r="F89" i="25"/>
  <c r="G89" i="24"/>
  <c r="H98" i="26"/>
  <c r="G34" i="18"/>
  <c r="I32" i="18"/>
  <c r="D46" i="26"/>
  <c r="F45" i="26"/>
  <c r="G107" i="24"/>
  <c r="G109" i="23"/>
  <c r="I109" i="23"/>
  <c r="I107" i="23"/>
  <c r="I100" i="22"/>
  <c r="I37" i="22"/>
  <c r="H104" i="20"/>
  <c r="H106" i="19"/>
  <c r="I106" i="19"/>
  <c r="I104" i="19"/>
  <c r="H113" i="19"/>
  <c r="I103" i="24"/>
  <c r="H121" i="19"/>
  <c r="I121" i="19"/>
  <c r="H119" i="20"/>
  <c r="I119" i="19"/>
  <c r="H122" i="19"/>
  <c r="G79" i="24"/>
  <c r="H41" i="18"/>
  <c r="I40" i="18"/>
  <c r="I60" i="18"/>
  <c r="H61" i="18"/>
  <c r="H102" i="26"/>
  <c r="I102" i="26"/>
  <c r="I102" i="25"/>
  <c r="H34" i="24"/>
  <c r="I23" i="24"/>
  <c r="G54" i="26"/>
  <c r="H120" i="26"/>
  <c r="H155" i="22"/>
  <c r="B155" i="23"/>
  <c r="I66" i="21"/>
  <c r="H66" i="22"/>
  <c r="H67" i="21"/>
  <c r="I67" i="21"/>
  <c r="I62" i="23"/>
  <c r="I42" i="25"/>
  <c r="H42" i="26"/>
  <c r="I42" i="26"/>
  <c r="I59" i="18"/>
  <c r="G61" i="18"/>
  <c r="G116" i="26"/>
  <c r="G74" i="26"/>
  <c r="G76" i="26"/>
  <c r="G76" i="25"/>
  <c r="H108" i="26"/>
  <c r="I108" i="26"/>
  <c r="I108" i="25"/>
  <c r="H155" i="23"/>
  <c r="B155" i="24"/>
  <c r="I118" i="22"/>
  <c r="H35" i="24"/>
  <c r="H37" i="23"/>
  <c r="I35" i="23"/>
  <c r="G114" i="25"/>
  <c r="G99" i="26"/>
  <c r="G114" i="26"/>
  <c r="I122" i="18"/>
  <c r="H124" i="18"/>
  <c r="G73" i="25"/>
  <c r="G77" i="25"/>
  <c r="G71" i="26"/>
  <c r="F69" i="18"/>
  <c r="E70" i="18"/>
  <c r="F70" i="18"/>
  <c r="E46" i="24"/>
  <c r="F45" i="24"/>
  <c r="C155" i="24"/>
  <c r="H155" i="24"/>
  <c r="B155" i="25"/>
  <c r="H155" i="25"/>
  <c r="B155" i="26"/>
  <c r="H155" i="26"/>
  <c r="H71" i="25"/>
  <c r="H73" i="24"/>
  <c r="I73" i="24"/>
  <c r="I71" i="24"/>
  <c r="H77" i="24"/>
  <c r="H33" i="26"/>
  <c r="I33" i="26"/>
  <c r="I33" i="25"/>
  <c r="I58" i="18"/>
  <c r="I24" i="24"/>
  <c r="G41" i="24"/>
  <c r="I68" i="23"/>
  <c r="G117" i="24"/>
  <c r="I117" i="23"/>
  <c r="G118" i="23"/>
  <c r="H28" i="22"/>
  <c r="H53" i="26"/>
  <c r="I53" i="25"/>
  <c r="H79" i="22"/>
  <c r="I79" i="22"/>
  <c r="H110" i="25"/>
  <c r="H112" i="24"/>
  <c r="I112" i="24"/>
  <c r="I110" i="24"/>
  <c r="G115" i="22"/>
  <c r="G65" i="26"/>
  <c r="G67" i="26"/>
  <c r="G67" i="25"/>
  <c r="G126" i="19"/>
  <c r="I126" i="19"/>
  <c r="I123" i="19"/>
  <c r="I125" i="17"/>
  <c r="H127" i="17"/>
  <c r="I127" i="17"/>
  <c r="F91" i="26"/>
  <c r="G91" i="26"/>
  <c r="G91" i="25"/>
  <c r="E47" i="23"/>
  <c r="F47" i="23"/>
  <c r="F46" i="23"/>
  <c r="H116" i="24"/>
  <c r="I116" i="23"/>
  <c r="H118" i="23"/>
  <c r="I118" i="23"/>
  <c r="H99" i="24"/>
  <c r="I99" i="23"/>
  <c r="H114" i="23"/>
  <c r="H100" i="23"/>
  <c r="I100" i="23"/>
  <c r="H125" i="18"/>
  <c r="I113" i="18"/>
  <c r="H115" i="18"/>
  <c r="I115" i="18"/>
  <c r="H103" i="25"/>
  <c r="I101" i="25"/>
  <c r="G104" i="26"/>
  <c r="G106" i="26"/>
  <c r="G106" i="25"/>
  <c r="H40" i="19"/>
  <c r="H38" i="20"/>
  <c r="I38" i="19"/>
  <c r="H69" i="18"/>
  <c r="H63" i="19"/>
  <c r="I63" i="18"/>
  <c r="H64" i="18"/>
  <c r="I64" i="18"/>
  <c r="F69" i="23"/>
  <c r="E70" i="23"/>
  <c r="F70" i="23"/>
  <c r="H77" i="23"/>
  <c r="H54" i="23"/>
  <c r="H55" i="22"/>
  <c r="I55" i="22"/>
  <c r="I54" i="22"/>
  <c r="G124" i="18"/>
  <c r="G125" i="18"/>
  <c r="G127" i="18"/>
  <c r="H111" i="26"/>
  <c r="I111" i="26"/>
  <c r="I111" i="25"/>
  <c r="H30" i="26"/>
  <c r="H32" i="25"/>
  <c r="H23" i="26"/>
  <c r="I23" i="25"/>
  <c r="H24" i="25"/>
  <c r="G35" i="26"/>
  <c r="G37" i="26"/>
  <c r="G41" i="26"/>
  <c r="G37" i="25"/>
  <c r="G41" i="25"/>
  <c r="E70" i="21"/>
  <c r="F70" i="21"/>
  <c r="F69" i="21"/>
  <c r="H47" i="27"/>
  <c r="I47" i="27"/>
  <c r="I46" i="27"/>
  <c r="H79" i="23"/>
  <c r="I79" i="23"/>
  <c r="I77" i="23"/>
  <c r="I38" i="20"/>
  <c r="H38" i="21"/>
  <c r="H40" i="20"/>
  <c r="I28" i="22"/>
  <c r="E47" i="24"/>
  <c r="F47" i="24"/>
  <c r="F46" i="24"/>
  <c r="G79" i="25"/>
  <c r="H35" i="25"/>
  <c r="I35" i="24"/>
  <c r="H37" i="24"/>
  <c r="I122" i="19"/>
  <c r="H124" i="19"/>
  <c r="I124" i="19"/>
  <c r="D47" i="26"/>
  <c r="F47" i="26"/>
  <c r="F46" i="26"/>
  <c r="F89" i="26"/>
  <c r="G89" i="26"/>
  <c r="G89" i="25"/>
  <c r="H109" i="26"/>
  <c r="H61" i="19"/>
  <c r="I60" i="19"/>
  <c r="G101" i="26"/>
  <c r="G103" i="26"/>
  <c r="G103" i="25"/>
  <c r="H25" i="25"/>
  <c r="I25" i="24"/>
  <c r="H27" i="24"/>
  <c r="H34" i="25"/>
  <c r="H32" i="26"/>
  <c r="H54" i="24"/>
  <c r="I54" i="23"/>
  <c r="H55" i="23"/>
  <c r="I55" i="23"/>
  <c r="I63" i="19"/>
  <c r="H69" i="19"/>
  <c r="H64" i="19"/>
  <c r="I64" i="19"/>
  <c r="H63" i="20"/>
  <c r="I40" i="19"/>
  <c r="H41" i="19"/>
  <c r="I103" i="25"/>
  <c r="I125" i="18"/>
  <c r="H127" i="18"/>
  <c r="I127" i="18"/>
  <c r="H99" i="25"/>
  <c r="H114" i="24"/>
  <c r="I99" i="24"/>
  <c r="H100" i="24"/>
  <c r="H116" i="25"/>
  <c r="I116" i="24"/>
  <c r="H118" i="24"/>
  <c r="H110" i="26"/>
  <c r="H112" i="25"/>
  <c r="I112" i="25"/>
  <c r="I110" i="25"/>
  <c r="H71" i="26"/>
  <c r="H73" i="25"/>
  <c r="I73" i="25"/>
  <c r="I71" i="25"/>
  <c r="I61" i="18"/>
  <c r="H104" i="21"/>
  <c r="I104" i="20"/>
  <c r="H113" i="20"/>
  <c r="H106" i="20"/>
  <c r="I106" i="20"/>
  <c r="G120" i="22"/>
  <c r="I120" i="21"/>
  <c r="G123" i="21"/>
  <c r="G115" i="23"/>
  <c r="I75" i="25"/>
  <c r="H75" i="26"/>
  <c r="I75" i="26"/>
  <c r="G55" i="26"/>
  <c r="H74" i="25"/>
  <c r="I74" i="24"/>
  <c r="H76" i="24"/>
  <c r="I76" i="24"/>
  <c r="G124" i="19"/>
  <c r="G125" i="19"/>
  <c r="G127" i="19"/>
  <c r="G34" i="19"/>
  <c r="I32" i="19"/>
  <c r="H24" i="26"/>
  <c r="H103" i="26"/>
  <c r="I103" i="26"/>
  <c r="I101" i="26"/>
  <c r="I77" i="24"/>
  <c r="H79" i="24"/>
  <c r="I79" i="24"/>
  <c r="I124" i="18"/>
  <c r="I65" i="26"/>
  <c r="H67" i="22"/>
  <c r="I67" i="22"/>
  <c r="I66" i="22"/>
  <c r="H66" i="23"/>
  <c r="I41" i="18"/>
  <c r="H45" i="18"/>
  <c r="H119" i="21"/>
  <c r="I119" i="20"/>
  <c r="H121" i="20"/>
  <c r="H122" i="20"/>
  <c r="H125" i="19"/>
  <c r="H115" i="19"/>
  <c r="I115" i="19"/>
  <c r="I113" i="19"/>
  <c r="G45" i="18"/>
  <c r="G46" i="18"/>
  <c r="G47" i="18"/>
  <c r="I34" i="18"/>
  <c r="H68" i="26"/>
  <c r="H78" i="25"/>
  <c r="I72" i="25"/>
  <c r="H72" i="26"/>
  <c r="H56" i="25"/>
  <c r="H59" i="24"/>
  <c r="G72" i="26"/>
  <c r="G78" i="26"/>
  <c r="G78" i="25"/>
  <c r="H123" i="26"/>
  <c r="I57" i="20"/>
  <c r="H57" i="21"/>
  <c r="H60" i="20"/>
  <c r="H58" i="20"/>
  <c r="I58" i="20"/>
  <c r="I30" i="20"/>
  <c r="G32" i="20"/>
  <c r="G30" i="21"/>
  <c r="E47" i="21"/>
  <c r="F47" i="21"/>
  <c r="F46" i="21"/>
  <c r="G57" i="21"/>
  <c r="G60" i="20"/>
  <c r="G56" i="21"/>
  <c r="I56" i="20"/>
  <c r="G58" i="20"/>
  <c r="G59" i="20"/>
  <c r="G24" i="26"/>
  <c r="G28" i="26"/>
  <c r="G24" i="25"/>
  <c r="G28" i="25"/>
  <c r="I69" i="18"/>
  <c r="H70" i="18"/>
  <c r="I70" i="18"/>
  <c r="I114" i="23"/>
  <c r="H126" i="23"/>
  <c r="I53" i="26"/>
  <c r="G117" i="25"/>
  <c r="I117" i="24"/>
  <c r="G118" i="24"/>
  <c r="G77" i="26"/>
  <c r="G73" i="26"/>
  <c r="I37" i="23"/>
  <c r="G107" i="25"/>
  <c r="G109" i="24"/>
  <c r="I109" i="24"/>
  <c r="I107" i="24"/>
  <c r="I123" i="20"/>
  <c r="G126" i="20"/>
  <c r="I126" i="20"/>
  <c r="G98" i="25"/>
  <c r="G100" i="24"/>
  <c r="G113" i="24"/>
  <c r="I98" i="24"/>
  <c r="G62" i="25"/>
  <c r="G68" i="24"/>
  <c r="G64" i="24"/>
  <c r="I62" i="24"/>
  <c r="G121" i="20"/>
  <c r="G122" i="20"/>
  <c r="G119" i="21"/>
  <c r="I59" i="19"/>
  <c r="G61" i="19"/>
  <c r="I27" i="23"/>
  <c r="H28" i="23"/>
  <c r="G58" i="21"/>
  <c r="G59" i="21"/>
  <c r="G56" i="22"/>
  <c r="I56" i="21"/>
  <c r="G98" i="26"/>
  <c r="G113" i="25"/>
  <c r="G100" i="25"/>
  <c r="I98" i="25"/>
  <c r="G117" i="26"/>
  <c r="G118" i="25"/>
  <c r="I117" i="25"/>
  <c r="I59" i="20"/>
  <c r="G61" i="20"/>
  <c r="G119" i="22"/>
  <c r="G122" i="21"/>
  <c r="G121" i="21"/>
  <c r="G70" i="24"/>
  <c r="I68" i="24"/>
  <c r="G107" i="26"/>
  <c r="G109" i="25"/>
  <c r="I109" i="25"/>
  <c r="I107" i="25"/>
  <c r="G57" i="22"/>
  <c r="G60" i="21"/>
  <c r="H61" i="20"/>
  <c r="I60" i="20"/>
  <c r="I125" i="19"/>
  <c r="H127" i="19"/>
  <c r="I127" i="19"/>
  <c r="H119" i="22"/>
  <c r="H121" i="21"/>
  <c r="I121" i="21"/>
  <c r="I119" i="21"/>
  <c r="H122" i="21"/>
  <c r="I34" i="19"/>
  <c r="G45" i="19"/>
  <c r="G46" i="19"/>
  <c r="G47" i="19"/>
  <c r="H115" i="20"/>
  <c r="I115" i="20"/>
  <c r="I113" i="20"/>
  <c r="H125" i="20"/>
  <c r="I118" i="24"/>
  <c r="I100" i="24"/>
  <c r="H54" i="25"/>
  <c r="I54" i="24"/>
  <c r="H55" i="24"/>
  <c r="I55" i="24"/>
  <c r="H35" i="26"/>
  <c r="H37" i="25"/>
  <c r="I35" i="25"/>
  <c r="I24" i="25"/>
  <c r="H56" i="26"/>
  <c r="H59" i="25"/>
  <c r="G79" i="26"/>
  <c r="I28" i="23"/>
  <c r="G125" i="20"/>
  <c r="G127" i="20"/>
  <c r="G124" i="20"/>
  <c r="G62" i="26"/>
  <c r="G68" i="25"/>
  <c r="G64" i="25"/>
  <c r="I62" i="25"/>
  <c r="G115" i="24"/>
  <c r="G30" i="22"/>
  <c r="I30" i="21"/>
  <c r="G32" i="21"/>
  <c r="I57" i="21"/>
  <c r="H57" i="22"/>
  <c r="H58" i="21"/>
  <c r="H60" i="21"/>
  <c r="I78" i="25"/>
  <c r="I122" i="20"/>
  <c r="H124" i="20"/>
  <c r="H46" i="18"/>
  <c r="I45" i="18"/>
  <c r="I24" i="26"/>
  <c r="G120" i="23"/>
  <c r="I120" i="22"/>
  <c r="G123" i="22"/>
  <c r="I63" i="20"/>
  <c r="H63" i="21"/>
  <c r="H69" i="20"/>
  <c r="H64" i="20"/>
  <c r="I64" i="20"/>
  <c r="H25" i="26"/>
  <c r="H27" i="25"/>
  <c r="I25" i="25"/>
  <c r="I40" i="20"/>
  <c r="H41" i="20"/>
  <c r="G34" i="20"/>
  <c r="I32" i="20"/>
  <c r="I23" i="26"/>
  <c r="H74" i="26"/>
  <c r="H76" i="25"/>
  <c r="I76" i="25"/>
  <c r="I74" i="25"/>
  <c r="I104" i="21"/>
  <c r="H104" i="22"/>
  <c r="H106" i="21"/>
  <c r="I106" i="21"/>
  <c r="H113" i="21"/>
  <c r="H77" i="25"/>
  <c r="I114" i="24"/>
  <c r="H126" i="24"/>
  <c r="H34" i="26"/>
  <c r="I37" i="24"/>
  <c r="H38" i="22"/>
  <c r="I38" i="21"/>
  <c r="H40" i="21"/>
  <c r="I121" i="20"/>
  <c r="H78" i="26"/>
  <c r="I78" i="26"/>
  <c r="I72" i="26"/>
  <c r="I66" i="23"/>
  <c r="H66" i="24"/>
  <c r="H67" i="23"/>
  <c r="I67" i="23"/>
  <c r="I123" i="21"/>
  <c r="G126" i="21"/>
  <c r="I126" i="21"/>
  <c r="H73" i="26"/>
  <c r="I73" i="26"/>
  <c r="I71" i="26"/>
  <c r="H77" i="26"/>
  <c r="H112" i="26"/>
  <c r="I112" i="26"/>
  <c r="I110" i="26"/>
  <c r="H116" i="26"/>
  <c r="H118" i="25"/>
  <c r="I118" i="25"/>
  <c r="I116" i="25"/>
  <c r="H99" i="26"/>
  <c r="H114" i="25"/>
  <c r="I99" i="25"/>
  <c r="H100" i="25"/>
  <c r="I100" i="25"/>
  <c r="I41" i="19"/>
  <c r="H45" i="19"/>
  <c r="I69" i="19"/>
  <c r="H70" i="19"/>
  <c r="I70" i="19"/>
  <c r="I27" i="24"/>
  <c r="H28" i="24"/>
  <c r="I61" i="19"/>
  <c r="I28" i="24"/>
  <c r="I45" i="19"/>
  <c r="H46" i="19"/>
  <c r="H126" i="25"/>
  <c r="I114" i="25"/>
  <c r="I66" i="24"/>
  <c r="H66" i="25"/>
  <c r="H67" i="24"/>
  <c r="I67" i="24"/>
  <c r="I40" i="21"/>
  <c r="H41" i="21"/>
  <c r="H115" i="21"/>
  <c r="I115" i="21"/>
  <c r="H125" i="21"/>
  <c r="I113" i="21"/>
  <c r="I41" i="20"/>
  <c r="H45" i="20"/>
  <c r="H27" i="26"/>
  <c r="I25" i="26"/>
  <c r="H64" i="21"/>
  <c r="I64" i="21"/>
  <c r="I63" i="21"/>
  <c r="H69" i="21"/>
  <c r="H63" i="22"/>
  <c r="G126" i="22"/>
  <c r="I126" i="22"/>
  <c r="I123" i="22"/>
  <c r="H47" i="18"/>
  <c r="I47" i="18"/>
  <c r="I46" i="18"/>
  <c r="I60" i="21"/>
  <c r="H61" i="21"/>
  <c r="I32" i="21"/>
  <c r="G34" i="21"/>
  <c r="I37" i="25"/>
  <c r="H124" i="21"/>
  <c r="I122" i="21"/>
  <c r="G57" i="23"/>
  <c r="G60" i="22"/>
  <c r="G124" i="21"/>
  <c r="G125" i="21"/>
  <c r="G127" i="21"/>
  <c r="G115" i="25"/>
  <c r="H114" i="26"/>
  <c r="I99" i="26"/>
  <c r="H100" i="26"/>
  <c r="H118" i="26"/>
  <c r="I118" i="26"/>
  <c r="I116" i="26"/>
  <c r="I124" i="20"/>
  <c r="I58" i="21"/>
  <c r="G70" i="25"/>
  <c r="I68" i="25"/>
  <c r="H59" i="26"/>
  <c r="H37" i="26"/>
  <c r="I35" i="26"/>
  <c r="H54" i="26"/>
  <c r="I54" i="25"/>
  <c r="H55" i="25"/>
  <c r="I55" i="25"/>
  <c r="I61" i="20"/>
  <c r="G119" i="23"/>
  <c r="G122" i="22"/>
  <c r="G121" i="22"/>
  <c r="I117" i="26"/>
  <c r="G118" i="26"/>
  <c r="G113" i="26"/>
  <c r="G100" i="26"/>
  <c r="I98" i="26"/>
  <c r="G56" i="23"/>
  <c r="G58" i="22"/>
  <c r="G59" i="22"/>
  <c r="I56" i="22"/>
  <c r="I77" i="26"/>
  <c r="H79" i="26"/>
  <c r="I79" i="26"/>
  <c r="H38" i="23"/>
  <c r="I38" i="22"/>
  <c r="H40" i="22"/>
  <c r="H104" i="23"/>
  <c r="H106" i="22"/>
  <c r="I106" i="22"/>
  <c r="I104" i="22"/>
  <c r="H113" i="22"/>
  <c r="H76" i="26"/>
  <c r="I76" i="26"/>
  <c r="I74" i="26"/>
  <c r="G120" i="24"/>
  <c r="I120" i="23"/>
  <c r="G123" i="23"/>
  <c r="H57" i="23"/>
  <c r="I57" i="22"/>
  <c r="H58" i="22"/>
  <c r="I58" i="22"/>
  <c r="H60" i="22"/>
  <c r="G30" i="23"/>
  <c r="I30" i="22"/>
  <c r="G32" i="22"/>
  <c r="G64" i="26"/>
  <c r="G68" i="26"/>
  <c r="I62" i="26"/>
  <c r="G109" i="26"/>
  <c r="I109" i="26"/>
  <c r="I107" i="26"/>
  <c r="G61" i="21"/>
  <c r="I59" i="21"/>
  <c r="H79" i="25"/>
  <c r="I79" i="25"/>
  <c r="I77" i="25"/>
  <c r="G45" i="20"/>
  <c r="G46" i="20"/>
  <c r="G47" i="20"/>
  <c r="I34" i="20"/>
  <c r="I27" i="25"/>
  <c r="H28" i="25"/>
  <c r="I69" i="20"/>
  <c r="H70" i="20"/>
  <c r="I70" i="20"/>
  <c r="I125" i="20"/>
  <c r="H127" i="20"/>
  <c r="I127" i="20"/>
  <c r="H119" i="23"/>
  <c r="H121" i="22"/>
  <c r="I121" i="22"/>
  <c r="I119" i="22"/>
  <c r="H122" i="22"/>
  <c r="I28" i="25"/>
  <c r="I60" i="22"/>
  <c r="H61" i="22"/>
  <c r="I61" i="22"/>
  <c r="H115" i="22"/>
  <c r="I115" i="22"/>
  <c r="H125" i="22"/>
  <c r="I113" i="22"/>
  <c r="G115" i="26"/>
  <c r="I100" i="26"/>
  <c r="G57" i="24"/>
  <c r="G60" i="23"/>
  <c r="I61" i="21"/>
  <c r="I66" i="25"/>
  <c r="H66" i="26"/>
  <c r="H67" i="25"/>
  <c r="I67" i="25"/>
  <c r="I46" i="19"/>
  <c r="H47" i="19"/>
  <c r="I47" i="19"/>
  <c r="H119" i="24"/>
  <c r="H121" i="23"/>
  <c r="I119" i="23"/>
  <c r="H122" i="23"/>
  <c r="G34" i="22"/>
  <c r="I32" i="22"/>
  <c r="I123" i="23"/>
  <c r="G126" i="23"/>
  <c r="I126" i="23"/>
  <c r="I40" i="22"/>
  <c r="H41" i="22"/>
  <c r="G56" i="24"/>
  <c r="G58" i="23"/>
  <c r="G59" i="23"/>
  <c r="I56" i="23"/>
  <c r="G124" i="22"/>
  <c r="G125" i="22"/>
  <c r="G127" i="22"/>
  <c r="I54" i="26"/>
  <c r="H55" i="26"/>
  <c r="I55" i="26"/>
  <c r="I125" i="21"/>
  <c r="H127" i="21"/>
  <c r="I127" i="21"/>
  <c r="I41" i="21"/>
  <c r="H45" i="21"/>
  <c r="I122" i="22"/>
  <c r="H124" i="22"/>
  <c r="I124" i="22"/>
  <c r="G119" i="24"/>
  <c r="G121" i="23"/>
  <c r="G122" i="23"/>
  <c r="H126" i="26"/>
  <c r="I114" i="26"/>
  <c r="I124" i="21"/>
  <c r="I34" i="21"/>
  <c r="G45" i="21"/>
  <c r="G46" i="21"/>
  <c r="G47" i="21"/>
  <c r="H64" i="22"/>
  <c r="I64" i="22"/>
  <c r="I63" i="22"/>
  <c r="H69" i="22"/>
  <c r="H63" i="23"/>
  <c r="H46" i="20"/>
  <c r="I45" i="20"/>
  <c r="G70" i="26"/>
  <c r="I68" i="26"/>
  <c r="G30" i="24"/>
  <c r="G32" i="23"/>
  <c r="I30" i="23"/>
  <c r="H57" i="24"/>
  <c r="I57" i="23"/>
  <c r="H58" i="23"/>
  <c r="I58" i="23"/>
  <c r="H60" i="23"/>
  <c r="G120" i="25"/>
  <c r="I120" i="24"/>
  <c r="G123" i="24"/>
  <c r="I104" i="23"/>
  <c r="H104" i="24"/>
  <c r="H106" i="23"/>
  <c r="I106" i="23"/>
  <c r="H113" i="23"/>
  <c r="H38" i="24"/>
  <c r="I38" i="23"/>
  <c r="H40" i="23"/>
  <c r="G61" i="22"/>
  <c r="I59" i="22"/>
  <c r="I37" i="26"/>
  <c r="I69" i="21"/>
  <c r="H70" i="21"/>
  <c r="I70" i="21"/>
  <c r="I27" i="26"/>
  <c r="H28" i="26"/>
  <c r="I28" i="26"/>
  <c r="H104" i="25"/>
  <c r="H106" i="24"/>
  <c r="I106" i="24"/>
  <c r="I104" i="24"/>
  <c r="H113" i="24"/>
  <c r="G124" i="23"/>
  <c r="G125" i="23"/>
  <c r="G127" i="23"/>
  <c r="H38" i="25"/>
  <c r="H40" i="24"/>
  <c r="I38" i="24"/>
  <c r="G30" i="25"/>
  <c r="G32" i="24"/>
  <c r="I30" i="24"/>
  <c r="I46" i="20"/>
  <c r="H47" i="20"/>
  <c r="I47" i="20"/>
  <c r="G56" i="25"/>
  <c r="G58" i="24"/>
  <c r="G59" i="24"/>
  <c r="I56" i="24"/>
  <c r="I121" i="23"/>
  <c r="I60" i="23"/>
  <c r="H61" i="23"/>
  <c r="I113" i="23"/>
  <c r="H125" i="23"/>
  <c r="H115" i="23"/>
  <c r="I115" i="23"/>
  <c r="G120" i="26"/>
  <c r="I120" i="25"/>
  <c r="G123" i="25"/>
  <c r="H57" i="25"/>
  <c r="I57" i="24"/>
  <c r="H58" i="24"/>
  <c r="H60" i="24"/>
  <c r="H63" i="24"/>
  <c r="I63" i="23"/>
  <c r="H69" i="23"/>
  <c r="H64" i="23"/>
  <c r="I64" i="23"/>
  <c r="G119" i="25"/>
  <c r="G121" i="24"/>
  <c r="G122" i="24"/>
  <c r="H46" i="21"/>
  <c r="I45" i="21"/>
  <c r="I41" i="22"/>
  <c r="H45" i="22"/>
  <c r="H119" i="25"/>
  <c r="H121" i="24"/>
  <c r="I121" i="24"/>
  <c r="I119" i="24"/>
  <c r="H122" i="24"/>
  <c r="I66" i="26"/>
  <c r="H67" i="26"/>
  <c r="I67" i="26"/>
  <c r="H70" i="22"/>
  <c r="I70" i="22"/>
  <c r="I69" i="22"/>
  <c r="G61" i="23"/>
  <c r="I59" i="23"/>
  <c r="I34" i="22"/>
  <c r="G45" i="22"/>
  <c r="G46" i="22"/>
  <c r="G47" i="22"/>
  <c r="I122" i="23"/>
  <c r="H124" i="23"/>
  <c r="I124" i="23"/>
  <c r="I125" i="22"/>
  <c r="H127" i="22"/>
  <c r="I127" i="22"/>
  <c r="I40" i="23"/>
  <c r="H41" i="23"/>
  <c r="G126" i="24"/>
  <c r="I126" i="24"/>
  <c r="I123" i="24"/>
  <c r="G34" i="23"/>
  <c r="I32" i="23"/>
  <c r="G57" i="25"/>
  <c r="G60" i="24"/>
  <c r="H46" i="22"/>
  <c r="I45" i="22"/>
  <c r="G45" i="23"/>
  <c r="G46" i="23"/>
  <c r="G47" i="23"/>
  <c r="I34" i="23"/>
  <c r="H119" i="26"/>
  <c r="H121" i="25"/>
  <c r="I119" i="25"/>
  <c r="H122" i="25"/>
  <c r="H47" i="21"/>
  <c r="I47" i="21"/>
  <c r="I46" i="21"/>
  <c r="I60" i="24"/>
  <c r="H61" i="24"/>
  <c r="G126" i="25"/>
  <c r="I126" i="25"/>
  <c r="I123" i="25"/>
  <c r="I125" i="23"/>
  <c r="H127" i="23"/>
  <c r="I127" i="23"/>
  <c r="G56" i="26"/>
  <c r="G58" i="25"/>
  <c r="G59" i="25"/>
  <c r="I56" i="25"/>
  <c r="G30" i="26"/>
  <c r="G32" i="25"/>
  <c r="I30" i="25"/>
  <c r="I61" i="23"/>
  <c r="G57" i="26"/>
  <c r="G60" i="26"/>
  <c r="G60" i="25"/>
  <c r="I41" i="23"/>
  <c r="H45" i="23"/>
  <c r="I122" i="24"/>
  <c r="H124" i="24"/>
  <c r="G119" i="26"/>
  <c r="G121" i="25"/>
  <c r="G122" i="25"/>
  <c r="I63" i="24"/>
  <c r="H69" i="24"/>
  <c r="H63" i="25"/>
  <c r="H64" i="24"/>
  <c r="I64" i="24"/>
  <c r="I58" i="24"/>
  <c r="H104" i="26"/>
  <c r="H106" i="25"/>
  <c r="I106" i="25"/>
  <c r="I104" i="25"/>
  <c r="H113" i="25"/>
  <c r="G61" i="24"/>
  <c r="I59" i="24"/>
  <c r="I40" i="24"/>
  <c r="H41" i="24"/>
  <c r="H115" i="24"/>
  <c r="I115" i="24"/>
  <c r="I113" i="24"/>
  <c r="H125" i="24"/>
  <c r="I120" i="26"/>
  <c r="G123" i="26"/>
  <c r="G124" i="24"/>
  <c r="G125" i="24"/>
  <c r="G127" i="24"/>
  <c r="I69" i="23"/>
  <c r="H70" i="23"/>
  <c r="I70" i="23"/>
  <c r="H57" i="26"/>
  <c r="I57" i="25"/>
  <c r="H58" i="25"/>
  <c r="H60" i="25"/>
  <c r="G34" i="24"/>
  <c r="I32" i="24"/>
  <c r="H38" i="26"/>
  <c r="H40" i="25"/>
  <c r="I38" i="25"/>
  <c r="I40" i="25"/>
  <c r="H41" i="25"/>
  <c r="I125" i="24"/>
  <c r="H127" i="24"/>
  <c r="I127" i="24"/>
  <c r="H106" i="26"/>
  <c r="I106" i="26"/>
  <c r="I104" i="26"/>
  <c r="H113" i="26"/>
  <c r="I69" i="24"/>
  <c r="H70" i="24"/>
  <c r="I70" i="24"/>
  <c r="G121" i="26"/>
  <c r="G122" i="26"/>
  <c r="H46" i="23"/>
  <c r="I45" i="23"/>
  <c r="I121" i="25"/>
  <c r="I57" i="26"/>
  <c r="H58" i="26"/>
  <c r="H60" i="26"/>
  <c r="G124" i="25"/>
  <c r="G125" i="25"/>
  <c r="G127" i="25"/>
  <c r="G45" i="24"/>
  <c r="G46" i="24"/>
  <c r="G47" i="24"/>
  <c r="I34" i="24"/>
  <c r="I58" i="25"/>
  <c r="H40" i="26"/>
  <c r="I38" i="26"/>
  <c r="H125" i="25"/>
  <c r="H115" i="25"/>
  <c r="I115" i="25"/>
  <c r="I113" i="25"/>
  <c r="I124" i="24"/>
  <c r="G61" i="25"/>
  <c r="I59" i="25"/>
  <c r="H121" i="26"/>
  <c r="I121" i="26"/>
  <c r="I119" i="26"/>
  <c r="H122" i="26"/>
  <c r="G34" i="25"/>
  <c r="I32" i="25"/>
  <c r="I61" i="24"/>
  <c r="H124" i="25"/>
  <c r="I124" i="25"/>
  <c r="I122" i="25"/>
  <c r="I60" i="25"/>
  <c r="H61" i="25"/>
  <c r="I61" i="25"/>
  <c r="G126" i="26"/>
  <c r="I126" i="26"/>
  <c r="I123" i="26"/>
  <c r="I41" i="24"/>
  <c r="H45" i="24"/>
  <c r="H69" i="25"/>
  <c r="I63" i="25"/>
  <c r="H63" i="26"/>
  <c r="H64" i="25"/>
  <c r="I64" i="25"/>
  <c r="G32" i="26"/>
  <c r="I30" i="26"/>
  <c r="G58" i="26"/>
  <c r="G59" i="26"/>
  <c r="I56" i="26"/>
  <c r="I46" i="22"/>
  <c r="H47" i="22"/>
  <c r="I47" i="22"/>
  <c r="I45" i="24"/>
  <c r="H46" i="24"/>
  <c r="I40" i="26"/>
  <c r="H41" i="26"/>
  <c r="I60" i="26"/>
  <c r="H61" i="26"/>
  <c r="G34" i="26"/>
  <c r="I32" i="26"/>
  <c r="G61" i="26"/>
  <c r="I59" i="26"/>
  <c r="I69" i="25"/>
  <c r="H70" i="25"/>
  <c r="I70" i="25"/>
  <c r="H127" i="25"/>
  <c r="I127" i="25"/>
  <c r="I125" i="25"/>
  <c r="I58" i="26"/>
  <c r="I41" i="25"/>
  <c r="H45" i="25"/>
  <c r="H115" i="26"/>
  <c r="I115" i="26"/>
  <c r="I113" i="26"/>
  <c r="H125" i="26"/>
  <c r="G124" i="26"/>
  <c r="G125" i="26"/>
  <c r="G127" i="26"/>
  <c r="H69" i="26"/>
  <c r="I63" i="26"/>
  <c r="H64" i="26"/>
  <c r="I64" i="26"/>
  <c r="G45" i="25"/>
  <c r="G46" i="25"/>
  <c r="G47" i="25"/>
  <c r="I34" i="25"/>
  <c r="I122" i="26"/>
  <c r="H124" i="26"/>
  <c r="I124" i="26"/>
  <c r="I46" i="23"/>
  <c r="H47" i="23"/>
  <c r="I47" i="23"/>
  <c r="I61" i="26"/>
  <c r="I41" i="26"/>
  <c r="H45" i="26"/>
  <c r="I69" i="26"/>
  <c r="H70" i="26"/>
  <c r="I70" i="26"/>
  <c r="I125" i="26"/>
  <c r="H127" i="26"/>
  <c r="I127" i="26"/>
  <c r="H46" i="25"/>
  <c r="I45" i="25"/>
  <c r="G45" i="26"/>
  <c r="G46" i="26"/>
  <c r="G47" i="26"/>
  <c r="I34" i="26"/>
  <c r="H47" i="24"/>
  <c r="I47" i="24"/>
  <c r="I46" i="24"/>
  <c r="H46" i="26"/>
  <c r="I45" i="26"/>
  <c r="H47" i="25"/>
  <c r="I47" i="25"/>
  <c r="I46" i="25"/>
  <c r="H47" i="26"/>
  <c r="I47" i="26"/>
  <c r="I46" i="26"/>
  <c r="H25" i="45" l="1"/>
  <c r="I25" i="45" s="1"/>
  <c r="H23" i="46"/>
  <c r="I23" i="45"/>
  <c r="G99" i="47"/>
  <c r="G105" i="46"/>
  <c r="I108" i="44"/>
  <c r="H110" i="44"/>
  <c r="H65" i="46"/>
  <c r="I63" i="46"/>
  <c r="H63" i="47"/>
  <c r="G33" i="46"/>
  <c r="G35" i="45"/>
  <c r="G39" i="45" s="1"/>
  <c r="G60" i="47"/>
  <c r="G62" i="46"/>
  <c r="G66" i="46"/>
  <c r="G68" i="46" s="1"/>
  <c r="H69" i="47"/>
  <c r="I69" i="46"/>
  <c r="H75" i="46"/>
  <c r="H71" i="46"/>
  <c r="I71" i="46" s="1"/>
  <c r="G43" i="45"/>
  <c r="G44" i="45" s="1"/>
  <c r="G45" i="45" s="1"/>
  <c r="H92" i="47"/>
  <c r="I90" i="47"/>
  <c r="G28" i="47"/>
  <c r="G30" i="47" s="1"/>
  <c r="G32" i="47" s="1"/>
  <c r="G30" i="46"/>
  <c r="G32" i="46" s="1"/>
  <c r="H107" i="45"/>
  <c r="I105" i="45"/>
  <c r="H88" i="47"/>
  <c r="I88" i="47" s="1"/>
  <c r="I88" i="46"/>
  <c r="I67" i="42"/>
  <c r="H68" i="42"/>
  <c r="I68" i="42" s="1"/>
  <c r="I26" i="44"/>
  <c r="G53" i="47"/>
  <c r="H104" i="47"/>
  <c r="I104" i="47" s="1"/>
  <c r="I102" i="47"/>
  <c r="H32" i="44"/>
  <c r="I32" i="44" s="1"/>
  <c r="I30" i="44"/>
  <c r="I89" i="45"/>
  <c r="H33" i="46"/>
  <c r="I33" i="45"/>
  <c r="H35" i="45"/>
  <c r="I65" i="45"/>
  <c r="G90" i="47"/>
  <c r="G92" i="47" s="1"/>
  <c r="G92" i="46"/>
  <c r="I85" i="47"/>
  <c r="G93" i="47"/>
  <c r="G95" i="47" s="1"/>
  <c r="G95" i="46"/>
  <c r="I60" i="46"/>
  <c r="H66" i="46"/>
  <c r="H60" i="47"/>
  <c r="I92" i="46"/>
  <c r="H45" i="41"/>
  <c r="I45" i="41" s="1"/>
  <c r="I44" i="41"/>
  <c r="H44" i="42"/>
  <c r="I43" i="42"/>
  <c r="H54" i="47"/>
  <c r="H56" i="46"/>
  <c r="I54" i="46"/>
  <c r="I106" i="45"/>
  <c r="H76" i="45"/>
  <c r="I76" i="45" s="1"/>
  <c r="I70" i="45"/>
  <c r="H70" i="46"/>
  <c r="I64" i="46"/>
  <c r="H64" i="47"/>
  <c r="I64" i="47" s="1"/>
  <c r="I90" i="46"/>
  <c r="H99" i="47"/>
  <c r="H105" i="46"/>
  <c r="H101" i="46"/>
  <c r="I99" i="46"/>
  <c r="G87" i="47"/>
  <c r="G89" i="47" s="1"/>
  <c r="G89" i="46"/>
  <c r="H59" i="45"/>
  <c r="I59" i="45" s="1"/>
  <c r="I57" i="45"/>
  <c r="I98" i="44"/>
  <c r="H52" i="47"/>
  <c r="I52" i="46"/>
  <c r="H58" i="46"/>
  <c r="I58" i="46" s="1"/>
  <c r="G23" i="47"/>
  <c r="G25" i="47" s="1"/>
  <c r="G26" i="47" s="1"/>
  <c r="G25" i="46"/>
  <c r="G100" i="46"/>
  <c r="G106" i="45"/>
  <c r="H39" i="44"/>
  <c r="I39" i="44" s="1"/>
  <c r="I35" i="44"/>
  <c r="H93" i="47"/>
  <c r="H95" i="46"/>
  <c r="I95" i="46" s="1"/>
  <c r="I93" i="46"/>
  <c r="I22" i="45"/>
  <c r="H26" i="45"/>
  <c r="H94" i="47"/>
  <c r="I94" i="47" s="1"/>
  <c r="I94" i="46"/>
  <c r="I107" i="44"/>
  <c r="G98" i="45"/>
  <c r="G108" i="45"/>
  <c r="I74" i="45"/>
  <c r="G72" i="47"/>
  <c r="G74" i="47" s="1"/>
  <c r="G74" i="46"/>
  <c r="G69" i="47"/>
  <c r="G75" i="46"/>
  <c r="G77" i="46" s="1"/>
  <c r="G71" i="46"/>
  <c r="H42" i="46"/>
  <c r="I42" i="45"/>
  <c r="H77" i="45"/>
  <c r="I77" i="45" s="1"/>
  <c r="I75" i="45"/>
  <c r="G85" i="47"/>
  <c r="G97" i="47" s="1"/>
  <c r="G97" i="46"/>
  <c r="G26" i="46"/>
  <c r="H98" i="45"/>
  <c r="I98" i="45" s="1"/>
  <c r="H108" i="45"/>
  <c r="I96" i="45"/>
  <c r="I40" i="45"/>
  <c r="H40" i="46"/>
  <c r="I66" i="45"/>
  <c r="H71" i="45"/>
  <c r="I71" i="45" s="1"/>
  <c r="G54" i="47"/>
  <c r="G56" i="47" s="1"/>
  <c r="G56" i="46"/>
  <c r="G107" i="45"/>
  <c r="I61" i="43"/>
  <c r="H67" i="43"/>
  <c r="H61" i="44"/>
  <c r="H62" i="43"/>
  <c r="I62" i="43" s="1"/>
  <c r="I51" i="46"/>
  <c r="H57" i="46"/>
  <c r="H53" i="46"/>
  <c r="I53" i="46" s="1"/>
  <c r="H51" i="47"/>
  <c r="G61" i="47"/>
  <c r="G67" i="47" s="1"/>
  <c r="G67" i="46"/>
  <c r="G109" i="45"/>
  <c r="H30" i="45"/>
  <c r="H28" i="46"/>
  <c r="I28" i="45"/>
  <c r="H87" i="47"/>
  <c r="H89" i="46"/>
  <c r="I89" i="46" s="1"/>
  <c r="I87" i="46"/>
  <c r="H100" i="47"/>
  <c r="H106" i="46"/>
  <c r="I100" i="46"/>
  <c r="H55" i="47"/>
  <c r="I55" i="47" s="1"/>
  <c r="I55" i="46"/>
  <c r="G63" i="47"/>
  <c r="G65" i="47" s="1"/>
  <c r="G65" i="46"/>
  <c r="I95" i="45"/>
  <c r="I21" i="46"/>
  <c r="H21" i="47"/>
  <c r="H22" i="46"/>
  <c r="H84" i="47"/>
  <c r="I84" i="46"/>
  <c r="H86" i="46"/>
  <c r="H96" i="46"/>
  <c r="H43" i="43"/>
  <c r="I26" i="43"/>
  <c r="H97" i="46"/>
  <c r="G109" i="44"/>
  <c r="I109" i="44" s="1"/>
  <c r="G84" i="47"/>
  <c r="G96" i="46"/>
  <c r="G86" i="46"/>
  <c r="H72" i="47"/>
  <c r="I72" i="46"/>
  <c r="H74" i="46"/>
  <c r="I74" i="46" s="1"/>
  <c r="H41" i="46"/>
  <c r="I41" i="45"/>
  <c r="H109" i="45"/>
  <c r="H74" i="47" l="1"/>
  <c r="I74" i="47" s="1"/>
  <c r="I72" i="47"/>
  <c r="I22" i="46"/>
  <c r="H57" i="47"/>
  <c r="H53" i="47"/>
  <c r="I53" i="47" s="1"/>
  <c r="I51" i="47"/>
  <c r="H41" i="47"/>
  <c r="I41" i="47" s="1"/>
  <c r="I41" i="46"/>
  <c r="H67" i="44"/>
  <c r="I61" i="44"/>
  <c r="H61" i="45"/>
  <c r="H62" i="44"/>
  <c r="I62" i="44" s="1"/>
  <c r="G110" i="45"/>
  <c r="H70" i="47"/>
  <c r="H76" i="46"/>
  <c r="I76" i="46" s="1"/>
  <c r="I70" i="46"/>
  <c r="H39" i="45"/>
  <c r="I39" i="45" s="1"/>
  <c r="I35" i="45"/>
  <c r="I75" i="46"/>
  <c r="H108" i="46"/>
  <c r="H98" i="46"/>
  <c r="I96" i="46"/>
  <c r="I30" i="45"/>
  <c r="H32" i="45"/>
  <c r="I32" i="45" s="1"/>
  <c r="I99" i="47"/>
  <c r="H101" i="47"/>
  <c r="H105" i="47"/>
  <c r="H43" i="44"/>
  <c r="I86" i="46"/>
  <c r="H22" i="47"/>
  <c r="I21" i="47"/>
  <c r="G75" i="47"/>
  <c r="G77" i="47" s="1"/>
  <c r="G71" i="47"/>
  <c r="I44" i="42"/>
  <c r="H45" i="42"/>
  <c r="I45" i="42" s="1"/>
  <c r="H65" i="47"/>
  <c r="I65" i="47" s="1"/>
  <c r="I63" i="47"/>
  <c r="G108" i="46"/>
  <c r="G98" i="46"/>
  <c r="H106" i="47"/>
  <c r="H59" i="46"/>
  <c r="I59" i="46" s="1"/>
  <c r="I57" i="46"/>
  <c r="I67" i="43"/>
  <c r="H68" i="43"/>
  <c r="I68" i="43" s="1"/>
  <c r="H40" i="47"/>
  <c r="I40" i="47" s="1"/>
  <c r="I40" i="46"/>
  <c r="G110" i="44"/>
  <c r="I110" i="44" s="1"/>
  <c r="H42" i="47"/>
  <c r="I42" i="47" s="1"/>
  <c r="I42" i="46"/>
  <c r="H43" i="45"/>
  <c r="I26" i="45"/>
  <c r="I93" i="47"/>
  <c r="H95" i="47"/>
  <c r="I95" i="47" s="1"/>
  <c r="G100" i="47"/>
  <c r="G106" i="47" s="1"/>
  <c r="G109" i="47" s="1"/>
  <c r="G106" i="46"/>
  <c r="G109" i="46" s="1"/>
  <c r="I56" i="46"/>
  <c r="I66" i="46"/>
  <c r="G57" i="47"/>
  <c r="G59" i="47" s="1"/>
  <c r="I107" i="45"/>
  <c r="I92" i="47"/>
  <c r="G66" i="47"/>
  <c r="G68" i="47" s="1"/>
  <c r="G62" i="47"/>
  <c r="G101" i="46"/>
  <c r="I101" i="46" s="1"/>
  <c r="H23" i="47"/>
  <c r="H25" i="46"/>
  <c r="I25" i="46" s="1"/>
  <c r="I23" i="46"/>
  <c r="G33" i="47"/>
  <c r="G35" i="47" s="1"/>
  <c r="G39" i="47" s="1"/>
  <c r="G43" i="47" s="1"/>
  <c r="G44" i="47" s="1"/>
  <c r="G45" i="47" s="1"/>
  <c r="G35" i="46"/>
  <c r="G39" i="46" s="1"/>
  <c r="G105" i="47"/>
  <c r="G107" i="47" s="1"/>
  <c r="I97" i="46"/>
  <c r="H109" i="46"/>
  <c r="I106" i="46"/>
  <c r="I87" i="47"/>
  <c r="H89" i="47"/>
  <c r="I89" i="47" s="1"/>
  <c r="H110" i="45"/>
  <c r="I110" i="45" s="1"/>
  <c r="I108" i="45"/>
  <c r="I60" i="47"/>
  <c r="H66" i="47"/>
  <c r="I109" i="45"/>
  <c r="G86" i="47"/>
  <c r="G96" i="47"/>
  <c r="H44" i="43"/>
  <c r="I43" i="43"/>
  <c r="H96" i="47"/>
  <c r="H86" i="47"/>
  <c r="I86" i="47" s="1"/>
  <c r="I84" i="47"/>
  <c r="H28" i="47"/>
  <c r="H30" i="46"/>
  <c r="I28" i="46"/>
  <c r="G43" i="46"/>
  <c r="G44" i="46" s="1"/>
  <c r="G45" i="46" s="1"/>
  <c r="I52" i="47"/>
  <c r="H58" i="47"/>
  <c r="I58" i="47" s="1"/>
  <c r="I105" i="46"/>
  <c r="H107" i="46"/>
  <c r="I107" i="46" s="1"/>
  <c r="I54" i="47"/>
  <c r="H56" i="47"/>
  <c r="I56" i="47" s="1"/>
  <c r="H97" i="47"/>
  <c r="H33" i="47"/>
  <c r="H35" i="46"/>
  <c r="I33" i="46"/>
  <c r="H71" i="47"/>
  <c r="I71" i="47" s="1"/>
  <c r="I69" i="47"/>
  <c r="H75" i="47"/>
  <c r="I65" i="46"/>
  <c r="G107" i="46"/>
  <c r="H35" i="47" l="1"/>
  <c r="I33" i="47"/>
  <c r="H109" i="47"/>
  <c r="I109" i="47" s="1"/>
  <c r="I97" i="47"/>
  <c r="G108" i="47"/>
  <c r="G110" i="47" s="1"/>
  <c r="G98" i="47"/>
  <c r="G110" i="46"/>
  <c r="H44" i="44"/>
  <c r="I43" i="44"/>
  <c r="H110" i="46"/>
  <c r="I108" i="46"/>
  <c r="I67" i="44"/>
  <c r="H68" i="44"/>
  <c r="I68" i="44" s="1"/>
  <c r="H26" i="46"/>
  <c r="I30" i="46"/>
  <c r="H32" i="46"/>
  <c r="I32" i="46" s="1"/>
  <c r="I96" i="47"/>
  <c r="H108" i="47"/>
  <c r="H98" i="47"/>
  <c r="I98" i="47" s="1"/>
  <c r="G101" i="47"/>
  <c r="I101" i="47" s="1"/>
  <c r="I106" i="47"/>
  <c r="I22" i="47"/>
  <c r="I105" i="47"/>
  <c r="H107" i="47"/>
  <c r="I107" i="47" s="1"/>
  <c r="H77" i="46"/>
  <c r="I77" i="46" s="1"/>
  <c r="I75" i="47"/>
  <c r="H39" i="46"/>
  <c r="I39" i="46" s="1"/>
  <c r="I35" i="46"/>
  <c r="H30" i="47"/>
  <c r="I28" i="47"/>
  <c r="I100" i="47"/>
  <c r="I61" i="45"/>
  <c r="H67" i="45"/>
  <c r="H61" i="46"/>
  <c r="H62" i="45"/>
  <c r="I62" i="45" s="1"/>
  <c r="I57" i="47"/>
  <c r="H59" i="47"/>
  <c r="I59" i="47" s="1"/>
  <c r="H45" i="43"/>
  <c r="I45" i="43" s="1"/>
  <c r="I44" i="43"/>
  <c r="I66" i="47"/>
  <c r="I109" i="46"/>
  <c r="I23" i="47"/>
  <c r="H25" i="47"/>
  <c r="I25" i="47" s="1"/>
  <c r="H44" i="45"/>
  <c r="I43" i="45"/>
  <c r="I98" i="46"/>
  <c r="H76" i="47"/>
  <c r="I76" i="47" s="1"/>
  <c r="I70" i="47"/>
  <c r="H45" i="45" l="1"/>
  <c r="I45" i="45" s="1"/>
  <c r="I44" i="45"/>
  <c r="I67" i="45"/>
  <c r="H68" i="45"/>
  <c r="I68" i="45" s="1"/>
  <c r="H77" i="47"/>
  <c r="I77" i="47" s="1"/>
  <c r="I44" i="44"/>
  <c r="H45" i="44"/>
  <c r="I45" i="44" s="1"/>
  <c r="H32" i="47"/>
  <c r="I32" i="47" s="1"/>
  <c r="I30" i="47"/>
  <c r="H26" i="47"/>
  <c r="I108" i="47"/>
  <c r="H110" i="47"/>
  <c r="I110" i="47" s="1"/>
  <c r="H43" i="46"/>
  <c r="I26" i="46"/>
  <c r="I110" i="46"/>
  <c r="I61" i="46"/>
  <c r="H61" i="47"/>
  <c r="H67" i="46"/>
  <c r="H62" i="46"/>
  <c r="I62" i="46" s="1"/>
  <c r="I35" i="47"/>
  <c r="H39" i="47"/>
  <c r="I39" i="47" s="1"/>
  <c r="I26" i="47" l="1"/>
  <c r="H43" i="47"/>
  <c r="I67" i="46"/>
  <c r="H68" i="46"/>
  <c r="I68" i="46" s="1"/>
  <c r="H67" i="47"/>
  <c r="I61" i="47"/>
  <c r="H62" i="47"/>
  <c r="I62" i="47" s="1"/>
  <c r="I43" i="46"/>
  <c r="H44" i="46"/>
  <c r="I67" i="47" l="1"/>
  <c r="H68" i="47"/>
  <c r="I68" i="47" s="1"/>
  <c r="H44" i="47"/>
  <c r="I43" i="47"/>
  <c r="I44" i="46"/>
  <c r="H45" i="46"/>
  <c r="I45" i="46" s="1"/>
  <c r="I44" i="47" l="1"/>
  <c r="H45" i="47"/>
  <c r="I45" i="4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8735D72E-6AB1-F446-9BC5-EBE40EEE556C}">
      <text>
        <r>
          <rPr>
            <b/>
            <sz val="9"/>
            <color rgb="FF000000"/>
            <rFont val="Tahoma"/>
            <family val="2"/>
          </rPr>
          <t xml:space="preserve">GNI-GPC:
</t>
        </r>
        <r>
          <rPr>
            <sz val="9"/>
            <color rgb="FF000000"/>
            <rFont val="Tahoma"/>
            <family val="2"/>
          </rPr>
          <t xml:space="preserve">ex) Position&amp;No. ex) AD 3 / PR 3 / Fundraising 5 </t>
        </r>
      </text>
    </comment>
    <comment ref="E23" authorId="1" shapeId="0" xr:uid="{D388ECED-78EA-1D4C-86B2-11C6330F3E00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
</t>
        </r>
        <r>
          <rPr>
            <sz val="9"/>
            <color rgb="FF000000"/>
            <rFont val="Tahoma"/>
            <family val="2"/>
          </rPr>
          <t>580100(</t>
        </r>
        <r>
          <rPr>
            <sz val="9"/>
            <color rgb="FF000000"/>
            <rFont val="돋움"/>
            <family val="3"/>
            <charset val="129"/>
          </rPr>
          <t>まとめ定期金額</t>
        </r>
        <r>
          <rPr>
            <sz val="9"/>
            <color rgb="FF000000"/>
            <rFont val="Tahoma"/>
            <family val="2"/>
          </rPr>
          <t>)-94600(</t>
        </r>
        <r>
          <rPr>
            <sz val="9"/>
            <color rgb="FF000000"/>
            <rFont val="돋움"/>
            <family val="3"/>
            <charset val="129"/>
          </rPr>
          <t>指定なし定期　金額</t>
        </r>
        <r>
          <rPr>
            <sz val="9"/>
            <color rgb="FF000000"/>
            <rFont val="Tahoma"/>
            <family val="2"/>
          </rPr>
          <t>)</t>
        </r>
      </text>
    </comment>
    <comment ref="E28" authorId="1" shapeId="0" xr:uid="{AD53C0DB-E620-914A-B771-21831AE5153B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 
</t>
        </r>
        <r>
          <rPr>
            <sz val="9"/>
            <color rgb="FF000000"/>
            <rFont val="Tahoma"/>
            <family val="2"/>
          </rPr>
          <t>added one-time ER</t>
        </r>
      </text>
    </comment>
    <comment ref="E40" authorId="1" shapeId="0" xr:uid="{9677F44E-4440-C74B-B954-C103C6D5FF3A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 recyfuku total+goodbooks(150)
</t>
        </r>
      </text>
    </comment>
    <comment ref="D43" authorId="1" shapeId="0" xr:uid="{619F40B3-6975-CC4E-BEE0-12FC3245C439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
</t>
        </r>
        <r>
          <rPr>
            <sz val="9"/>
            <color rgb="FF000000"/>
            <rFont val="Tahoma"/>
            <family val="2"/>
          </rPr>
          <t xml:space="preserve">POA corrected.
</t>
        </r>
        <r>
          <rPr>
            <sz val="9"/>
            <color rgb="FF000000"/>
            <rFont val="Tahoma"/>
            <family val="2"/>
          </rPr>
          <t>match with POA total</t>
        </r>
      </text>
    </comment>
    <comment ref="J49" authorId="0" shapeId="0" xr:uid="{10DFD4AC-B101-DF48-8B97-1F1C07E6579E}">
      <text>
        <r>
          <rPr>
            <b/>
            <sz val="9"/>
            <color rgb="FF000000"/>
            <rFont val="Tahoma"/>
            <family val="2"/>
          </rPr>
          <t xml:space="preserve">GNI-GPC:
</t>
        </r>
        <r>
          <rPr>
            <sz val="9"/>
            <color rgb="FF000000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DAAC08FC-AE5D-BB44-BD80-AA966F780BB9}">
      <text>
        <r>
          <rPr>
            <b/>
            <sz val="9"/>
            <color rgb="FF000000"/>
            <rFont val="Tahoma"/>
            <family val="2"/>
          </rPr>
          <t>GNI-GPC: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it is necessary to explain the achievements more in detail, please use the remarks.
</t>
        </r>
      </text>
    </comment>
    <comment ref="D138" authorId="1" shapeId="0" xr:uid="{2DB41AB8-F949-3B4D-9CF5-559A649EFBF2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corrected:
</t>
        </r>
        <r>
          <rPr>
            <sz val="9"/>
            <color rgb="FF000000"/>
            <rFont val="Tahoma"/>
            <family val="2"/>
          </rPr>
          <t>Q1 total(70911) - coffee(1500) - ER(31500)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71404C3F-A8F7-AD4B-8EA8-5C8AA6F90355}">
      <text>
        <r>
          <rPr>
            <b/>
            <sz val="9"/>
            <color rgb="FF000000"/>
            <rFont val="Tahoma"/>
            <family val="2"/>
          </rPr>
          <t xml:space="preserve">GNI-GPC:
</t>
        </r>
        <r>
          <rPr>
            <sz val="9"/>
            <color rgb="FF000000"/>
            <rFont val="Tahoma"/>
            <family val="2"/>
          </rPr>
          <t xml:space="preserve">ex) Position&amp;No. ex) AD 3 / PR 3 / Fundraising 5 </t>
        </r>
      </text>
    </comment>
    <comment ref="E31" authorId="1" shapeId="0" xr:uid="{C099BC05-3747-B84B-BB84-B4CA0D541C50}">
      <text>
        <r>
          <rPr>
            <b/>
            <sz val="9"/>
            <color rgb="FF000000"/>
            <rFont val="Tahoma"/>
            <family val="2"/>
          </rPr>
          <t>GiminKim: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MS Gothic"/>
            <family val="3"/>
            <charset val="128"/>
          </rPr>
          <t>単発</t>
        </r>
        <r>
          <rPr>
            <sz val="9"/>
            <color rgb="FF000000"/>
            <rFont val="돋움"/>
            <family val="3"/>
            <charset val="129"/>
          </rPr>
          <t>指定なし＋</t>
        </r>
        <r>
          <rPr>
            <sz val="9"/>
            <color rgb="FF000000"/>
            <rFont val="돋움"/>
            <family val="3"/>
            <charset val="129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定期指定なし</t>
        </r>
      </text>
    </comment>
    <comment ref="J49" authorId="0" shapeId="0" xr:uid="{7A4421D1-8CCA-E44D-A7C5-DDC3E53CA494}">
      <text>
        <r>
          <rPr>
            <b/>
            <sz val="9"/>
            <color rgb="FF000000"/>
            <rFont val="Tahoma"/>
            <family val="2"/>
          </rPr>
          <t xml:space="preserve">GNI-GPC:
</t>
        </r>
        <r>
          <rPr>
            <sz val="9"/>
            <color rgb="FF000000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3BA493D4-3C30-0843-9D85-B5E171B1454E}">
      <text>
        <r>
          <rPr>
            <b/>
            <sz val="9"/>
            <color rgb="FF000000"/>
            <rFont val="Tahoma"/>
            <family val="2"/>
          </rPr>
          <t>GNI-GPC: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it is necessary to explain the achievements more in detail, please use the remarks.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9F571832-62CD-5143-B626-40FADDD96DAC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31" authorId="1" shapeId="0" xr:uid="{F87ADC96-CC87-E847-91BE-54FDC8E79AC9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>指定なし＋
定期指定なし</t>
        </r>
      </text>
    </comment>
    <comment ref="J49" authorId="0" shapeId="0" xr:uid="{D8B6A8E5-2055-ED4C-9212-F10989C5AB21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7840C87B-00D5-574C-AED5-51E36CF4E59A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C6B4392A-D3A2-024C-B0ED-B43CE64F21DF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31" authorId="1" shapeId="0" xr:uid="{62D0E96E-CC4E-F24E-8B42-1CA22E95AEB4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>指定なし＋
定期指定なし</t>
        </r>
      </text>
    </comment>
    <comment ref="J49" authorId="0" shapeId="0" xr:uid="{1A78EB79-84DF-174B-836F-B466C0FDAB1A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584A3C20-AD6B-8944-AF9D-2771816D6715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330AE2D6-3FD7-8C47-9C6D-F78DD1FB5452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3" authorId="1" shapeId="0" xr:uid="{DDBA7177-EE41-F541-9968-922F7385C42A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557100-89100/115</t>
        </r>
      </text>
    </comment>
    <comment ref="E31" authorId="1" shapeId="0" xr:uid="{4B586674-F5AB-A746-9EB9-82C06F54AEE7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 xml:space="preserve">指定なし＋
定期指定なし
</t>
        </r>
        <r>
          <rPr>
            <sz val="9"/>
            <color indexed="81"/>
            <rFont val="Tahoma"/>
            <family val="2"/>
          </rPr>
          <t>89100+64081+6500/115</t>
        </r>
      </text>
    </comment>
    <comment ref="J49" authorId="0" shapeId="0" xr:uid="{962D0CCD-DDFF-2F4C-836E-F507ABE9D358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19BE2129-9CF7-9B4B-8C6D-FC07EF28F352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F4B78DF6-8009-5C43-A03C-485656231773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3" authorId="1" shapeId="0" xr:uid="{1E9E0086-B88A-F846-A270-999C43E433E0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553100-89100/115</t>
        </r>
      </text>
    </comment>
    <comment ref="E31" authorId="1" shapeId="0" xr:uid="{ADBEFBE6-E110-E44F-8329-0FD214859C2C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 xml:space="preserve">指定なし＋
定期指定なし
</t>
        </r>
        <r>
          <rPr>
            <sz val="9"/>
            <color indexed="81"/>
            <rFont val="Tahoma"/>
            <family val="2"/>
          </rPr>
          <t>89100+164181+63000/115</t>
        </r>
      </text>
    </comment>
    <comment ref="J49" authorId="0" shapeId="0" xr:uid="{2667B416-1140-2942-ACAA-E1F6BCB151B9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9BBB6F77-3059-094A-B345-6F3DAF714A03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AFA1A9BA-541C-CF49-8ADA-3E57BB73F839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3" authorId="1" shapeId="0" xr:uid="{CB927535-09D8-8345-9878-C72A01A0964A}">
      <text>
        <r>
          <rPr>
            <sz val="9"/>
            <color indexed="81"/>
            <rFont val="Tahoma"/>
            <family val="2"/>
          </rPr>
          <t>539100-103100/115</t>
        </r>
      </text>
    </comment>
    <comment ref="E31" authorId="1" shapeId="0" xr:uid="{5C02CE80-B07C-2E40-9ADE-1F6D64013553}">
      <text>
        <r>
          <rPr>
            <sz val="9"/>
            <color indexed="81"/>
            <rFont val="MS Gothic"/>
            <family val="3"/>
            <charset val="128"/>
          </rPr>
          <t>単発</t>
        </r>
        <r>
          <rPr>
            <sz val="9"/>
            <color indexed="81"/>
            <rFont val="돋움"/>
            <family val="3"/>
            <charset val="129"/>
          </rPr>
          <t xml:space="preserve">指定なし＋
定期指定なし
</t>
        </r>
        <r>
          <rPr>
            <sz val="9"/>
            <color indexed="81"/>
            <rFont val="Tahoma"/>
            <family val="2"/>
          </rPr>
          <t>103100+337726+132500/115</t>
        </r>
      </text>
    </comment>
    <comment ref="J49" authorId="0" shapeId="0" xr:uid="{1243231A-A279-D941-BB64-CA0C72B4E150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2A8762D7-7099-B540-848E-E96F32C912E6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22221061-EAFC-9545-93A1-DA8067484C0A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F3808B94-18B7-674B-9685-24D65EB9E6EE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hiktoride</t>
        </r>
      </text>
    </comment>
    <comment ref="E23" authorId="1" shapeId="0" xr:uid="{83A38B52-FF24-1143-ABB9-85ADE701AC91}">
      <text>
        <r>
          <rPr>
            <sz val="9"/>
            <color indexed="81"/>
            <rFont val="Tahoma"/>
            <family val="2"/>
          </rPr>
          <t xml:space="preserve">chad country273500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47000+pj regular0</t>
        </r>
      </text>
    </comment>
    <comment ref="E28" authorId="1" shapeId="0" xr:uid="{8DB5A3F8-BE32-0149-874A-310A03BE4789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</t>
        </r>
      </text>
    </comment>
    <comment ref="E31" authorId="1" shapeId="0" xr:uid="{B16B4706-A4A6-454B-B9F2-0A6E8432B16E}">
      <text>
        <r>
          <rPr>
            <sz val="10"/>
            <color indexed="81"/>
            <rFont val="Tahoma"/>
            <family val="2"/>
          </rPr>
          <t xml:space="preserve">minnade(573000)+one time non-desig(506903)
</t>
        </r>
      </text>
    </comment>
    <comment ref="J49" authorId="0" shapeId="0" xr:uid="{EAF773BB-E792-E14F-9E1C-BF709AF1FCEB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06484B3D-3E98-6A4E-862F-B5508E5C661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</authors>
  <commentList>
    <comment ref="E9" authorId="0" shapeId="0" xr:uid="{0E00C6B2-EB35-A945-BB05-AD720CF168A5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12931CDF-390D-BC4B-BAF1-8E56181EE8F4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hitoride</t>
        </r>
      </text>
    </comment>
    <comment ref="E23" authorId="1" shapeId="0" xr:uid="{8A9BC14E-19FF-434A-B4A9-6CF7EFA43835}">
      <text>
        <r>
          <rPr>
            <sz val="9"/>
            <color indexed="81"/>
            <rFont val="Tahoma"/>
            <family val="2"/>
          </rPr>
          <t xml:space="preserve">chad country0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0+pj regular0</t>
        </r>
      </text>
    </comment>
    <comment ref="E28" authorId="1" shapeId="0" xr:uid="{BFA2975D-9C64-C84E-B657-88955BA1F4D6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</t>
        </r>
      </text>
    </comment>
    <comment ref="E31" authorId="1" shapeId="0" xr:uid="{CBEFB0F8-A628-D648-86BF-91050692C72E}">
      <text>
        <r>
          <rPr>
            <sz val="10"/>
            <color indexed="81"/>
            <rFont val="Tahoma"/>
            <family val="2"/>
          </rPr>
          <t>minnade(54000)+one time non-desig(689170)</t>
        </r>
      </text>
    </comment>
    <comment ref="J49" authorId="0" shapeId="0" xr:uid="{A0A71B5F-153C-8949-BEC2-4F678E98F5D9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J82" authorId="0" shapeId="0" xr:uid="{9CC8D74A-4E1B-064B-97E3-533B4B7285BC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  <author>細川もなみ</author>
  </authors>
  <commentList>
    <comment ref="E9" authorId="0" shapeId="0" xr:uid="{3E351C5E-957D-0142-8BE2-C425E78D0917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3B6411FE-1608-0C48-BBCA-03A8042C635E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hitoride</t>
        </r>
      </text>
    </comment>
    <comment ref="E23" authorId="1" shapeId="0" xr:uid="{F0D6D702-675C-F049-A2CD-869D2FDC6737}">
      <text>
        <r>
          <rPr>
            <sz val="9"/>
            <color indexed="81"/>
            <rFont val="Tahoma"/>
            <family val="2"/>
          </rPr>
          <t xml:space="preserve">chad country0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0+pj regular0</t>
        </r>
      </text>
    </comment>
    <comment ref="E28" authorId="1" shapeId="0" xr:uid="{9E4BD86B-6A87-AA40-A46F-DE6373089801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</t>
        </r>
      </text>
    </comment>
    <comment ref="E31" authorId="1" shapeId="0" xr:uid="{1DEDD4F7-5576-DD4E-B52F-ACF6DE9F52EC}">
      <text>
        <r>
          <rPr>
            <sz val="10"/>
            <color indexed="81"/>
            <rFont val="Tahoma"/>
            <family val="2"/>
          </rPr>
          <t>minnade(54000)+one time non-desig(689170)</t>
        </r>
      </text>
    </comment>
    <comment ref="J49" authorId="0" shapeId="0" xr:uid="{952BAFF9-9210-054B-99DE-F87BB7137B32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E54" authorId="2" shapeId="0" xr:uid="{E851ED91-AE85-B14E-B393-1398B29B1D0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チャドスポンサー新規</t>
        </r>
      </text>
    </comment>
    <comment ref="E55" authorId="2" shapeId="0" xr:uid="{E22983DC-7ACC-7640-8783-922907092EC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マンスリーG93+G95-IHQMonthlyF54</t>
        </r>
      </text>
    </comment>
    <comment ref="E69" authorId="2" shapeId="0" xr:uid="{57B0A7E1-C650-104C-AE93-4CF43944E91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マンスリーD85÷115</t>
        </r>
      </text>
    </comment>
    <comment ref="E72" authorId="2" shapeId="0" xr:uid="{552661A2-8D97-0C4C-BF4E-3311C599DBD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マンスリーD94÷115</t>
        </r>
      </text>
    </comment>
    <comment ref="J82" authorId="0" shapeId="0" xr:uid="{5FEFF0E5-0AA8-D340-AF24-4F940CE3DCDA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  <author>細川もなみ</author>
  </authors>
  <commentList>
    <comment ref="E9" authorId="0" shapeId="0" xr:uid="{47131D10-C300-9F49-A89B-066C2FE97E07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3139DD5E-25C5-3440-9AD4-18D0C8938291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hitoride</t>
        </r>
      </text>
    </comment>
    <comment ref="E23" authorId="1" shapeId="0" xr:uid="{9031E19C-0369-3746-BF35-D2D4386CA6A6}">
      <text>
        <r>
          <rPr>
            <sz val="9"/>
            <color indexed="81"/>
            <rFont val="Tahoma"/>
            <family val="2"/>
          </rPr>
          <t xml:space="preserve">chad country0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0+pj regular0</t>
        </r>
      </text>
    </comment>
    <comment ref="E28" authorId="1" shapeId="0" xr:uid="{EBD315BE-AF9F-774A-A282-0BA510F36F1B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cell)-one time non-desig</t>
        </r>
      </text>
    </comment>
    <comment ref="E31" authorId="1" shapeId="0" xr:uid="{2C3393E9-F4D8-144C-ADC6-3A5359191CDB}">
      <text>
        <r>
          <rPr>
            <sz val="10"/>
            <color indexed="81"/>
            <rFont val="Tahoma"/>
            <family val="2"/>
          </rPr>
          <t>minnade+one time non-desig</t>
        </r>
      </text>
    </comment>
    <comment ref="J49" authorId="0" shapeId="0" xr:uid="{408D022B-F26E-A542-9DB8-8565F27F738E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E54" authorId="2" shapeId="0" xr:uid="{667FE4B6-C854-FF48-B917-AD299B2EC59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チャドスポンサー新規</t>
        </r>
      </text>
    </comment>
    <comment ref="E55" authorId="2" shapeId="0" xr:uid="{9D41A9CB-5506-2E4C-8023-C9FDBF5C743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マンスリーG93+G95-IHQMonthlyF54</t>
        </r>
      </text>
    </comment>
    <comment ref="E69" authorId="2" shapeId="0" xr:uid="{BEA9008F-812E-2248-AB9C-43BC6CDDE06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マンスリーD85÷115</t>
        </r>
      </text>
    </comment>
    <comment ref="E72" authorId="2" shapeId="0" xr:uid="{612CF698-BDA7-1C4B-945A-AB11A38828C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マンスリー÷115</t>
        </r>
      </text>
    </comment>
    <comment ref="J82" authorId="0" shapeId="0" xr:uid="{40AA4960-B2FA-9447-8905-698D8BAA99C7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C118" authorId="2" shapeId="0" xr:uid="{8D03EB90-7968-AF4E-B30B-DF68928862E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23" authorId="2" shapeId="0" xr:uid="{F2A876B9-DD2A-7344-92F8-44A27C6245F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23" authorId="2" shapeId="0" xr:uid="{939DD4EF-5B29-FE4A-AA1F-FF88ED2F2E6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  <author>細川もなみ</author>
    <author>monami</author>
  </authors>
  <commentList>
    <comment ref="E9" authorId="0" shapeId="0" xr:uid="{609CF1EE-A801-1B41-9D2A-17E29B6987A1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1" authorId="1" shapeId="0" xr:uid="{0CB8A97B-6828-B645-8F23-A1F704014C81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ひとりコース金額合計；H107÷115</t>
        </r>
      </text>
    </comment>
    <comment ref="E23" authorId="1" shapeId="0" xr:uid="{CE5394E6-70D0-4345-B318-D7663EFADFB9}">
      <text>
        <r>
          <rPr>
            <sz val="9"/>
            <color indexed="81"/>
            <rFont val="Tahoma"/>
            <family val="2"/>
          </rPr>
          <t xml:space="preserve">chad country0 +chad </t>
        </r>
        <r>
          <rPr>
            <sz val="9"/>
            <color indexed="81"/>
            <rFont val="HGGothicE"/>
            <family val="3"/>
            <charset val="128"/>
          </rPr>
          <t>奨学</t>
        </r>
        <r>
          <rPr>
            <sz val="9"/>
            <color indexed="81"/>
            <rFont val="돋움"/>
            <family val="3"/>
            <charset val="129"/>
          </rPr>
          <t>金</t>
        </r>
        <r>
          <rPr>
            <sz val="9"/>
            <color indexed="81"/>
            <rFont val="Tahoma"/>
            <family val="2"/>
          </rPr>
          <t>0+pj regular0</t>
        </r>
      </text>
    </comment>
    <comment ref="E28" authorId="1" shapeId="0" xr:uid="{D99F3AE9-E24A-854D-9CFC-CFA107D05ADD}">
      <text>
        <r>
          <rPr>
            <b/>
            <sz val="9"/>
            <color indexed="81"/>
            <rFont val="Tahoma"/>
            <family val="2"/>
          </rPr>
          <t>GiminKim:</t>
        </r>
        <r>
          <rPr>
            <sz val="9"/>
            <color indexed="81"/>
            <rFont val="Tahoma"/>
            <family val="2"/>
          </rPr>
          <t xml:space="preserve">
country onetine(orange cell)E112-one time non-desig
</t>
        </r>
        <r>
          <rPr>
            <sz val="9"/>
            <color indexed="81"/>
            <rFont val="ＭＳ Ｐゴシック"/>
            <family val="3"/>
            <charset val="128"/>
          </rPr>
          <t>（</t>
        </r>
        <r>
          <rPr>
            <sz val="9"/>
            <color indexed="81"/>
            <rFont val="Tahoma"/>
            <family val="2"/>
          </rPr>
          <t>E86+88</t>
        </r>
        <r>
          <rPr>
            <sz val="9"/>
            <color indexed="81"/>
            <rFont val="ＭＳ Ｐゴシック"/>
            <family val="3"/>
            <charset val="128"/>
          </rPr>
          <t>）</t>
        </r>
      </text>
    </comment>
    <comment ref="E31" authorId="1" shapeId="0" xr:uid="{70A2175E-C11F-BB46-9BF5-6BC3EFC21C03}">
      <text>
        <r>
          <rPr>
            <sz val="10"/>
            <color indexed="81"/>
            <rFont val="Tahoma"/>
            <family val="2"/>
          </rPr>
          <t>minnade</t>
        </r>
        <r>
          <rPr>
            <sz val="10"/>
            <color indexed="81"/>
            <rFont val="ＭＳ Ｐゴシック"/>
            <family val="3"/>
            <charset val="128"/>
          </rPr>
          <t>；</t>
        </r>
        <r>
          <rPr>
            <sz val="10"/>
            <color indexed="81"/>
            <rFont val="Tahoma"/>
            <family val="2"/>
          </rPr>
          <t>H114+one time non-desig</t>
        </r>
        <r>
          <rPr>
            <sz val="10"/>
            <color indexed="81"/>
            <rFont val="ＭＳ Ｐゴシック"/>
            <family val="3"/>
            <charset val="128"/>
          </rPr>
          <t>；</t>
        </r>
        <r>
          <rPr>
            <sz val="10"/>
            <color indexed="81"/>
            <rFont val="Tahoma"/>
            <family val="2"/>
          </rPr>
          <t>E86+E88</t>
        </r>
      </text>
    </comment>
    <comment ref="J49" authorId="0" shapeId="0" xr:uid="{9EA23B06-0A75-4944-909A-AF01BCF34FAF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E51" authorId="2" shapeId="0" xr:uid="{CF892754-E541-174A-9D88-953EC9DECC6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E106
</t>
        </r>
      </text>
    </comment>
    <comment ref="E54" authorId="2" shapeId="0" xr:uid="{3DB07DD8-760C-5B41-BE38-252C4CCDF03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チャドスポンサー新規</t>
        </r>
      </text>
    </comment>
    <comment ref="E55" authorId="2" shapeId="0" xr:uid="{705E6B24-733F-1B48-A6FA-36493338CFB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マンスリーG93+G95-IHQMonthlyF54</t>
        </r>
      </text>
    </comment>
    <comment ref="E69" authorId="2" shapeId="0" xr:uid="{A1E8F4BC-0391-BE4E-ACBC-C4178A65BAB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マンスリーE107÷115</t>
        </r>
      </text>
    </comment>
    <comment ref="E72" authorId="2" shapeId="0" xr:uid="{A316E5DC-9F86-644A-9EF5-F31DB0CB8CE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マンスリーE116+118÷115</t>
        </r>
      </text>
    </comment>
    <comment ref="J82" authorId="0" shapeId="0" xr:uid="{3476AAA0-18A3-A54D-8539-7C4DD61F804F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B96" authorId="3" shapeId="0" xr:uid="{E15C259B-471C-B445-B408-193A263DA081}">
      <text>
        <r>
          <rPr>
            <b/>
            <sz val="9"/>
            <color indexed="81"/>
            <rFont val="MS P ゴシック"/>
            <family val="3"/>
            <charset val="128"/>
          </rPr>
          <t>monami:KHM
New 5
Existing 0
sub total 5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18" authorId="2" shapeId="0" xr:uid="{9B828370-4C3C-8843-BD0D-E94A4FA2D78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23" authorId="2" shapeId="0" xr:uid="{9367AFE5-616C-B24B-9EB3-8CA1A5AB868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23" authorId="2" shapeId="0" xr:uid="{6C07A240-5449-6143-85E7-F17F2124475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GNI-양소영</author>
    <author>GiminKim</author>
    <author>細川もなみ</author>
    <author>monami</author>
  </authors>
  <commentList>
    <comment ref="E9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 xml:space="preserve">ex) Position&amp;No. ex) AD 3 / PR 3 / Fundraising 5 </t>
        </r>
      </text>
    </comment>
    <comment ref="E23" authorId="1" shapeId="0" xr:uid="{00000000-0006-0000-0D00-000002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1" shapeId="0" xr:uid="{00000000-0006-0000-0D00-000003000000}">
      <text>
        <r>
          <rPr>
            <sz val="9"/>
            <color indexed="81"/>
            <rFont val="ＭＳ Ｐゴシック"/>
            <family val="3"/>
            <charset val="128"/>
          </rPr>
          <t>チャドサポ＋奨学金＋「みんな」</t>
        </r>
      </text>
    </comment>
    <comment ref="E30" authorId="1" shapeId="0" xr:uid="{00000000-0006-0000-0D00-000004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2" shapeId="0" xr:uid="{00000000-0006-0000-0D00-00000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1" shapeId="0" xr:uid="{00000000-0006-0000-0D00-000006000000}">
      <text>
        <r>
          <rPr>
            <sz val="10"/>
            <color rgb="FF000000"/>
            <rFont val="ＭＳ Ｐゴシック"/>
            <family val="3"/>
            <charset val="128"/>
          </rPr>
          <t>一般金額</t>
        </r>
        <r>
          <rPr>
            <sz val="10"/>
            <color rgb="FF000000"/>
            <rFont val="Tahoma"/>
            <family val="2"/>
          </rPr>
          <t>E88</t>
        </r>
      </text>
    </comment>
    <comment ref="D38" authorId="2" shapeId="0" xr:uid="{00000000-0006-0000-0D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J51" authorId="0" shapeId="0" xr:uid="{00000000-0006-0000-0D00-000008000000}">
      <text>
        <r>
          <rPr>
            <b/>
            <sz val="9"/>
            <color indexed="81"/>
            <rFont val="Tahoma"/>
            <family val="2"/>
          </rPr>
          <t xml:space="preserve">GNI-GPC:
</t>
        </r>
        <r>
          <rPr>
            <sz val="9"/>
            <color indexed="81"/>
            <rFont val="Tahoma"/>
            <family val="2"/>
          </rPr>
          <t>If it is necessary to explain the achievements more in detail, please use the remarks. Ex) Sponsorship cancellaion</t>
        </r>
      </text>
    </comment>
    <comment ref="E53" authorId="2" shapeId="0" xr:uid="{00000000-0006-0000-0D00-000009000000}">
      <text>
        <r>
          <rPr>
            <b/>
            <sz val="9"/>
            <color rgb="FF000000"/>
            <rFont val="MS P ゴシック"/>
            <family val="3"/>
            <charset val="128"/>
          </rPr>
          <t>細川もなみ</t>
        </r>
        <r>
          <rPr>
            <b/>
            <sz val="9"/>
            <color rgb="FF000000"/>
            <rFont val="Calibri"/>
            <family val="3"/>
            <charset val="128"/>
            <scheme val="minor"/>
          </rPr>
          <t>:</t>
        </r>
        <r>
          <rPr>
            <sz val="9"/>
            <color rgb="FF000000"/>
            <rFont val="Calibri"/>
            <family val="3"/>
            <charset val="128"/>
            <scheme val="minor"/>
          </rPr>
          <t xml:space="preserve">
</t>
        </r>
        <r>
          <rPr>
            <sz val="9"/>
            <color rgb="FF000000"/>
            <rFont val="Calibri"/>
            <family val="3"/>
            <charset val="128"/>
            <scheme val="minor"/>
          </rPr>
          <t xml:space="preserve">E103
</t>
        </r>
      </text>
    </comment>
    <comment ref="E54" authorId="2" shapeId="0" xr:uid="{00000000-0006-0000-0D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2" shapeId="0" xr:uid="{00000000-0006-0000-0D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チャドスポンサー新規</t>
        </r>
      </text>
    </comment>
    <comment ref="E57" authorId="2" shapeId="0" xr:uid="{00000000-0006-0000-0D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細川もなみ:(</t>
        </r>
        <r>
          <rPr>
            <sz val="9"/>
            <color indexed="81"/>
            <rFont val="MS P ゴシック"/>
            <family val="3"/>
            <charset val="128"/>
          </rPr>
          <t>H112+H115)-E112</t>
        </r>
      </text>
    </comment>
    <comment ref="E71" authorId="2" shapeId="0" xr:uid="{00000000-0006-0000-0D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2" shapeId="0" xr:uid="{00000000-0006-0000-0D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マンスリーE116+118÷115</t>
        </r>
      </text>
    </comment>
    <comment ref="J96" authorId="0" shapeId="0" xr:uid="{00000000-0006-0000-0D00-00000F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B113" authorId="3" shapeId="0" xr:uid="{00000000-0006-0000-0D00-000010000000}">
      <text>
        <r>
          <rPr>
            <b/>
            <sz val="9"/>
            <color indexed="81"/>
            <rFont val="MS P ゴシック"/>
            <family val="3"/>
            <charset val="128"/>
          </rPr>
          <t>monami:KHM
New 5
Existing 0
sub total 5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35" authorId="2" shapeId="0" xr:uid="{00000000-0006-0000-0D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2" shapeId="0" xr:uid="{00000000-0006-0000-0D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2" shapeId="0" xr:uid="{00000000-0006-0000-0D00-000013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</author>
  </authors>
  <commentList>
    <comment ref="E23" authorId="0" shapeId="0" xr:uid="{00000000-0006-0000-0E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>チャドサポ＋奨学金＋「みんな」</t>
        </r>
      </text>
    </comment>
    <comment ref="E30" authorId="0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0E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0E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0E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0E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0E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0E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チャド定期＋奨学金＋「みんな」新規</t>
        </r>
      </text>
    </comment>
    <comment ref="E57" authorId="1" shapeId="0" xr:uid="{00000000-0006-0000-0E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細川もなみ:(</t>
        </r>
        <r>
          <rPr>
            <sz val="9"/>
            <color indexed="81"/>
            <rFont val="MS P ゴシック"/>
            <family val="3"/>
            <charset val="128"/>
          </rPr>
          <t>チャド定期＋奨学金＋「みんな」)-E112</t>
        </r>
      </text>
    </comment>
    <comment ref="E71" authorId="1" shapeId="0" xr:uid="{00000000-0006-0000-0E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0E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マンスリーチャド定期＋奨学金＋「みんな」÷115</t>
        </r>
      </text>
    </comment>
    <comment ref="J96" authorId="2" shapeId="0" xr:uid="{00000000-0006-0000-0E00-00000D000000}">
      <text>
        <r>
          <rPr>
            <b/>
            <sz val="9"/>
            <color rgb="FF000000"/>
            <rFont val="Tahoma"/>
            <family val="2"/>
          </rPr>
          <t>GNI-GPC: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it is necessary to explain the achievements more in detail, please use the remarks.
</t>
        </r>
      </text>
    </comment>
    <comment ref="B113" authorId="3" shapeId="0" xr:uid="{00000000-0006-0000-0E00-00000E000000}">
      <text>
        <r>
          <rPr>
            <b/>
            <sz val="9"/>
            <color indexed="81"/>
            <rFont val="MS P ゴシック"/>
            <family val="3"/>
            <charset val="128"/>
          </rPr>
          <t>monami:KHM
New 5
Existing 0
sub total 5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35" authorId="1" shapeId="0" xr:uid="{00000000-0006-0000-0E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0E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0E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0F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0F00-000002000000}">
      <text>
        <r>
          <rPr>
            <sz val="9"/>
            <color indexed="81"/>
            <rFont val="ＭＳ Ｐゴシック"/>
            <family val="3"/>
            <charset val="128"/>
          </rPr>
          <t>H111+H113+H115</t>
        </r>
      </text>
    </comment>
    <comment ref="E30" authorId="0" shapeId="0" xr:uid="{00000000-0006-0000-0F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0F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0F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0F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0F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0F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0F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E110+E112+E114</t>
        </r>
      </text>
    </comment>
    <comment ref="E57" authorId="1" shapeId="0" xr:uid="{00000000-0006-0000-0F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(H110+112+114)-E110</t>
        </r>
      </text>
    </comment>
    <comment ref="E71" authorId="1" shapeId="0" xr:uid="{00000000-0006-0000-0F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0F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マンスリーE111
÷115</t>
        </r>
      </text>
    </comment>
    <comment ref="B87" authorId="1" shapeId="0" xr:uid="{00000000-0006-0000-0F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先月のサポのついている子ども数=H103</t>
        </r>
      </text>
    </comment>
    <comment ref="B88" authorId="1" shapeId="0" xr:uid="{00000000-0006-0000-0F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先月サポが付いた子ども数=E103</t>
        </r>
      </text>
    </comment>
    <comment ref="B89" authorId="1" shapeId="0" xr:uid="{00000000-0006-0000-0F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</t>
        </r>
      </text>
    </comment>
    <comment ref="B90" authorId="1" shapeId="0" xr:uid="{00000000-0006-0000-0F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先月サポが退会した子ども＝F103+新CIFの数</t>
        </r>
      </text>
    </comment>
    <comment ref="B91" authorId="1" shapeId="0" xr:uid="{00000000-0006-0000-0F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0F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0F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C135" authorId="1" shapeId="0" xr:uid="{00000000-0006-0000-0F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0F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0F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0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1000-000002000000}">
      <text>
        <r>
          <rPr>
            <sz val="9"/>
            <color indexed="81"/>
            <rFont val="ＭＳ Ｐゴシック"/>
            <family val="3"/>
            <charset val="128"/>
          </rPr>
          <t>H111+H113+H115</t>
        </r>
      </text>
    </comment>
    <comment ref="E30" authorId="0" shapeId="0" xr:uid="{00000000-0006-0000-10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0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10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0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0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10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10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E110+E112+E114</t>
        </r>
      </text>
    </comment>
    <comment ref="E57" authorId="1" shapeId="0" xr:uid="{00000000-0006-0000-10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(H110+112+114)-(E110+E112+114)</t>
        </r>
      </text>
    </comment>
    <comment ref="E71" authorId="1" shapeId="0" xr:uid="{00000000-0006-0000-10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10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マンスリー(E111+E113+E115)÷115</t>
        </r>
      </text>
    </comment>
    <comment ref="B87" authorId="1" shapeId="0" xr:uid="{00000000-0006-0000-10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先月のサポのついている子ども数=H103</t>
        </r>
      </text>
    </comment>
    <comment ref="B88" authorId="1" shapeId="0" xr:uid="{00000000-0006-0000-10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先月サポが付いた子ども数=E103</t>
        </r>
      </text>
    </comment>
    <comment ref="B89" authorId="1" shapeId="0" xr:uid="{00000000-0006-0000-10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</t>
        </r>
      </text>
    </comment>
    <comment ref="B90" authorId="1" shapeId="0" xr:uid="{00000000-0006-0000-10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先月サポが退会した子ども＝F103+新CIFの数</t>
        </r>
      </text>
    </comment>
    <comment ref="B91" authorId="1" shapeId="0" xr:uid="{00000000-0006-0000-10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0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10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C135" authorId="1" shapeId="0" xr:uid="{00000000-0006-0000-10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10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0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1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1100-000002000000}">
      <text>
        <r>
          <rPr>
            <sz val="9"/>
            <color indexed="81"/>
            <rFont val="ＭＳ Ｐゴシック"/>
            <family val="3"/>
            <charset val="128"/>
          </rPr>
          <t>(H111+H113+H115)÷115</t>
        </r>
      </text>
    </comment>
    <comment ref="E30" authorId="0" shapeId="0" xr:uid="{00000000-0006-0000-11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1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11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1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1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11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11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E110+E112+E114</t>
        </r>
      </text>
    </comment>
    <comment ref="E57" authorId="1" shapeId="0" xr:uid="{00000000-0006-0000-11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(H110+112+114)-(E110+E112+114)</t>
        </r>
      </text>
    </comment>
    <comment ref="E71" authorId="1" shapeId="0" xr:uid="{00000000-0006-0000-11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11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マンスリー(E111+E113+E115)÷115</t>
        </r>
      </text>
    </comment>
    <comment ref="B87" authorId="1" shapeId="0" xr:uid="{00000000-0006-0000-11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先月のサポのついている子ども数=H103</t>
        </r>
      </text>
    </comment>
    <comment ref="B88" authorId="1" shapeId="0" xr:uid="{00000000-0006-0000-11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先月サポが付いた子ども数=E103</t>
        </r>
      </text>
    </comment>
    <comment ref="B89" authorId="1" shapeId="0" xr:uid="{00000000-0006-0000-11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DOした子ども数=F105</t>
        </r>
      </text>
    </comment>
    <comment ref="B90" authorId="1" shapeId="0" xr:uid="{00000000-0006-0000-11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先月サポが退会した子ども＝F103+新CIFの数E105</t>
        </r>
      </text>
    </comment>
    <comment ref="B91" authorId="1" shapeId="0" xr:uid="{00000000-0006-0000-11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1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11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00000000-0006-0000-11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00000000-0006-0000-11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11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100-00001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2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ひとりコース金額合計；H104÷115</t>
        </r>
      </text>
    </comment>
    <comment ref="E25" authorId="0" shapeId="0" xr:uid="{00000000-0006-0000-1200-000002000000}">
      <text>
        <r>
          <rPr>
            <sz val="9"/>
            <color indexed="81"/>
            <rFont val="ＭＳ Ｐゴシック"/>
            <family val="3"/>
            <charset val="128"/>
          </rPr>
          <t>(H111+H113+H115)÷115</t>
        </r>
      </text>
    </comment>
    <comment ref="E30" authorId="0" shapeId="0" xr:uid="{00000000-0006-0000-12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(E109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2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12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2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2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E103
</t>
        </r>
      </text>
    </comment>
    <comment ref="E54" authorId="1" shapeId="0" xr:uid="{00000000-0006-0000-12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H103-E103</t>
        </r>
      </text>
    </comment>
    <comment ref="E56" authorId="1" shapeId="0" xr:uid="{00000000-0006-0000-12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E110+E112+E114</t>
        </r>
      </text>
    </comment>
    <comment ref="E57" authorId="1" shapeId="0" xr:uid="{00000000-0006-0000-12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(H110+112+114)-(E110+E112+114)</t>
        </r>
      </text>
    </comment>
    <comment ref="E71" authorId="1" shapeId="0" xr:uid="{00000000-0006-0000-12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マンスリーE104÷115</t>
        </r>
      </text>
    </comment>
    <comment ref="E74" authorId="1" shapeId="0" xr:uid="{00000000-0006-0000-12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マンスリー(E111+E113+E115)÷115</t>
        </r>
      </text>
    </comment>
    <comment ref="B87" authorId="1" shapeId="0" xr:uid="{00000000-0006-0000-12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先月のサポのついている子ども数=H103</t>
        </r>
      </text>
    </comment>
    <comment ref="B88" authorId="1" shapeId="0" xr:uid="{00000000-0006-0000-12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先月サポが付いた子ども数=E103</t>
        </r>
      </text>
    </comment>
    <comment ref="B89" authorId="1" shapeId="0" xr:uid="{00000000-0006-0000-12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DOした子ども数=F105</t>
        </r>
      </text>
    </comment>
    <comment ref="B90" authorId="1" shapeId="0" xr:uid="{00000000-0006-0000-12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先月サポが退会した子ども＝F103+新CIFの数E105</t>
        </r>
      </text>
    </comment>
    <comment ref="B91" authorId="1" shapeId="0" xr:uid="{00000000-0006-0000-12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2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12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00000000-0006-0000-12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00000000-0006-0000-12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</t>
        </r>
      </text>
    </comment>
    <comment ref="C140" authorId="1" shapeId="0" xr:uid="{00000000-0006-0000-12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200-00001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3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00000000-0006-0000-1300-000002000000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00000000-0006-0000-13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3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
</t>
        </r>
      </text>
    </comment>
    <comment ref="E33" authorId="0" shapeId="0" xr:uid="{00000000-0006-0000-13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3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3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00000000-0006-0000-13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00000000-0006-0000-13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00000000-0006-0000-13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00000000-0006-0000-13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00000000-0006-0000-13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00000000-0006-0000-13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00000000-0006-0000-13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00000000-0006-0000-13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00000000-0006-0000-13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00000000-0006-0000-13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3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サポのついていない子ども全部(エクセル「サポーター1」が空欄の子ども)</t>
        </r>
      </text>
    </comment>
    <comment ref="J96" authorId="2" shapeId="0" xr:uid="{00000000-0006-0000-13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00000000-0006-0000-13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00000000-0006-0000-13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00000000-0006-0000-13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300-00001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00000000-0006-0000-1400-00000100000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00000000-0006-0000-1400-000002000000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00000000-0006-0000-1400-000003000000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00000000-0006-0000-1400-00000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00000000-0006-0000-1400-00000500000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00000000-0006-0000-1400-00000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0000000-0006-0000-1400-00000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00000000-0006-0000-1400-000008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00000000-0006-0000-1400-000009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00000000-0006-0000-1400-00000A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00000000-0006-0000-1400-00000B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00000000-0006-0000-1400-00000C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00000000-0006-0000-1400-00000D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00000000-0006-0000-1400-00000E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00000000-0006-0000-1400-00000F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00000000-0006-0000-1400-000010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00000000-0006-0000-1400-000011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000000-0006-0000-1400-000012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サポのついていない子ども全部(Children ListのSponsorship statusが"N"の子ども)</t>
        </r>
      </text>
    </comment>
    <comment ref="J96" authorId="2" shapeId="0" xr:uid="{00000000-0006-0000-1400-000013000000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00000000-0006-0000-1400-000014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00000000-0006-0000-1400-000015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00000000-0006-0000-1400-000016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00000000-0006-0000-1400-0000170000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BEF86D3D-E931-468C-8634-BB88D2CD3F60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04A0747C-ABE9-4002-A947-99BD345A1D2B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D19FA93C-F4D3-4638-B58B-9448EE0BAA7A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）－（グッドごはんE92＋一般金額E88）</t>
        </r>
      </text>
    </comment>
    <comment ref="E31" authorId="1" shapeId="0" xr:uid="{51F23A15-F161-4733-A768-57626876354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AAB5C0CF-3AF1-4658-8951-9F8F433A2CDA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8A64E2C6-B0E3-4ECC-B121-D1D20EFC619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6279A144-D2A2-47A9-97F2-810E96AAC62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22404057-76D0-48CA-A222-1B43261CDBF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3C60DE2F-99E3-4F6C-87BA-F6FB035FAB7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76D6F41D-A0E3-4CE9-8BAC-31BA0FD6417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11EEFFF8-329A-402D-8925-3FCBDF8C417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D68DC352-7F07-41F9-A653-883893AF3A1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8ED8F8EA-E609-40F1-BC1B-1791DD06C93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6768C346-D7A1-45A4-81DD-8CE3A28B9AD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F49CF5D5-CC5E-4B35-9C8A-75E8A2D79A7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1F126036-1508-46D4-9FFC-CEEAD8B9810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369B68DA-8412-4AF0-860C-A961782580D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3778A497-D0B2-4A60-9EDD-A056FB1974D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サポのついていない子ども全部(Children ListのSponsorship statusが"N"の子ども)</t>
        </r>
      </text>
    </comment>
    <comment ref="J96" authorId="2" shapeId="0" xr:uid="{297C31FF-287B-49F3-8C96-730F8718C0EB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A2951F5E-701F-4FB4-9316-FF2C39A4A6C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9DC23EE5-1B1D-45BD-A7E3-362EBB6360A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0A90B274-203B-4966-B371-B9F46D29AD1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A19DE1C9-64C1-49DC-9EE7-AAB343E2CAF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DDACC5EA-7907-428B-A683-4709F88A6681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2AA99A5C-0F8C-4AF6-B3B6-4403BAD44220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CE7B3A03-C017-4526-9F99-CD87DBF574E7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3B9DD453-CC57-4224-BC9D-0FC6C9A7F05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CB679F36-4FFE-4B23-A26B-1C38E70D1AF1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FAE8A5EB-3981-43F7-B3C6-5B51801383F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999EB899-8583-4C35-8DD6-D3674851C5F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2A937763-6CCA-47D2-A111-D183FCC4730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A7C0C740-D239-4319-A868-A854B79EF64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C9642AC1-E12F-407F-AF27-E504C2732EB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D1B0037A-0A95-4E07-9D86-447384905E4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333A604C-A7FD-4A08-9E27-7F24462D8BE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369EAFC6-AA79-4537-8A40-B23881CA383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4F71BE80-E29C-4DFE-B19A-F292FF63B94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BE72F1C2-AEF8-421A-A20C-391B5CF3CCE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0B5BC078-E7F6-4749-86B0-4F0FF6A1F9E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C33B7AAC-4D5F-4C07-AFA7-AD9A0611770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D9E4FA17-9C22-45F3-BD84-83CCD8DC15A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
(Children ListのSponsorship statusが"N"の子ども数と一致)</t>
        </r>
      </text>
    </comment>
    <comment ref="J96" authorId="2" shapeId="0" xr:uid="{C806D81C-2978-4DB2-B22B-BC591F048F6E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59CD4477-2FDB-47A6-B0CC-E6D0C1FC165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1AC75BC0-3286-4D2F-8FE6-86DC7F61415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626A9770-8FF7-4E19-877F-96119419E31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489396D2-947F-426C-8C18-86053E27B86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B0B58AEA-6B94-48B6-8973-52EDCAD8912B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439D619E-C4A0-42EA-943F-4AE17C7C62D9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EE59BF14-C850-40E8-A170-6BA797BE8099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985CEAE3-236F-495E-8849-AA395F6E138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E763460E-4F1C-478D-908E-D9F1BBB7D149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F5B03409-6C22-4B0A-ABF0-38242CC2EB0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D1869192-4ED1-4740-AE9E-467C62688E0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F87AC335-B43F-473B-8B29-8C67296C70C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526CEB79-8BE2-4DCD-A0B6-8C8B8D65BA0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BA2F8DFB-472F-487C-8E52-1B4CDDDE87B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97A21A8B-8EBF-4D66-871A-4126CDFD530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A2A1DA37-6A2D-4633-96E9-56675C44176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FF33CD98-FAA5-454E-AE18-06D8CBCA903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287C214A-594B-49DF-8D01-3A667934D33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0FA2CA9E-4679-44F0-9D24-72312B6269E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BF081B8-0DC0-4D7E-A7E3-1783719778B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F84FB361-A1B6-4B9F-8E5E-1167BF2648F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E29ABB25-EA6E-4D6A-82A4-2AAD0FD41CF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DFC356C5-D5BE-4850-9C0D-C34BF7EC96B2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1D5350E7-F456-4348-AE6B-DE25D7BCAEA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ADF8641F-7AA2-43AE-88DD-D5F8887D671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C140" authorId="1" shapeId="0" xr:uid="{7A76DD10-91A4-421D-90FA-9306E2DAD49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13305336-A421-47E9-9AAC-E55773E2D82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907AB82D-F5B8-4B11-9589-B671DDBE8651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9A58C5F6-2948-4374-95F4-83059E96476B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AFFB1772-F9A7-4596-992E-5BA0C994CEAE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5959AF40-694B-4941-9060-942220DA4C2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3645D928-CDF1-47FE-BDF0-449EDD48DD5E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3B05FB72-8EFB-4A20-B4E2-47F76463487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5C7C2045-4D93-4C45-B969-A927B4723A4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17D4D39F-EC59-457F-BEEE-85452C0B3BF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F3D90699-A011-48AE-9930-4348BF3ED98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45A8C1C6-7589-491A-B5A4-28C90EAD8CC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78064DCF-BCDD-436B-BE66-726F5171E39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609E4A14-D215-4302-A907-40A2A8BBBA6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90BC3544-2F37-427B-BA7F-4C02F1967E2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023688D7-DE15-4C14-9A6D-56F7B055EEC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9BEB039E-16EF-4DA2-999E-869A7591ABD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DC3704EA-06E6-4846-8FA2-906EBC6ACA3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FB73A200-5E68-43BF-A29E-0B407365C6B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6A6546E8-852D-42E4-B7B7-6D5BDEFB43E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6853202C-4C52-42E2-BA27-8FEB1261C514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FD5764A6-8821-400B-BBF7-7C146082BAF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6FAA1FDF-E387-4763-B7BE-5B606E27961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先月入金月の参加者+企業数</t>
        </r>
      </text>
    </comment>
    <comment ref="C140" authorId="1" shapeId="0" xr:uid="{4FC53DC3-8D75-48AD-9CF2-DFDD514AE13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先月入金分</t>
        </r>
      </text>
    </comment>
    <comment ref="I140" authorId="1" shapeId="0" xr:uid="{581C13A5-CFD5-439D-BA18-92414B94D28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</authors>
  <commentList>
    <comment ref="E23" authorId="0" shapeId="0" xr:uid="{D8D376BF-E0C1-447B-AB7F-87D767B27E48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1DFB46A3-137E-43D9-9509-AB319A2893D8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8FD459BB-630A-4E93-AA77-EF9790298007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FCBADB42-03F7-45C9-A314-7DE81E2A167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B2CAD93B-A0F5-4E9F-8F7B-B66560AACB42}">
      <text>
        <r>
          <rPr>
            <sz val="10"/>
            <color rgb="FF000000"/>
            <rFont val="ＭＳ Ｐゴシック"/>
            <family val="3"/>
            <charset val="128"/>
          </rPr>
          <t>一般金額</t>
        </r>
        <r>
          <rPr>
            <sz val="10"/>
            <color rgb="FF000000"/>
            <rFont val="Tahoma"/>
            <family val="2"/>
          </rPr>
          <t>E88</t>
        </r>
      </text>
    </comment>
    <comment ref="D38" authorId="1" shapeId="0" xr:uid="{3AB0EC07-8A00-4460-BDD6-2DA51A5523F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263DEF5B-24F5-4509-A42B-B602F9912B8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07147A8A-5A51-4E10-9D0A-C3DE2068E56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C606EBEC-0452-4945-A3A4-1B0D6B7D0D7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0166946F-D7D9-49F7-ACB9-D7E5B97735F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FE9EDBDE-0469-43AB-8DA6-ECDC5E94562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29C6DC9F-0C4A-4AF6-9F3B-553B28A6DB0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CE29BC67-EB5B-4358-904E-CA8127FB2AB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5CC0F7DD-AF6D-4683-9FCF-B47FD3118EB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AA9E8131-F939-4A4D-A6EF-C4EE6C17205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85923FB5-C2C8-4EBF-9FE8-72C5B9FC2EB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078AA941-A104-4BE1-A448-004A3B68ECC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00DE7FD7-02A1-4A1B-A228-FE27C78EB51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FCCE0BE9-4109-4CA6-AF5C-FA2AE5C8C7B2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59DE3292-F8B2-4A95-B5CA-FA8986C697D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7322CEEC-9091-4969-83D0-5AF50D6380B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C140" authorId="1" shapeId="0" xr:uid="{66EC8497-0EB4-4CBC-BE7C-94D89CDC37C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CF8E045D-5E51-4466-A3EF-413C6CE1383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6B70B34C-833C-4B63-BA45-887CFAF91EC3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F5016FB0-3D18-47C1-8E9D-8C53ED209907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5A795109-87BF-4E03-A228-3D8CC368B649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89647413-3DEB-4B1E-95ED-E3A0062DF2C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77B476B0-9A52-482C-8FA1-480DBFD77AB7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2E7AE610-C8EA-43B0-94C4-65572F7A1AD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40D64AE6-5E3B-4365-BF8F-9FF1DB038AF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BBAA25DA-95E6-4685-BB9F-26FBA007594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49B23CE8-5C5A-45B6-A03B-1FB397C51E9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494B62D0-3331-4E71-B399-9F6FFE8CD89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F77F1B32-AD38-4721-98D4-E46518497A4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4681F504-5640-4985-804F-B2521D0BD8E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805FBC05-4780-401D-A161-BF6AFF84F9F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996F3949-7524-4C3B-AE13-43316EDAAE9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A9BB6FD3-362A-4B8B-A155-D7D1E73E780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875AE1A-E31A-4F53-AE8F-38DF4D2D5F7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B56F522A-A72D-4C9A-A786-2E1472D94AE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B80C433F-B7AC-400C-9D6C-C911B04DBF6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0276B108-755E-4AAF-ABDD-D904D79B707F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98AF3C2A-F110-417F-AD6E-C49E2011E0A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66D7FD77-C593-4EAF-9B78-43E103A833C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ABA2986B-A32E-4957-BE96-5236B6E05219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6BD171FD-22F1-4ECA-9A72-29336A0CF76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DACBCFBA-17D4-4339-8994-7B11A843552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8CABF3E7-8F56-40F0-99B7-168966CBBFAF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B2C1666A-E77E-47C4-8A6C-B066E2B11C64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6B964D76-45E2-4D7A-B5C2-395928A46F5F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C5ED3E4A-E46F-4095-A513-1E695D669EF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D0894EFB-E9AD-48DC-ADF3-07A01F296AF5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5CBEB466-B6D9-48EE-8316-550B9F93714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D122C3B5-8821-4FC1-A898-CB49C476D6B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8B787227-51DD-463D-AA20-CB298D4531F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DC044C08-FD5E-487A-8AA8-92184C1AFE7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44A1D0C8-6111-4808-92E4-0E58DB5324E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DB591AD4-7F2E-4B35-AC84-F70E923B5AA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A960863D-EF86-4AFB-A596-0430365B6AC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21EB5BA4-0437-40E1-A1D6-7372AF6C9E6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26977497-3BED-4D4B-AF10-69372EB4A99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21A62F95-2B68-4F61-8DC5-5B1D30539D5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6DA5662-FA10-4DE7-953F-844A8D114D7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C01F085E-A9D1-4764-A7A5-F4E23FFCAD0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6BA435E4-A23E-46D3-B77F-E2FC7EC74D3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6C8302E4-10AE-4A8E-8C77-5DDBBC69DB14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49FB660A-3A6D-4C9C-BCB9-C4CE9294267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A9C40CBE-033A-415C-9B08-9606E84C4CA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2278B07C-35BC-456B-83DB-F2B55FBBB3AD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42651F92-4175-4D96-A118-F128597280A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78163BA9-4978-47D3-9E70-4D73315CD7C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7C767893-4F54-45B9-8526-6517365A9104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44883C17-E149-4153-934B-6FE549B1219B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EA7A7501-18D2-48DE-A7F7-5D8D62AB20F8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958EA347-D0BB-4CAD-A320-D9D00F4B85A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111A588B-4853-421E-AE23-45B137D0C26D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421DBBDF-0115-457A-A889-D918031B2A4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095F3685-E207-4839-B80C-326C539ADFEE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AFDAADDE-B5E2-48D5-A117-56B0F5A64B2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11D37137-CB30-45D9-BF27-E1414355899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0ABC75B4-45DB-48C2-A882-55D244A3E41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EA56BDFF-43DC-4429-9078-C6069A1C04C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A3BEDF1D-0E40-4F71-8571-0BC4D3D82EA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AE3D81A5-96D4-47A4-815A-0E90955E699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013F68A6-8D9F-4542-931E-2C4E5BFE67E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C17E265B-ECD8-433D-9C74-D2576BFBD3C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D92E029-D444-4212-979C-D61C3676E0A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3AB2E99A-10F7-4270-8875-A7D9090B16E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B5B1B4C1-CEC9-4DF2-BD51-D65E3EED40F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51732D35-8577-47C6-817A-8AF58F363E5B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6DE0057A-055E-49AB-8783-40AA6701EA0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E1301025-6D42-420B-886B-F22CDEBDD65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532B9E1B-D1DE-4D6F-963E-20FF9504EE43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7FE06AB6-C374-4C9A-A4AA-1EF18EF3537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28A377AA-48FA-489A-9836-C20BEE12974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1CCB5F94-1EE0-433A-896D-552B226242BA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EDBE0FFC-36F8-41B8-BBDF-1827A87C80AD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6649BB4B-6A6B-4E90-A8E4-CA4EB4DB9044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90825365-473A-4D03-84F2-267A8DF3EED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F9016B52-3BED-4DE0-9F4C-ABE94C6D2670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BC54471F-DE94-42B4-A3DC-38F783B10EA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CBE72197-6326-4FF2-AF32-100E970FA08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8BF84675-8050-45F8-9F56-96764D6ADFE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34F7EEAC-BBE7-4E79-ACEE-E586CCC2BB2F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CDCB6503-594E-4BD4-AA1D-3F39D519C05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B22EFE40-F632-459E-A3F2-9B267B9A23E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CF7F32C3-8CA7-430A-B081-0F7512F5C5B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78BF0407-98F6-4F9F-A4C4-20C03DDF1A3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70EFD09D-0ECE-451C-9B4D-D5AB98ADEBDB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A38176D6-2578-4D17-B163-3F8307405AA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37365F41-C2F0-4F84-8AE7-CBB7ADB9915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C535ED90-E029-4E62-AF55-CFD566120F31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769CEE54-B86F-4A2C-BA6E-AA76F815D93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D92" authorId="1" shapeId="0" xr:uid="{CF659EB5-A215-49DD-A79F-FD25DFA9B5B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1人合わないためSFに合わせました
</t>
        </r>
      </text>
    </comment>
    <comment ref="J96" authorId="2" shapeId="0" xr:uid="{B73ABB42-65B9-46E4-BAC0-84EBFCC33EF7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C8994ACA-519A-420F-8588-7DC7E4DE531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3016519B-C2C9-4ED9-8768-CB930B85FEC0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09CBA9AE-344C-4F30-B2ED-94F411E422C9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1B940FBC-E96F-4BBF-B479-917B3240ADB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CE8A580F-DDF6-4AD5-B342-866181C5DEC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GiminKim</author>
    <author>細川もなみ</author>
    <author>GNI-양소영</author>
    <author>Monami　Hosokawa</author>
  </authors>
  <commentList>
    <comment ref="E23" authorId="0" shapeId="0" xr:uid="{C6FC0FB8-C3BA-47C2-9254-B8CDCC4DA23C}">
      <text>
        <r>
          <rPr>
            <sz val="9"/>
            <color indexed="81"/>
            <rFont val="ＭＳ Ｐゴシック"/>
            <family val="3"/>
            <charset val="128"/>
          </rPr>
          <t>ひとりコース金額合計；H106÷115</t>
        </r>
      </text>
    </comment>
    <comment ref="E25" authorId="0" shapeId="0" xr:uid="{FDBB4266-5551-4079-BAFB-73F02F23E9E4}">
      <text>
        <r>
          <rPr>
            <sz val="9"/>
            <color indexed="81"/>
            <rFont val="ＭＳ Ｐゴシック"/>
            <family val="3"/>
            <charset val="128"/>
          </rPr>
          <t>(H113+H115+H117)÷115</t>
        </r>
      </text>
    </comment>
    <comment ref="E30" authorId="0" shapeId="0" xr:uid="{219D38A6-E069-4AF3-AE7C-415394FDF34A}">
      <text>
        <r>
          <rPr>
            <sz val="9"/>
            <color indexed="81"/>
            <rFont val="ＭＳ Ｐゴシック"/>
            <family val="3"/>
            <charset val="128"/>
          </rPr>
          <t>一般金額</t>
        </r>
        <r>
          <rPr>
            <sz val="9"/>
            <color indexed="81"/>
            <rFont val="Tahoma"/>
            <family val="2"/>
          </rPr>
          <t>(E111</t>
        </r>
        <r>
          <rPr>
            <sz val="9"/>
            <color indexed="81"/>
            <rFont val="ＭＳ Ｐゴシック"/>
            <family val="3"/>
            <charset val="128"/>
          </rPr>
          <t>）－（グッドごはんE92＋一般金額E88+国内緊急支援）</t>
        </r>
      </text>
    </comment>
    <comment ref="E31" authorId="1" shapeId="0" xr:uid="{8C694F47-96D3-4150-BB3F-86CB61758DC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グッドごはんE92+国内緊急支援
</t>
        </r>
      </text>
    </comment>
    <comment ref="E33" authorId="0" shapeId="0" xr:uid="{A9849660-DD25-48BF-BCF8-CD46EF9A9227}">
      <text>
        <r>
          <rPr>
            <sz val="10"/>
            <color indexed="81"/>
            <rFont val="ＭＳ Ｐゴシック"/>
            <family val="3"/>
            <charset val="128"/>
          </rPr>
          <t>一般金額</t>
        </r>
        <r>
          <rPr>
            <sz val="10"/>
            <color indexed="81"/>
            <rFont val="Tahoma"/>
            <family val="2"/>
          </rPr>
          <t>E88</t>
        </r>
      </text>
    </comment>
    <comment ref="D38" authorId="1" shapeId="0" xr:uid="{C8A573F4-A078-42FB-A2D5-E7EC9A90552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Corporations &amp; Foundations+Other Organization</t>
        </r>
      </text>
    </comment>
    <comment ref="E53" authorId="1" shapeId="0" xr:uid="{F0A28386-1878-4384-91AC-FDE4372D2EBA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E105
</t>
        </r>
      </text>
    </comment>
    <comment ref="E54" authorId="1" shapeId="0" xr:uid="{AE588E59-E484-4B5A-A5C8-F362751625D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H105-E105</t>
        </r>
      </text>
    </comment>
    <comment ref="E56" authorId="1" shapeId="0" xr:uid="{CB59464A-181F-4CA5-94EE-7DBCC180C4C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E112+E114+E116</t>
        </r>
      </text>
    </comment>
    <comment ref="E57" authorId="1" shapeId="0" xr:uid="{83FD1E0F-CF21-4A64-A3D0-3926440CE72C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>(H112+E114+E116)-(E112+E114+E116)</t>
        </r>
      </text>
    </comment>
    <comment ref="E71" authorId="1" shapeId="0" xr:uid="{DADC28E8-8005-4FF0-9D11-BC7640673FB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マンスリーE106÷115</t>
        </r>
      </text>
    </comment>
    <comment ref="E74" authorId="1" shapeId="0" xr:uid="{9AD5C53A-A390-480F-9D4E-7900591EC183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マンスリー(E113+E115+E117)÷115</t>
        </r>
      </text>
    </comment>
    <comment ref="B87" authorId="1" shapeId="0" xr:uid="{06915694-C69D-4C77-A7C7-AE2B4C2EF25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先月のサポのついている子ども数=H105</t>
        </r>
      </text>
    </comment>
    <comment ref="B88" authorId="1" shapeId="0" xr:uid="{3F15091E-2E4B-4D34-9369-BA7CE7D0FC76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先月サポが付いた子ども数=E105</t>
        </r>
      </text>
    </comment>
    <comment ref="B89" authorId="1" shapeId="0" xr:uid="{7A6FF1B5-3E88-41BD-B5A3-850DDCD126F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DOした子ども数=F107</t>
        </r>
      </text>
    </comment>
    <comment ref="B90" authorId="1" shapeId="0" xr:uid="{94295CEA-7116-4D10-9B73-5681484F1625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先月サポが退会した子ども＝F105+新CIFの数E107
</t>
        </r>
      </text>
    </comment>
    <comment ref="B91" authorId="1" shapeId="0" xr:uid="{5ADE72B6-321A-431B-8DF5-C4D49CEB9584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先月シートのD92をコピペ</t>
        </r>
      </text>
    </comment>
    <comment ref="B92" authorId="1" shapeId="0" xr:uid="{100292A0-FCB0-4765-9713-F0BC6D3D398D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サポのついていない子ども全部
D91+D90-D88(-D89)
(Children ListのSponsorship statusが"N"の子ども数と一致)</t>
        </r>
      </text>
    </comment>
    <comment ref="J96" authorId="2" shapeId="0" xr:uid="{09A1D828-0442-458F-B10F-39E51078859F}">
      <text>
        <r>
          <rPr>
            <b/>
            <sz val="9"/>
            <color indexed="81"/>
            <rFont val="Tahoma"/>
            <family val="2"/>
          </rPr>
          <t>GNI-GPC:</t>
        </r>
        <r>
          <rPr>
            <sz val="9"/>
            <color indexed="81"/>
            <rFont val="Tahoma"/>
            <family val="2"/>
          </rPr>
          <t xml:space="preserve">
If it is necessary to explain the achievements more in detail, please use the remarks.
</t>
        </r>
      </text>
    </comment>
    <comment ref="E127" authorId="1" shapeId="0" xr:uid="{DC32CBFC-1374-447F-876C-C1119D2C9E39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D87と一致することを確認</t>
        </r>
      </text>
    </comment>
    <comment ref="C135" authorId="1" shapeId="0" xr:uid="{4E7A567C-F80F-478C-80DB-1397203FA1B7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先月の参加者+企業数</t>
        </r>
      </text>
    </comment>
    <comment ref="G135" authorId="3" shapeId="0" xr:uid="{1624454D-8097-4114-A1CC-A9A64C27A91E}">
      <text>
        <r>
          <rPr>
            <b/>
            <sz val="9"/>
            <color indexed="81"/>
            <rFont val="MS P ゴシック"/>
            <family val="3"/>
            <charset val="128"/>
          </rPr>
          <t>Monami　Hosokawa:</t>
        </r>
        <r>
          <rPr>
            <sz val="9"/>
            <color indexed="81"/>
            <rFont val="MS P ゴシック"/>
            <family val="3"/>
            <charset val="128"/>
          </rPr>
          <t xml:space="preserve">
前月中旬報告分</t>
        </r>
      </text>
    </comment>
    <comment ref="C140" authorId="1" shapeId="0" xr:uid="{E4C776B0-847B-44A2-AB80-2786384900F2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先月寄付分</t>
        </r>
      </text>
    </comment>
    <comment ref="I140" authorId="1" shapeId="0" xr:uid="{6DCEBE17-E162-4C22-A144-27EF34EDFA58}">
      <text>
        <r>
          <rPr>
            <b/>
            <sz val="9"/>
            <color indexed="81"/>
            <rFont val="MS P ゴシック"/>
            <family val="3"/>
            <charset val="128"/>
          </rPr>
          <t>細川もなみ:</t>
        </r>
        <r>
          <rPr>
            <sz val="9"/>
            <color indexed="81"/>
            <rFont val="MS P ゴシック"/>
            <family val="3"/>
            <charset val="128"/>
          </rPr>
          <t xml:space="preserve">
武鑓さんにデータもらう</t>
        </r>
      </text>
    </comment>
  </commentList>
</comments>
</file>

<file path=xl/sharedStrings.xml><?xml version="1.0" encoding="utf-8"?>
<sst xmlns="http://schemas.openxmlformats.org/spreadsheetml/2006/main" count="8235" uniqueCount="446">
  <si>
    <t xml:space="preserve">Monthly Report </t>
    <phoneticPr fontId="9" type="noConversion"/>
  </si>
  <si>
    <t>Good Neighbors</t>
    <phoneticPr fontId="9" type="noConversion"/>
  </si>
  <si>
    <t>JAPAN</t>
  </si>
  <si>
    <t xml:space="preserve">Authorized by </t>
    <phoneticPr fontId="9" type="noConversion"/>
  </si>
  <si>
    <t>Satoshi Koizumi</t>
    <phoneticPr fontId="9" type="noConversion"/>
  </si>
  <si>
    <t>Prepared by</t>
    <phoneticPr fontId="9" type="noConversion"/>
  </si>
  <si>
    <t xml:space="preserve">Date of Submission </t>
    <phoneticPr fontId="9" type="noConversion"/>
  </si>
  <si>
    <t xml:space="preserve">1. HR / Organization </t>
    <phoneticPr fontId="9" type="noConversion"/>
  </si>
  <si>
    <t>Category</t>
  </si>
  <si>
    <t>Current 
Condition</t>
    <phoneticPr fontId="9" type="noConversion"/>
  </si>
  <si>
    <t>Remarks</t>
    <phoneticPr fontId="9" type="noConversion"/>
  </si>
  <si>
    <t>Tokyo Office</t>
    <phoneticPr fontId="9" type="noConversion"/>
  </si>
  <si>
    <t>Dispatched</t>
    <phoneticPr fontId="9" type="noConversion"/>
  </si>
  <si>
    <t>Intern</t>
  </si>
  <si>
    <t>Total (Person)</t>
  </si>
  <si>
    <t>-</t>
    <phoneticPr fontId="9" type="noConversion"/>
  </si>
  <si>
    <t xml:space="preserve">2. Fundraising Activities &amp; Achievement </t>
    <phoneticPr fontId="9" type="noConversion"/>
  </si>
  <si>
    <t>USD1=JPY115</t>
    <phoneticPr fontId="9" type="noConversion"/>
  </si>
  <si>
    <t xml:space="preserve">Main Category </t>
    <phoneticPr fontId="9" type="noConversion"/>
  </si>
  <si>
    <t xml:space="preserve">Sub-Category </t>
    <phoneticPr fontId="9" type="noConversion"/>
  </si>
  <si>
    <t xml:space="preserve">Monthly Achievement </t>
    <phoneticPr fontId="9" type="noConversion"/>
  </si>
  <si>
    <t>Accumulated</t>
    <phoneticPr fontId="9" type="noConversion"/>
  </si>
  <si>
    <t xml:space="preserve">Describe Main Activities </t>
    <phoneticPr fontId="9" type="noConversion"/>
  </si>
  <si>
    <t>Goal(POA)</t>
    <phoneticPr fontId="9" type="noConversion"/>
  </si>
  <si>
    <t>Achievement</t>
    <phoneticPr fontId="9" type="noConversion"/>
  </si>
  <si>
    <t>%</t>
    <phoneticPr fontId="9" type="noConversion"/>
  </si>
  <si>
    <t>Regular Sponsorhip / Donor Development</t>
    <phoneticPr fontId="9" type="noConversion"/>
  </si>
  <si>
    <t xml:space="preserve">Sponsorship </t>
    <phoneticPr fontId="9" type="noConversion"/>
  </si>
  <si>
    <t>Child Sponsorship</t>
    <phoneticPr fontId="9" type="noConversion"/>
  </si>
  <si>
    <t>Overseas</t>
    <phoneticPr fontId="9" type="noConversion"/>
  </si>
  <si>
    <t>Sub-total</t>
    <phoneticPr fontId="9" type="noConversion"/>
  </si>
  <si>
    <t xml:space="preserve">Project Sponsorship </t>
    <phoneticPr fontId="9" type="noConversion"/>
  </si>
  <si>
    <t>Domestic</t>
    <phoneticPr fontId="9" type="noConversion"/>
  </si>
  <si>
    <t xml:space="preserve">Fund/Resource Development </t>
    <phoneticPr fontId="9" type="noConversion"/>
  </si>
  <si>
    <t>Donation
(One-time)</t>
    <phoneticPr fontId="9" type="noConversion"/>
  </si>
  <si>
    <t>Designated
/Special</t>
    <phoneticPr fontId="9" type="noConversion"/>
  </si>
  <si>
    <t>Non-Designated
/General</t>
    <phoneticPr fontId="9" type="noConversion"/>
  </si>
  <si>
    <t>Grant</t>
    <phoneticPr fontId="9" type="noConversion"/>
  </si>
  <si>
    <t>Government</t>
    <phoneticPr fontId="9" type="noConversion"/>
  </si>
  <si>
    <t>JPF</t>
    <phoneticPr fontId="9" type="noConversion"/>
  </si>
  <si>
    <t>(Name)</t>
    <phoneticPr fontId="9" type="noConversion"/>
  </si>
  <si>
    <t>Foundation
&amp;Other Organization</t>
    <phoneticPr fontId="9" type="noConversion"/>
  </si>
  <si>
    <t>Gift-in-Kind</t>
    <phoneticPr fontId="9" type="noConversion"/>
  </si>
  <si>
    <t>Others</t>
    <phoneticPr fontId="9" type="noConversion"/>
  </si>
  <si>
    <t>=&gt; make a comment regarding income "Other"</t>
    <phoneticPr fontId="9" type="noConversion"/>
  </si>
  <si>
    <t>GNI Grant for Fundraising</t>
    <phoneticPr fontId="9" type="noConversion"/>
  </si>
  <si>
    <t>Total</t>
    <phoneticPr fontId="9" type="noConversion"/>
  </si>
  <si>
    <t>Total (Excluding Gift-in-Kind)</t>
    <phoneticPr fontId="9" type="noConversion"/>
  </si>
  <si>
    <t>Total (Excluding Gift-in-Kind, GNI Grant)</t>
    <phoneticPr fontId="9" type="noConversion"/>
  </si>
  <si>
    <t xml:space="preserve">3. Details of Membership </t>
    <phoneticPr fontId="9" type="noConversion"/>
  </si>
  <si>
    <t>Category</t>
    <phoneticPr fontId="9" type="noConversion"/>
  </si>
  <si>
    <t xml:space="preserve">Child Sponsorship No. </t>
    <phoneticPr fontId="9" type="noConversion"/>
  </si>
  <si>
    <t>of New Sponsors</t>
    <phoneticPr fontId="9" type="noConversion"/>
  </si>
  <si>
    <t>of Existing Sponsors</t>
    <phoneticPr fontId="9" type="noConversion"/>
  </si>
  <si>
    <t>Sub-Total</t>
    <phoneticPr fontId="9" type="noConversion"/>
  </si>
  <si>
    <t xml:space="preserve">Project 
Sponsorship No. </t>
    <phoneticPr fontId="9" type="noConversion"/>
  </si>
  <si>
    <t>Total (Person)</t>
    <phoneticPr fontId="9" type="noConversion"/>
  </si>
  <si>
    <t xml:space="preserve">Child 
Sponsorship Case
(1Case=$10) </t>
    <phoneticPr fontId="9" type="noConversion"/>
  </si>
  <si>
    <t xml:space="preserve">Project 
Sponsorship Case
(1Case=$10) </t>
    <phoneticPr fontId="9" type="noConversion"/>
  </si>
  <si>
    <t>Total (Case)</t>
    <phoneticPr fontId="9" type="noConversion"/>
  </si>
  <si>
    <t>Child 
Sponsorship Due($)</t>
    <phoneticPr fontId="9" type="noConversion"/>
  </si>
  <si>
    <t>Project 
Sponsorship Due($)</t>
    <phoneticPr fontId="9" type="noConversion"/>
  </si>
  <si>
    <t>Total ($)</t>
    <phoneticPr fontId="9" type="noConversion"/>
  </si>
  <si>
    <t xml:space="preserve">**The total should be same with the sub-total of sponsorship in part 2. </t>
    <phoneticPr fontId="9" type="noConversion"/>
  </si>
  <si>
    <t>4. Details of Sponsored Children</t>
    <phoneticPr fontId="9" type="noConversion"/>
  </si>
  <si>
    <t xml:space="preserve">Region </t>
    <phoneticPr fontId="9" type="noConversion"/>
  </si>
  <si>
    <t xml:space="preserve">Country </t>
    <phoneticPr fontId="9" type="noConversion"/>
  </si>
  <si>
    <t>Asia</t>
    <phoneticPr fontId="9" type="noConversion"/>
  </si>
  <si>
    <t>Indonesia</t>
    <phoneticPr fontId="9" type="noConversion"/>
  </si>
  <si>
    <t>No. of New Sponsored Children</t>
    <phoneticPr fontId="9" type="noConversion"/>
  </si>
  <si>
    <t xml:space="preserve">No. of Exsting Sponosred Children </t>
    <phoneticPr fontId="9" type="noConversion"/>
  </si>
  <si>
    <t>Sub Total</t>
    <phoneticPr fontId="9" type="noConversion"/>
  </si>
  <si>
    <t>India</t>
    <phoneticPr fontId="9" type="noConversion"/>
  </si>
  <si>
    <t>Bangladesh</t>
    <phoneticPr fontId="9" type="noConversion"/>
  </si>
  <si>
    <t>Nepal</t>
    <phoneticPr fontId="9" type="noConversion"/>
  </si>
  <si>
    <t>Africa</t>
    <phoneticPr fontId="9" type="noConversion"/>
  </si>
  <si>
    <t>Ethiopia</t>
    <phoneticPr fontId="9" type="noConversion"/>
  </si>
  <si>
    <t>Chad</t>
    <phoneticPr fontId="9" type="noConversion"/>
  </si>
  <si>
    <t>5. Major fundraising activities and campaign</t>
    <phoneticPr fontId="9" type="noConversion"/>
  </si>
  <si>
    <t>Name of event</t>
    <phoneticPr fontId="9" type="noConversion"/>
  </si>
  <si>
    <t>Recyfuku</t>
    <phoneticPr fontId="20"/>
  </si>
  <si>
    <t>GOODBOOKS</t>
    <phoneticPr fontId="9" type="noConversion"/>
  </si>
  <si>
    <t>Period</t>
    <phoneticPr fontId="9" type="noConversion"/>
  </si>
  <si>
    <t>through out the year</t>
    <phoneticPr fontId="9" type="noConversion"/>
  </si>
  <si>
    <t>through out the year</t>
    <phoneticPr fontId="20"/>
  </si>
  <si>
    <t>Method</t>
    <phoneticPr fontId="9" type="noConversion"/>
  </si>
  <si>
    <t>online and offline</t>
    <phoneticPr fontId="9" type="noConversion"/>
  </si>
  <si>
    <t>online (webpage, SNS)</t>
    <phoneticPr fontId="9" type="noConversion"/>
  </si>
  <si>
    <t>Cooperating organizations</t>
    <phoneticPr fontId="9" type="noConversion"/>
  </si>
  <si>
    <t>Vector</t>
    <phoneticPr fontId="9" type="noConversion"/>
  </si>
  <si>
    <t>Bookoff online Corp,</t>
    <phoneticPr fontId="9" type="noConversion"/>
  </si>
  <si>
    <t>No. of participant</t>
    <phoneticPr fontId="9" type="noConversion"/>
  </si>
  <si>
    <t>No. of participating organization</t>
    <phoneticPr fontId="9" type="noConversion"/>
  </si>
  <si>
    <t>NA</t>
    <phoneticPr fontId="20"/>
  </si>
  <si>
    <t>NA</t>
    <phoneticPr fontId="9" type="noConversion"/>
  </si>
  <si>
    <r>
      <t>Fundraising</t>
    </r>
    <r>
      <rPr>
        <b/>
        <sz val="8"/>
        <color theme="1"/>
        <rFont val="Calibri"/>
        <family val="3"/>
        <charset val="129"/>
        <scheme val="minor"/>
      </rPr>
      <t xml:space="preserve">
($Goal/$Achievement)</t>
    </r>
    <phoneticPr fontId="9" type="noConversion"/>
  </si>
  <si>
    <t>Child sponsorship</t>
    <phoneticPr fontId="9" type="noConversion"/>
  </si>
  <si>
    <t>Project support</t>
    <phoneticPr fontId="9" type="noConversion"/>
  </si>
  <si>
    <t>One time donation</t>
    <phoneticPr fontId="9" type="noConversion"/>
  </si>
  <si>
    <t>Gift in kind</t>
    <phoneticPr fontId="9" type="noConversion"/>
  </si>
  <si>
    <t>6. Progress of this month and plan for next month</t>
  </si>
  <si>
    <t xml:space="preserve">Category </t>
    <phoneticPr fontId="9" type="noConversion"/>
  </si>
  <si>
    <t>Feb</t>
    <phoneticPr fontId="9" type="noConversion"/>
  </si>
  <si>
    <t>Business Trip</t>
    <phoneticPr fontId="9" type="noConversion"/>
  </si>
  <si>
    <t xml:space="preserve">Network &amp; Partnership </t>
    <phoneticPr fontId="9" type="noConversion"/>
  </si>
  <si>
    <t xml:space="preserve">Fundraising </t>
    <phoneticPr fontId="9" type="noConversion"/>
  </si>
  <si>
    <t xml:space="preserve">Others </t>
    <phoneticPr fontId="9" type="noConversion"/>
  </si>
  <si>
    <t xml:space="preserve"> 1) Budget </t>
    <phoneticPr fontId="9" type="noConversion"/>
  </si>
  <si>
    <t xml:space="preserve">GNI Grant </t>
    <phoneticPr fontId="9" type="noConversion"/>
  </si>
  <si>
    <t xml:space="preserve">Carry over from last month </t>
    <phoneticPr fontId="9" type="noConversion"/>
  </si>
  <si>
    <t>Raised fund</t>
    <phoneticPr fontId="9" type="noConversion"/>
  </si>
  <si>
    <t>Expenditure</t>
    <phoneticPr fontId="9" type="noConversion"/>
  </si>
  <si>
    <t>Details of Expenditure</t>
    <phoneticPr fontId="9" type="noConversion"/>
  </si>
  <si>
    <t>Balance</t>
    <phoneticPr fontId="9" type="noConversion"/>
  </si>
  <si>
    <t>salary, rent, office supply, etc</t>
    <phoneticPr fontId="9" type="noConversion"/>
  </si>
  <si>
    <t xml:space="preserve"> 2) Request &amp; Plan </t>
    <phoneticPr fontId="9" type="noConversion"/>
  </si>
  <si>
    <t xml:space="preserve">Grant Request </t>
    <phoneticPr fontId="9" type="noConversion"/>
  </si>
  <si>
    <t xml:space="preserve">Expenditure Plan </t>
    <phoneticPr fontId="9" type="noConversion"/>
  </si>
  <si>
    <t>8. Others_Webpage Update</t>
    <phoneticPr fontId="9" type="noConversion"/>
  </si>
  <si>
    <t>#</t>
    <phoneticPr fontId="9" type="noConversion"/>
  </si>
  <si>
    <t>Webpage</t>
    <phoneticPr fontId="9" type="noConversion"/>
  </si>
  <si>
    <t>Times of Webpage Update (Related to Fundraising)</t>
    <phoneticPr fontId="9" type="noConversion"/>
  </si>
  <si>
    <t xml:space="preserve">No. of Visits to Webpage </t>
    <phoneticPr fontId="9" type="noConversion"/>
  </si>
  <si>
    <t>Facebook</t>
    <phoneticPr fontId="9" type="noConversion"/>
  </si>
  <si>
    <t>Times of Facebook Update (Related to Fundraising)</t>
    <phoneticPr fontId="9" type="noConversion"/>
  </si>
  <si>
    <t xml:space="preserve">No. of Facebook followers </t>
    <phoneticPr fontId="9" type="noConversion"/>
  </si>
  <si>
    <t>Twitter</t>
    <phoneticPr fontId="9" type="noConversion"/>
  </si>
  <si>
    <t>No. of Twitter followers</t>
    <phoneticPr fontId="9" type="noConversion"/>
  </si>
  <si>
    <t>AD</t>
    <phoneticPr fontId="9" type="noConversion"/>
  </si>
  <si>
    <t>Scale of Advertising (No.of people that saw or participated your publications)</t>
  </si>
  <si>
    <t>Yokomichi</t>
    <phoneticPr fontId="9" type="noConversion"/>
  </si>
  <si>
    <t>Feb</t>
  </si>
  <si>
    <t xml:space="preserve">Sub-Category </t>
    <phoneticPr fontId="9" type="noConversion"/>
  </si>
  <si>
    <t>Mar</t>
    <phoneticPr fontId="9" type="noConversion"/>
  </si>
  <si>
    <t xml:space="preserve">7. Expenditure &amp; Request of GNI Grant </t>
    <phoneticPr fontId="9" type="noConversion"/>
  </si>
  <si>
    <t>.</t>
    <phoneticPr fontId="9" type="noConversion"/>
  </si>
  <si>
    <t>Otakara Aid</t>
    <phoneticPr fontId="9" type="noConversion"/>
  </si>
  <si>
    <t>Apr</t>
    <phoneticPr fontId="9" type="noConversion"/>
  </si>
  <si>
    <t>TM communication</t>
    <phoneticPr fontId="9" type="noConversion"/>
  </si>
  <si>
    <t>March</t>
  </si>
  <si>
    <t>Jan</t>
  </si>
  <si>
    <t>April</t>
  </si>
  <si>
    <t>May</t>
  </si>
  <si>
    <t>June</t>
  </si>
  <si>
    <t>July</t>
  </si>
  <si>
    <t>Aug</t>
  </si>
  <si>
    <t>Oct</t>
    <phoneticPr fontId="20"/>
  </si>
  <si>
    <t>Good Gohan</t>
    <phoneticPr fontId="9" type="noConversion"/>
  </si>
  <si>
    <t>second harvest japan</t>
    <phoneticPr fontId="9" type="noConversion"/>
  </si>
  <si>
    <t>Nov</t>
    <phoneticPr fontId="9" type="noConversion"/>
  </si>
  <si>
    <t>Dec</t>
    <phoneticPr fontId="9" type="noConversion"/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</si>
  <si>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Otakara-aid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Facebook 1-step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>Good Gohan</t>
    </r>
    <phoneticPr fontId="20"/>
  </si>
  <si>
    <t>Nov</t>
  </si>
  <si>
    <t>Dec</t>
  </si>
  <si>
    <t xml:space="preserve">1. HR / Organization </t>
    <phoneticPr fontId="9" type="noConversion"/>
  </si>
  <si>
    <t xml:space="preserve">Main Category </t>
    <phoneticPr fontId="9" type="noConversion"/>
  </si>
  <si>
    <t xml:space="preserve">Sub-Category </t>
    <phoneticPr fontId="9" type="noConversion"/>
  </si>
  <si>
    <t xml:space="preserve">Describe Main Activities </t>
    <phoneticPr fontId="9" type="noConversion"/>
  </si>
  <si>
    <t>Goal(POA)</t>
    <phoneticPr fontId="9" type="noConversion"/>
  </si>
  <si>
    <t>Child Sponsorship</t>
    <phoneticPr fontId="9" type="noConversion"/>
  </si>
  <si>
    <t>Donation
(One-time)</t>
    <phoneticPr fontId="9" type="noConversion"/>
  </si>
  <si>
    <t>Designated
/Special</t>
    <phoneticPr fontId="9" type="noConversion"/>
  </si>
  <si>
    <t>Overseas</t>
    <phoneticPr fontId="9" type="noConversion"/>
  </si>
  <si>
    <t>of Existing Sponsors</t>
    <phoneticPr fontId="9" type="noConversion"/>
  </si>
  <si>
    <t>Indonesia</t>
    <phoneticPr fontId="9" type="noConversion"/>
  </si>
  <si>
    <t>Cambodia</t>
    <phoneticPr fontId="20"/>
  </si>
  <si>
    <t>Sub Total</t>
    <phoneticPr fontId="20"/>
  </si>
  <si>
    <t xml:space="preserve">No. of Exsting Sponosred Children </t>
    <phoneticPr fontId="9" type="noConversion"/>
  </si>
  <si>
    <t>Sub Total</t>
    <phoneticPr fontId="9" type="noConversion"/>
  </si>
  <si>
    <t>Total</t>
    <phoneticPr fontId="9" type="noConversion"/>
  </si>
  <si>
    <t>Good Gohan</t>
    <phoneticPr fontId="9" type="noConversion"/>
  </si>
  <si>
    <t>NA</t>
    <phoneticPr fontId="20"/>
  </si>
  <si>
    <t>Dec</t>
    <phoneticPr fontId="20"/>
  </si>
  <si>
    <t>Jan</t>
    <phoneticPr fontId="9" type="noConversion"/>
  </si>
  <si>
    <t xml:space="preserve">GNI Grant </t>
    <phoneticPr fontId="9" type="noConversion"/>
  </si>
  <si>
    <t>Monami Hosokawa</t>
    <phoneticPr fontId="9" type="noConversion"/>
  </si>
  <si>
    <t>Regular-Full time</t>
    <phoneticPr fontId="20"/>
  </si>
  <si>
    <t>Regular-part time</t>
    <phoneticPr fontId="20"/>
  </si>
  <si>
    <t>Dispatched</t>
    <phoneticPr fontId="9" type="noConversion"/>
  </si>
  <si>
    <t>contract-full time</t>
    <phoneticPr fontId="9" type="noConversion"/>
  </si>
  <si>
    <t>contract-part time</t>
    <phoneticPr fontId="20"/>
  </si>
  <si>
    <t>2018 Goal</t>
    <phoneticPr fontId="9" type="noConversion"/>
  </si>
  <si>
    <t>Koizumi, Yaguchi</t>
    <phoneticPr fontId="9" type="noConversion"/>
  </si>
  <si>
    <t>Iijima, Takeyari</t>
    <phoneticPr fontId="20"/>
  </si>
  <si>
    <t>Hosokawa</t>
    <phoneticPr fontId="9" type="noConversion"/>
  </si>
  <si>
    <t>Feb</t>
    <phoneticPr fontId="20"/>
  </si>
  <si>
    <t>Apr</t>
    <phoneticPr fontId="9" type="noConversion"/>
  </si>
  <si>
    <t xml:space="preserve">Satoshi: Korea </t>
    <phoneticPr fontId="20"/>
  </si>
  <si>
    <t>1) Overall statistics of sponsored children</t>
  </si>
  <si>
    <t>Statistics</t>
  </si>
  <si>
    <t>Cumulative total</t>
  </si>
  <si>
    <t>Remark</t>
  </si>
  <si>
    <t>No.</t>
  </si>
  <si>
    <t>%</t>
  </si>
  <si>
    <t>Sponsored</t>
  </si>
  <si>
    <t>No.of Sponsored children at the beginning of this year</t>
  </si>
  <si>
    <t>Fixed number</t>
  </si>
  <si>
    <t>No.of Sponsored children in this month</t>
  </si>
  <si>
    <t>No.of Newly Sponsored children in this month</t>
  </si>
  <si>
    <t>No. of Drop-out children in this Month</t>
  </si>
  <si>
    <t>Non-sponsored</t>
  </si>
  <si>
    <t>No.of Non-Sponsored children in this month</t>
  </si>
  <si>
    <t>No.of Non-Sponsored children up to previous month</t>
  </si>
  <si>
    <t>Sum of No.of Non-Sponsored Children</t>
  </si>
  <si>
    <t>Feb</t>
    <phoneticPr fontId="20"/>
  </si>
  <si>
    <t>Jan</t>
    <phoneticPr fontId="20"/>
  </si>
  <si>
    <t>Mar</t>
    <phoneticPr fontId="20"/>
  </si>
  <si>
    <t>May</t>
    <phoneticPr fontId="9" type="noConversion"/>
  </si>
  <si>
    <t>Koizumi: USA, Korea
Hosokawa: Korea</t>
    <phoneticPr fontId="20"/>
  </si>
  <si>
    <t>Board MTG
General Assembly</t>
    <phoneticPr fontId="20"/>
  </si>
  <si>
    <t>Total No. of children</t>
    <phoneticPr fontId="20"/>
  </si>
  <si>
    <t>* Please attached Entire children list as of Feberaury 1st this year( Mark sponsorhip status on each child code)</t>
    <phoneticPr fontId="20"/>
  </si>
  <si>
    <t>Ochi</t>
    <phoneticPr fontId="9" type="noConversion"/>
  </si>
  <si>
    <t>Mar.</t>
    <phoneticPr fontId="20"/>
  </si>
  <si>
    <t>Matsumoto</t>
    <phoneticPr fontId="20"/>
  </si>
  <si>
    <t>June</t>
    <phoneticPr fontId="9" type="noConversion"/>
  </si>
  <si>
    <t>May</t>
    <phoneticPr fontId="20"/>
  </si>
  <si>
    <t>July</t>
    <phoneticPr fontId="9" type="noConversion"/>
  </si>
  <si>
    <t>Satoshi: Nepal</t>
    <phoneticPr fontId="20"/>
  </si>
  <si>
    <t>Manami: Bangkok, IFC-Asia
Satoshi: USA, Games for Change</t>
    <phoneticPr fontId="20"/>
  </si>
  <si>
    <t>Matsumoto,Justice</t>
    <phoneticPr fontId="20"/>
  </si>
  <si>
    <t>June</t>
    <phoneticPr fontId="20"/>
  </si>
  <si>
    <t>Aug</t>
    <phoneticPr fontId="9" type="noConversion"/>
  </si>
  <si>
    <t>Manami: Bangkok, IFC-Asia
Satoshi: USA, Games for Change</t>
    <phoneticPr fontId="20"/>
  </si>
  <si>
    <t>Satoshi: western Japana: Flood ER</t>
    <phoneticPr fontId="20"/>
  </si>
  <si>
    <t>West-Japan flood</t>
    <phoneticPr fontId="20"/>
  </si>
  <si>
    <t>N/A</t>
    <phoneticPr fontId="20"/>
  </si>
  <si>
    <t>July</t>
    <phoneticPr fontId="20"/>
  </si>
  <si>
    <t>Sep</t>
    <phoneticPr fontId="9" type="noConversion"/>
  </si>
  <si>
    <t>Satoshi:west-japan flood ER</t>
    <phoneticPr fontId="20"/>
  </si>
  <si>
    <t>Satoshi: western Japana: Flood ER/ Laos flood ER</t>
    <phoneticPr fontId="20"/>
  </si>
  <si>
    <t>Satoshi: western Japana: Flood ER/ laos flood ER</t>
    <phoneticPr fontId="20"/>
  </si>
  <si>
    <t>Justice (matsumoto)</t>
    <phoneticPr fontId="20"/>
  </si>
  <si>
    <t>Sakai (justice, matsumoto)</t>
    <phoneticPr fontId="20"/>
  </si>
  <si>
    <t>West-Japan flood 40,435. Laos 129,700.</t>
    <phoneticPr fontId="20"/>
  </si>
  <si>
    <t>Aug</t>
    <phoneticPr fontId="20"/>
  </si>
  <si>
    <t>Satoshi: western Japana: Flood ER/ Laos flood ER</t>
    <phoneticPr fontId="20"/>
  </si>
  <si>
    <t>Satoshi: western Japana: Flood ER/ laos flood ER</t>
    <phoneticPr fontId="20"/>
  </si>
  <si>
    <t>Hosokawa, Urushibara, Teshima, Kobayashi</t>
    <phoneticPr fontId="9" type="noConversion"/>
  </si>
  <si>
    <t>Hosokawa, Urushibara, Teshima, Kobayashi, Nakagawa</t>
    <phoneticPr fontId="9" type="noConversion"/>
  </si>
  <si>
    <t>Oct</t>
    <phoneticPr fontId="9" type="noConversion"/>
  </si>
  <si>
    <t>Satoshi: western Japana: Flood ER
Satoshi: Annual Conference BKK</t>
    <phoneticPr fontId="20"/>
  </si>
  <si>
    <t>Iijima, Takeyari,Suzuki</t>
    <phoneticPr fontId="20"/>
  </si>
  <si>
    <t>Hosokawa, Urushibara, Teshima, Kobayashi, Nakagawa, Ogawa, Endo</t>
    <phoneticPr fontId="9" type="noConversion"/>
  </si>
  <si>
    <t>West-Japan flood 40,435. Laos 129,700. West-Japan-II 108,397</t>
    <phoneticPr fontId="20"/>
  </si>
  <si>
    <t>Sep</t>
    <phoneticPr fontId="20"/>
  </si>
  <si>
    <t>Satoshi: western Japana: Flood ER
Satoshi: Annual Conference BKK
Satoshi: Sulawesi ER</t>
    <phoneticPr fontId="20"/>
  </si>
  <si>
    <t>Satoshi: western Japan: Flood ER
Satoshi: Laos flood ER</t>
    <phoneticPr fontId="20"/>
  </si>
  <si>
    <t>Satoshi: western Japana: Flood ER
Satoshi: Sulawesi ER</t>
    <phoneticPr fontId="20"/>
  </si>
  <si>
    <t>Oct</t>
  </si>
  <si>
    <t>Koizumi</t>
    <phoneticPr fontId="9" type="noConversion"/>
  </si>
  <si>
    <t>Sakai,Uchida (justice, matsumoto)</t>
    <phoneticPr fontId="20"/>
  </si>
  <si>
    <t>Sakai(justice, matsumoto)</t>
    <phoneticPr fontId="20"/>
  </si>
  <si>
    <t>West-Japan flood 40,435. Laos 129,700. West-Japan-II 108,397.  Sulawesi 173,269.</t>
    <phoneticPr fontId="20"/>
  </si>
  <si>
    <t>Fumie: western Japana: Flood ER
Satoshi: Sulawesi ER
Fukuro: Sulawesi ER</t>
    <phoneticPr fontId="20"/>
  </si>
  <si>
    <t>Fumie: western Japana: Flood ER
Satoshi: Annual Conference BKK
Satoshi: Sulawesi ER</t>
    <phoneticPr fontId="20"/>
  </si>
  <si>
    <t>Fumie: western Japana: Flood ER
Satoshi: Nepal 
Fukuro: Sulawesi ER</t>
    <phoneticPr fontId="20"/>
  </si>
  <si>
    <t>Hosokawa, Nakagawa, Endo,Kakizawa (Urushibara, Teshima, Kobayashi,Ogawa )</t>
    <phoneticPr fontId="9" type="noConversion"/>
  </si>
  <si>
    <t>Ochi, Suzuki</t>
    <phoneticPr fontId="9" type="noConversion"/>
  </si>
  <si>
    <t>Nov</t>
    <phoneticPr fontId="20"/>
  </si>
  <si>
    <t>Fumie: western Japana: Flood ER
Satoshi: Sulawesi ER
Fukuro: Sulawesi ER</t>
    <phoneticPr fontId="20"/>
  </si>
  <si>
    <t>Satoshi: Nepal 
Fukuro: Sulawesi ER</t>
    <phoneticPr fontId="20"/>
  </si>
  <si>
    <t xml:space="preserve">Fumie: western Japana: Flood ER
</t>
    <phoneticPr fontId="20"/>
  </si>
  <si>
    <t>Satoshi: Nepal 
Fukuro: Sulawesi ER</t>
    <phoneticPr fontId="20"/>
  </si>
  <si>
    <t xml:space="preserve">
</t>
    <phoneticPr fontId="20"/>
  </si>
  <si>
    <t>Fumie: western Japan: Flood ER</t>
    <phoneticPr fontId="20"/>
  </si>
  <si>
    <t>2019 Jan 10</t>
    <phoneticPr fontId="20"/>
  </si>
  <si>
    <t>Hosokawa, Nakagawa, Endo,Kakizawa</t>
    <phoneticPr fontId="9" type="noConversion"/>
  </si>
  <si>
    <t xml:space="preserve"> Suzuki</t>
    <phoneticPr fontId="9" type="noConversion"/>
  </si>
  <si>
    <t>Sakai,Uchida</t>
    <phoneticPr fontId="20"/>
  </si>
  <si>
    <t>Kyodobokin</t>
    <phoneticPr fontId="9" type="noConversion"/>
  </si>
  <si>
    <t>Kyodobokin: western Japan flood</t>
    <phoneticPr fontId="20"/>
  </si>
  <si>
    <t>Fumie Iiijima: western Japan: Flood ER</t>
    <phoneticPr fontId="20"/>
  </si>
  <si>
    <t>Fumie Takeyari: western Japan: Flood ER
Satoshi: USA AFP fundraising conference</t>
    <phoneticPr fontId="20"/>
  </si>
  <si>
    <t xml:space="preserve">Satoshi: USA AFP fundraising conference
</t>
    <phoneticPr fontId="20"/>
  </si>
  <si>
    <t>Satoshi Koizumi</t>
    <phoneticPr fontId="20"/>
  </si>
  <si>
    <t>Koizumi, Hosokawa</t>
    <phoneticPr fontId="9" type="noConversion"/>
  </si>
  <si>
    <t>Nakagawa, Endo,Kakizawa</t>
    <phoneticPr fontId="9" type="noConversion"/>
  </si>
  <si>
    <t>12Feb 120,000</t>
    <phoneticPr fontId="20"/>
  </si>
  <si>
    <t>MOFA</t>
    <phoneticPr fontId="9" type="noConversion"/>
  </si>
  <si>
    <t>15Feb 3,739 for west Japan flood</t>
    <phoneticPr fontId="20"/>
  </si>
  <si>
    <t>Fumie Takeyari: western Japan: Flood ER
Satoshi: USA AFP fundraising conference</t>
    <phoneticPr fontId="20"/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</si>
  <si>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Otakara-aid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Facebook 1-step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>Good Gohan</t>
    </r>
    <phoneticPr fontId="20"/>
  </si>
  <si>
    <t>April</t>
    <phoneticPr fontId="9" type="noConversion"/>
  </si>
  <si>
    <t xml:space="preserve">Satoshi: USA AFP fundraising conference
Fukuro Kakizawa: Sulawesi research
Satoshi: Nepal, Japan embassy </t>
    <phoneticPr fontId="20"/>
  </si>
  <si>
    <t>Nakagawa, Endo,Kakizawa,Matsumoto</t>
    <phoneticPr fontId="9" type="noConversion"/>
  </si>
  <si>
    <t xml:space="preserve"> Suzuki,Sakai</t>
    <phoneticPr fontId="9" type="noConversion"/>
  </si>
  <si>
    <t>('Sakai),Uchida</t>
    <phoneticPr fontId="20"/>
  </si>
  <si>
    <t>April</t>
    <phoneticPr fontId="20"/>
  </si>
  <si>
    <t>Satoshi: USA AFP fundraising conference
Fukuro Kakizawa: Sulawesi research</t>
    <phoneticPr fontId="20"/>
  </si>
  <si>
    <t>Satoshi: Mozambique ER</t>
    <phoneticPr fontId="20"/>
  </si>
  <si>
    <t xml:space="preserve">Fukuro: Mozambique ER
</t>
    <phoneticPr fontId="20"/>
  </si>
  <si>
    <t>Kakizawa,Matsumoto,A.Suzuki</t>
    <phoneticPr fontId="9" type="noConversion"/>
  </si>
  <si>
    <t xml:space="preserve"> N.Suzuki,Sakai</t>
    <phoneticPr fontId="9" type="noConversion"/>
  </si>
  <si>
    <t>Uchida,Yamashiro</t>
    <phoneticPr fontId="20"/>
  </si>
  <si>
    <t>24Apr 170,351 for Mozambique</t>
    <phoneticPr fontId="20"/>
  </si>
  <si>
    <t>12Feb 120,000, 8 Apr 120,000</t>
    <phoneticPr fontId="20"/>
  </si>
  <si>
    <t xml:space="preserve">Satoshi: Mozambique ER
</t>
    <phoneticPr fontId="20"/>
  </si>
  <si>
    <t>Fukuro: Mozambique ER
A.Suzuki: Nepal research?</t>
    <phoneticPr fontId="20"/>
  </si>
  <si>
    <t xml:space="preserve">Fukuro: dispatch to Indonesia?
</t>
    <phoneticPr fontId="20"/>
  </si>
  <si>
    <t>Fukuro: dispatch to Indonesia</t>
    <phoneticPr fontId="20"/>
  </si>
  <si>
    <t xml:space="preserve">Fukuro: Mozambique ER
Satoshi: Support Countries Conference in Seoul
</t>
    <phoneticPr fontId="20"/>
  </si>
  <si>
    <t xml:space="preserve">Fukuro: dispatch to Indonesia
Satoshi: Indonesia Monitoring
</t>
    <phoneticPr fontId="20"/>
  </si>
  <si>
    <t>Uchida,Yamashiro,Victor</t>
    <phoneticPr fontId="20"/>
  </si>
  <si>
    <t>24Apr 170,351 for Mozambique
26 Jun 394,782 for Indonesia</t>
    <phoneticPr fontId="20"/>
  </si>
  <si>
    <t>2017 Goal</t>
    <phoneticPr fontId="9" type="noConversion"/>
  </si>
  <si>
    <t>Regular</t>
  </si>
  <si>
    <t>Koizumi, Yaguchi, (Iijima), (Takeyari)</t>
    <phoneticPr fontId="9" type="noConversion"/>
  </si>
  <si>
    <t>Kim</t>
    <phoneticPr fontId="9" type="noConversion"/>
  </si>
  <si>
    <t>Temporary</t>
  </si>
  <si>
    <t>Matsumoto</t>
    <phoneticPr fontId="9" type="noConversion"/>
  </si>
  <si>
    <r>
      <t>Fundraising</t>
    </r>
    <r>
      <rPr>
        <b/>
        <sz val="8"/>
        <color theme="1"/>
        <rFont val="Calibri"/>
        <family val="3"/>
        <charset val="129"/>
        <scheme val="minor"/>
      </rPr>
      <t xml:space="preserve">
($Goal/$Achievement)</t>
    </r>
  </si>
  <si>
    <t>January</t>
    <phoneticPr fontId="9" type="noConversion"/>
  </si>
  <si>
    <t>Satoshi: Nepal JPF Monitoring: Feb1-Feb8</t>
    <phoneticPr fontId="9" type="noConversion"/>
  </si>
  <si>
    <r>
      <rPr>
        <sz val="10"/>
        <color theme="1"/>
        <rFont val="돋움"/>
        <family val="3"/>
        <charset val="129"/>
      </rPr>
      <t>愛の</t>
    </r>
    <r>
      <rPr>
        <sz val="10"/>
        <color theme="1"/>
        <rFont val="MS Gothic"/>
        <family val="3"/>
        <charset val="128"/>
      </rPr>
      <t>教会</t>
    </r>
    <r>
      <rPr>
        <sz val="10"/>
        <color theme="1"/>
        <rFont val="Arial"/>
        <family val="2"/>
      </rPr>
      <t>(</t>
    </r>
    <r>
      <rPr>
        <sz val="10"/>
        <color theme="1"/>
        <rFont val="돋움"/>
        <family val="3"/>
        <charset val="129"/>
      </rPr>
      <t>재일대한기독교회</t>
    </r>
    <r>
      <rPr>
        <sz val="10"/>
        <color theme="1"/>
        <rFont val="Arial"/>
        <family val="2"/>
      </rPr>
      <t xml:space="preserve"> '</t>
    </r>
    <r>
      <rPr>
        <sz val="10"/>
        <color theme="1"/>
        <rFont val="돋움"/>
        <family val="3"/>
        <charset val="129"/>
      </rPr>
      <t>사랑의교회</t>
    </r>
    <r>
      <rPr>
        <sz val="10"/>
        <color theme="1"/>
        <rFont val="Arial"/>
        <family val="2"/>
      </rPr>
      <t>')</t>
    </r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</si>
  <si>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>Recyfuku campaign</t>
    </r>
  </si>
  <si>
    <t>・GOODBOOKS
・Recyfuku campaign</t>
  </si>
  <si>
    <t>Painting Hope Campaign</t>
    <phoneticPr fontId="9" type="noConversion"/>
  </si>
  <si>
    <t>Painting Hope Campaign ceremony</t>
    <phoneticPr fontId="9" type="noConversion"/>
  </si>
  <si>
    <t>GNJP board meeting and general assembly(Mar10)</t>
    <phoneticPr fontId="9" type="noConversion"/>
  </si>
  <si>
    <t>Koizumi, Yaguchi, Hosokawa (Iijima), (Takeyari)</t>
    <phoneticPr fontId="9" type="noConversion"/>
  </si>
  <si>
    <t>Satoshi: Nepal JPF Monitoring: Feb1-Feb8</t>
  </si>
  <si>
    <t>Satoshi: Strategy meeting in Korea(4/5-4/7)</t>
    <phoneticPr fontId="9" type="noConversion"/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</si>
  <si>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 xml:space="preserve">Recyfuku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>Otakara-aid</t>
    </r>
  </si>
  <si>
    <t>・GOODBOOKS
・Recyfuku campaign
・Otakara-aid</t>
  </si>
  <si>
    <t>Painting Hope Campaign ceremony(2/25)</t>
  </si>
  <si>
    <t>GNJP board meeting and general assembly(3/10)</t>
    <phoneticPr fontId="9" type="noConversion"/>
  </si>
  <si>
    <t>MAR</t>
    <phoneticPr fontId="9" type="noConversion"/>
  </si>
  <si>
    <t>APR</t>
    <phoneticPr fontId="9" type="noConversion"/>
  </si>
  <si>
    <t>MAY</t>
    <phoneticPr fontId="9" type="noConversion"/>
  </si>
  <si>
    <t>Intl' fundraising conference@Sanfrancisco
(4/29-5/2)</t>
    <phoneticPr fontId="9" type="noConversion"/>
  </si>
  <si>
    <t>GNJP board meeting and general assembly(3/10)</t>
  </si>
  <si>
    <t>Koizumi, Yaguchi, Hosokawa, Takeyari (Iijima)</t>
    <phoneticPr fontId="9" type="noConversion"/>
  </si>
  <si>
    <t>JUN</t>
    <phoneticPr fontId="9" type="noConversion"/>
  </si>
  <si>
    <t>Satoshi: Strategy meeting in Korea(4/5-4/7)</t>
  </si>
  <si>
    <t>Yaguchi: IFC Asia @Bangkok (6/26-28)</t>
    <phoneticPr fontId="9" type="noConversion"/>
  </si>
  <si>
    <r>
      <rPr>
        <sz val="10"/>
        <color theme="1"/>
        <rFont val="Arial"/>
        <family val="2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Arial"/>
        <family val="2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Arial"/>
        <family val="2"/>
      </rPr>
      <t>・</t>
    </r>
    <r>
      <rPr>
        <sz val="10"/>
        <color theme="1"/>
        <rFont val="."/>
        <family val="2"/>
      </rPr>
      <t>Otakara-aid</t>
    </r>
  </si>
  <si>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>Otakara-aid</t>
    </r>
  </si>
  <si>
    <t>Hope letter Campaign in Tokyo Korean school (5/22~6/21)</t>
    <phoneticPr fontId="9" type="noConversion"/>
  </si>
  <si>
    <t>American Intern from Earlham college (6/12~8/9)</t>
    <phoneticPr fontId="9" type="noConversion"/>
  </si>
  <si>
    <t>JUL</t>
    <phoneticPr fontId="9" type="noConversion"/>
  </si>
  <si>
    <t>Intl' fundraising conference@Sanfrancisco
(4/29-5/2)</t>
  </si>
  <si>
    <t>Hope letter Campaign in Tokyo Korean school (5/22~6/21)</t>
  </si>
  <si>
    <t>Hope letter award ceremony (7/21)</t>
    <phoneticPr fontId="9" type="noConversion"/>
  </si>
  <si>
    <t>AUG</t>
    <phoneticPr fontId="9" type="noConversion"/>
  </si>
  <si>
    <t>Yaguchi, Satoshi: IFC Asia @Bangkok (6/26-28)</t>
    <phoneticPr fontId="9" type="noConversion"/>
  </si>
  <si>
    <t>- Second harvest Japan</t>
    <phoneticPr fontId="9" type="noConversion"/>
  </si>
  <si>
    <t>- Ota municipality office</t>
    <phoneticPr fontId="9" type="noConversion"/>
  </si>
  <si>
    <t>- AirBnB</t>
    <phoneticPr fontId="9" type="noConversion"/>
  </si>
  <si>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 xml:space="preserve">Otakara-aid
</t>
    </r>
    <r>
      <rPr>
        <sz val="10"/>
        <color theme="1"/>
        <rFont val="HGGothicE"/>
        <family val="3"/>
        <charset val="128"/>
      </rPr>
      <t>・</t>
    </r>
    <r>
      <rPr>
        <sz val="10"/>
        <color theme="1"/>
        <rFont val="."/>
        <family val="2"/>
      </rPr>
      <t>Facebook 1-step campaign</t>
    </r>
  </si>
  <si>
    <t>American Intern from Earlham college (6/12~8/9)</t>
  </si>
  <si>
    <t>2nd remit for Nepal school reconstruction</t>
    <phoneticPr fontId="9" type="noConversion"/>
  </si>
  <si>
    <t>SEP</t>
    <phoneticPr fontId="9" type="noConversion"/>
  </si>
  <si>
    <t>-</t>
  </si>
  <si>
    <t>- Ota municipality office</t>
  </si>
  <si>
    <t>・GOODBOOKS
・Recyfuku campaign
・Otakara-aid
・Facebook 1-step campaign</t>
  </si>
  <si>
    <t>Hope letter award ceremony (7/21)</t>
  </si>
  <si>
    <t>OCT</t>
    <phoneticPr fontId="9" type="noConversion"/>
  </si>
  <si>
    <t>- Satoshi: 2017 Annual conference in BKK (10/16~20)</t>
    <phoneticPr fontId="9" type="noConversion"/>
  </si>
  <si>
    <t>- AirBnB</t>
  </si>
  <si>
    <t>- global festa Japan 2017 (9/30~10/1)
- SCAJ 2017 (9/20~22)</t>
    <phoneticPr fontId="9" type="noConversion"/>
  </si>
  <si>
    <t>Sep</t>
  </si>
  <si>
    <t>Koizumi, Yaguchi, Hosokawa, Takeyari, Iijima</t>
    <phoneticPr fontId="9" type="noConversion"/>
  </si>
  <si>
    <t>SEP</t>
  </si>
  <si>
    <t>NOV</t>
    <phoneticPr fontId="9" type="noConversion"/>
  </si>
  <si>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GOODBOOKS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Recyfuku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Otakara-aid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 xml:space="preserve">Facebook 1-step campaign
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."/>
        <family val="2"/>
      </rPr>
      <t>Good Gohan</t>
    </r>
  </si>
  <si>
    <t>- Satoshi: 2017 Annual conference in BKK (10/16~20)</t>
    <phoneticPr fontId="20"/>
  </si>
  <si>
    <t>Sathoshi: Bangladesh/Rohingya ER</t>
    <phoneticPr fontId="20"/>
  </si>
  <si>
    <t>Country</t>
  </si>
  <si>
    <t>Year</t>
  </si>
  <si>
    <t>Month</t>
  </si>
  <si>
    <t>Regular_EMP</t>
  </si>
  <si>
    <t>Total_Person</t>
  </si>
  <si>
    <t>CS_Goal</t>
  </si>
  <si>
    <t>CS_Actual</t>
  </si>
  <si>
    <t>PS_Goal</t>
  </si>
  <si>
    <t>PS_Actual</t>
  </si>
  <si>
    <t>Sponsor_Goal</t>
  </si>
  <si>
    <t>Sponsor_Actual</t>
  </si>
  <si>
    <t>Designated_Goal</t>
  </si>
  <si>
    <t>Designated_Actual</t>
  </si>
  <si>
    <t>Nondesignated_Goal</t>
  </si>
  <si>
    <t>Nondesignated_Actual</t>
  </si>
  <si>
    <t>GG_Goal</t>
  </si>
  <si>
    <t>GG_Actual</t>
  </si>
  <si>
    <t>FG_Goal</t>
  </si>
  <si>
    <t>FG_Actual</t>
  </si>
  <si>
    <t>GIK_Goal</t>
  </si>
  <si>
    <t>GIK_Actual</t>
  </si>
  <si>
    <t>Others_Goal</t>
  </si>
  <si>
    <t>Others_Actual</t>
  </si>
  <si>
    <t>GNI_Goal</t>
  </si>
  <si>
    <t>GNI_Actual</t>
  </si>
  <si>
    <t>Total_Goal</t>
  </si>
  <si>
    <t>Total_Actual</t>
  </si>
  <si>
    <t>Total_EXGIK_Goal</t>
  </si>
  <si>
    <t>Total_EXGIK_Actual</t>
  </si>
  <si>
    <t>New_CS_No_Goal</t>
  </si>
  <si>
    <t>New_CS_No_Actual</t>
  </si>
  <si>
    <t>Total_CS_No_Goal</t>
  </si>
  <si>
    <t>Total_CS_No_Actual</t>
  </si>
  <si>
    <t>New_PS_No_Goal</t>
  </si>
  <si>
    <t>New_PS_No_Actual</t>
  </si>
  <si>
    <t>Total_PS_No_Goal</t>
  </si>
  <si>
    <t>Total_PS_No_Actual</t>
  </si>
  <si>
    <t>Total_Sponsor_Goal</t>
  </si>
  <si>
    <t>Total_Sponsor_Actual</t>
  </si>
  <si>
    <t>Report name</t>
  </si>
  <si>
    <t>2017JAN</t>
  </si>
  <si>
    <t>2017FEB</t>
  </si>
  <si>
    <t>2017MAR</t>
  </si>
  <si>
    <t>2017MAY</t>
  </si>
  <si>
    <t>2017JUN</t>
  </si>
  <si>
    <t>2017JUL</t>
  </si>
  <si>
    <t>2017AUG</t>
  </si>
  <si>
    <t>2017SEP</t>
  </si>
  <si>
    <t>2017OCT</t>
  </si>
  <si>
    <t>2017NOV</t>
  </si>
  <si>
    <t>2017DEC</t>
  </si>
  <si>
    <t>2018MAR</t>
  </si>
  <si>
    <t>2018APR</t>
  </si>
  <si>
    <t>2018JAN</t>
  </si>
  <si>
    <t>2018FEB</t>
  </si>
  <si>
    <t>2018MAY</t>
  </si>
  <si>
    <t>2018JUN</t>
  </si>
  <si>
    <t>2018JUL</t>
  </si>
  <si>
    <t>2018SEP</t>
  </si>
  <si>
    <t>2018OCT</t>
  </si>
  <si>
    <t>2018NOV</t>
  </si>
  <si>
    <t>2018DEC</t>
  </si>
  <si>
    <t>2019JAN</t>
  </si>
  <si>
    <t>2019FEB</t>
  </si>
  <si>
    <t>2019MAR</t>
  </si>
  <si>
    <t>2019APR</t>
  </si>
  <si>
    <t>2019MAY</t>
  </si>
  <si>
    <t>2018AUG</t>
  </si>
  <si>
    <t>GNI_Grant</t>
  </si>
  <si>
    <t>Carry_Over</t>
  </si>
  <si>
    <t>Raised_Fund</t>
  </si>
  <si>
    <t>Expenditure</t>
  </si>
  <si>
    <t>Balance</t>
  </si>
  <si>
    <t>2017APR</t>
  </si>
  <si>
    <t xml:space="preserve">Carry over from last month </t>
  </si>
  <si>
    <t xml:space="preserve">GNI Grant </t>
  </si>
  <si>
    <t>Raised fund</t>
  </si>
  <si>
    <t>2019JUN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</si>
</sst>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_ "/>
    <numFmt numFmtId="165" formatCode="\$#,##0.00"/>
    <numFmt numFmtId="166" formatCode="#,##0_ "/>
    <numFmt numFmtId="167" formatCode="\$#,##0.00;\-\$#,##0.00"/>
  </numFmts>
  <fonts count="62">
    <font>
      <sz val="11"/>
      <color theme="1"/>
      <name val="Calibri"/>
      <family val="2"/>
      <charset val="129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b/>
      <sz val="16"/>
      <color theme="1"/>
      <name val="Arial"/>
      <family val="2"/>
    </font>
    <font>
      <sz val="8"/>
      <name val="Calibri"/>
      <family val="2"/>
      <charset val="129"/>
      <scheme val="minor"/>
    </font>
    <font>
      <b/>
      <sz val="16"/>
      <color theme="0"/>
      <name val="Arial"/>
      <family val="2"/>
    </font>
    <font>
      <sz val="16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9"/>
      <color theme="1"/>
      <name val="Calibri"/>
      <family val="3"/>
      <charset val="129"/>
      <scheme val="minor"/>
    </font>
    <font>
      <sz val="9"/>
      <name val="Calibri"/>
      <family val="3"/>
      <charset val="129"/>
      <scheme val="minor"/>
    </font>
    <font>
      <sz val="6"/>
      <name val="Calibri"/>
      <family val="3"/>
      <charset val="128"/>
      <scheme val="minor"/>
    </font>
    <font>
      <sz val="9"/>
      <name val="Calibri"/>
      <family val="3"/>
      <charset val="128"/>
      <scheme val="minor"/>
    </font>
    <font>
      <sz val="9"/>
      <color theme="8" tint="-0.249977111117893"/>
      <name val="Calibri"/>
      <family val="3"/>
      <charset val="129"/>
      <scheme val="minor"/>
    </font>
    <font>
      <b/>
      <sz val="8"/>
      <color theme="1"/>
      <name val="Calibri"/>
      <family val="3"/>
      <charset val="129"/>
      <scheme val="minor"/>
    </font>
    <font>
      <sz val="9"/>
      <color theme="1"/>
      <name val="Calibri"/>
      <family val="3"/>
      <charset val="129"/>
      <scheme val="minor"/>
    </font>
    <font>
      <sz val="10"/>
      <color theme="1"/>
      <name val="ＭＳ Ｐゴシック"/>
      <family val="3"/>
      <charset val="128"/>
    </font>
    <font>
      <sz val="10"/>
      <name val="Arial"/>
      <family val="2"/>
    </font>
    <font>
      <sz val="10"/>
      <color theme="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theme="1"/>
      <name val="."/>
    </font>
    <font>
      <b/>
      <sz val="10"/>
      <color theme="1"/>
      <name val="."/>
      <family val="2"/>
    </font>
    <font>
      <sz val="10"/>
      <color theme="1"/>
      <name val="."/>
      <family val="2"/>
    </font>
    <font>
      <sz val="10"/>
      <color indexed="81"/>
      <name val="Tahoma"/>
      <family val="2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9"/>
      <name val="Calibri"/>
      <family val="3"/>
      <scheme val="minor"/>
    </font>
    <font>
      <sz val="9"/>
      <color indexed="81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b/>
      <sz val="11"/>
      <color rgb="FFFF0000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3"/>
      <charset val="129"/>
    </font>
    <font>
      <sz val="10"/>
      <color theme="1"/>
      <name val="돋움"/>
      <family val="3"/>
      <charset val="129"/>
    </font>
    <font>
      <sz val="10"/>
      <color theme="1"/>
      <name val="MS Gothic"/>
      <family val="3"/>
      <charset val="128"/>
    </font>
    <font>
      <sz val="9"/>
      <color indexed="81"/>
      <name val="돋움"/>
      <family val="3"/>
      <charset val="129"/>
    </font>
    <font>
      <sz val="9"/>
      <color indexed="81"/>
      <name val="MS Gothic"/>
      <family val="3"/>
      <charset val="128"/>
    </font>
    <font>
      <u/>
      <sz val="11"/>
      <color theme="10"/>
      <name val="Calibri"/>
      <family val="2"/>
      <charset val="129"/>
      <scheme val="minor"/>
    </font>
    <font>
      <sz val="10"/>
      <color theme="1"/>
      <name val="HGGothicE"/>
      <family val="3"/>
      <charset val="128"/>
    </font>
    <font>
      <sz val="10"/>
      <name val="Arial Unicode MS"/>
      <family val="3"/>
      <charset val="129"/>
    </font>
    <font>
      <sz val="10"/>
      <color theme="1"/>
      <name val="Arial Unicode MS"/>
      <family val="3"/>
      <charset val="129"/>
    </font>
    <font>
      <sz val="9"/>
      <color indexed="81"/>
      <name val="HGGothicE"/>
      <family val="3"/>
      <charset val="128"/>
    </font>
    <font>
      <sz val="11"/>
      <color rgb="FF000000"/>
      <name val="Calibri"/>
      <family val="2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MS Gothic"/>
      <family val="3"/>
      <charset val="128"/>
    </font>
    <font>
      <sz val="9"/>
      <color rgb="FF000000"/>
      <name val="돋움"/>
      <family val="3"/>
      <charset val="129"/>
    </font>
    <font>
      <sz val="10"/>
      <color rgb="FF000000"/>
      <name val="ＭＳ Ｐゴシック"/>
      <family val="3"/>
      <charset val="128"/>
    </font>
    <font>
      <sz val="10"/>
      <color rgb="FF000000"/>
      <name val="Tahoma"/>
      <family val="2"/>
    </font>
    <font>
      <b/>
      <sz val="9"/>
      <color rgb="FF000000"/>
      <name val="MS P ゴシック"/>
      <family val="3"/>
      <charset val="128"/>
    </font>
    <font>
      <b/>
      <sz val="9"/>
      <color rgb="FF000000"/>
      <name val="Calibri"/>
      <family val="3"/>
      <charset val="128"/>
      <scheme val="minor"/>
    </font>
    <font>
      <sz val="9"/>
      <color rgb="FF000000"/>
      <name val="Calibri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>
      <alignment vertical="center"/>
    </xf>
    <xf numFmtId="9" fontId="7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" fillId="0" borderId="0"/>
  </cellStyleXfs>
  <cellXfs count="817">
    <xf numFmtId="0" fontId="0" fillId="0" borderId="0" xfId="0">
      <alignment vertical="center"/>
    </xf>
    <xf numFmtId="0" fontId="10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>
      <alignment vertical="center"/>
    </xf>
    <xf numFmtId="0" fontId="14" fillId="0" borderId="0" xfId="0" applyFont="1">
      <alignment vertical="center"/>
    </xf>
    <xf numFmtId="0" fontId="15" fillId="4" borderId="3" xfId="0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quotePrefix="1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6" fillId="0" borderId="0" xfId="0" applyFont="1">
      <alignment vertical="center"/>
    </xf>
    <xf numFmtId="0" fontId="12" fillId="0" borderId="1" xfId="0" applyFont="1" applyBorder="1">
      <alignment vertical="center"/>
    </xf>
    <xf numFmtId="9" fontId="12" fillId="0" borderId="1" xfId="1" applyFont="1" applyBorder="1" applyAlignment="1">
      <alignment horizontal="center" vertical="center"/>
    </xf>
    <xf numFmtId="0" fontId="15" fillId="7" borderId="1" xfId="0" applyFont="1" applyFill="1" applyBorder="1">
      <alignment vertical="center"/>
    </xf>
    <xf numFmtId="9" fontId="12" fillId="7" borderId="1" xfId="1" applyFont="1" applyFill="1" applyBorder="1" applyAlignment="1">
      <alignment horizontal="center" vertical="center"/>
    </xf>
    <xf numFmtId="9" fontId="15" fillId="4" borderId="13" xfId="1" applyFont="1" applyFill="1" applyBorder="1" applyAlignment="1">
      <alignment horizontal="center" vertical="center"/>
    </xf>
    <xf numFmtId="0" fontId="15" fillId="0" borderId="1" xfId="0" applyFont="1" applyBorder="1">
      <alignment vertical="center"/>
    </xf>
    <xf numFmtId="9" fontId="15" fillId="4" borderId="1" xfId="1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9" fontId="15" fillId="3" borderId="1" xfId="1" applyFont="1" applyFill="1" applyBorder="1" applyAlignment="1">
      <alignment horizontal="center" vertical="center"/>
    </xf>
    <xf numFmtId="9" fontId="17" fillId="8" borderId="1" xfId="1" applyFont="1" applyFill="1" applyBorder="1" applyAlignment="1">
      <alignment horizontal="center" vertical="center"/>
    </xf>
    <xf numFmtId="9" fontId="17" fillId="8" borderId="13" xfId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9" fontId="17" fillId="0" borderId="0" xfId="1" applyFont="1" applyFill="1" applyBorder="1" applyAlignment="1">
      <alignment horizontal="center" vertical="center"/>
    </xf>
    <xf numFmtId="0" fontId="17" fillId="0" borderId="0" xfId="0" quotePrefix="1" applyFont="1" applyFill="1" applyBorder="1" applyAlignment="1">
      <alignment horizontal="center" vertical="center"/>
    </xf>
    <xf numFmtId="0" fontId="12" fillId="0" borderId="1" xfId="0" applyFont="1" applyBorder="1" applyAlignment="1">
      <alignment vertical="center" shrinkToFit="1"/>
    </xf>
    <xf numFmtId="9" fontId="12" fillId="0" borderId="1" xfId="0" applyNumberFormat="1" applyFont="1" applyBorder="1">
      <alignment vertical="center"/>
    </xf>
    <xf numFmtId="0" fontId="12" fillId="7" borderId="1" xfId="0" applyFont="1" applyFill="1" applyBorder="1" applyAlignment="1">
      <alignment vertical="center" shrinkToFit="1"/>
    </xf>
    <xf numFmtId="9" fontId="12" fillId="7" borderId="1" xfId="0" applyNumberFormat="1" applyFont="1" applyFill="1" applyBorder="1">
      <alignment vertical="center"/>
    </xf>
    <xf numFmtId="9" fontId="12" fillId="9" borderId="1" xfId="0" applyNumberFormat="1" applyFont="1" applyFill="1" applyBorder="1">
      <alignment vertical="center"/>
    </xf>
    <xf numFmtId="9" fontId="12" fillId="10" borderId="1" xfId="0" applyNumberFormat="1" applyFont="1" applyFill="1" applyBorder="1">
      <alignment vertical="center"/>
    </xf>
    <xf numFmtId="9" fontId="12" fillId="10" borderId="13" xfId="0" applyNumberFormat="1" applyFont="1" applyFill="1" applyBorder="1">
      <alignment vertical="center"/>
    </xf>
    <xf numFmtId="9" fontId="15" fillId="10" borderId="13" xfId="0" applyNumberFormat="1" applyFont="1" applyFill="1" applyBorder="1">
      <alignment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>
      <alignment vertical="center"/>
    </xf>
    <xf numFmtId="9" fontId="12" fillId="0" borderId="1" xfId="1" applyNumberFormat="1" applyFont="1" applyBorder="1">
      <alignment vertical="center"/>
    </xf>
    <xf numFmtId="0" fontId="12" fillId="7" borderId="1" xfId="0" applyFont="1" applyFill="1" applyBorder="1">
      <alignment vertical="center"/>
    </xf>
    <xf numFmtId="0" fontId="12" fillId="9" borderId="1" xfId="0" applyFont="1" applyFill="1" applyBorder="1" applyAlignment="1">
      <alignment vertical="center" shrinkToFit="1"/>
    </xf>
    <xf numFmtId="0" fontId="12" fillId="9" borderId="13" xfId="0" applyFont="1" applyFill="1" applyBorder="1">
      <alignment vertical="center"/>
    </xf>
    <xf numFmtId="9" fontId="12" fillId="9" borderId="13" xfId="0" applyNumberFormat="1" applyFont="1" applyFill="1" applyBorder="1">
      <alignment vertical="center"/>
    </xf>
    <xf numFmtId="0" fontId="12" fillId="0" borderId="3" xfId="0" applyFont="1" applyBorder="1" applyAlignment="1">
      <alignment vertical="center" shrinkToFit="1"/>
    </xf>
    <xf numFmtId="9" fontId="12" fillId="0" borderId="3" xfId="1" applyNumberFormat="1" applyFont="1" applyBorder="1">
      <alignment vertical="center"/>
    </xf>
    <xf numFmtId="0" fontId="15" fillId="10" borderId="18" xfId="0" applyFont="1" applyFill="1" applyBorder="1" applyAlignment="1">
      <alignment vertical="center" shrinkToFit="1"/>
    </xf>
    <xf numFmtId="9" fontId="12" fillId="10" borderId="16" xfId="0" applyNumberFormat="1" applyFont="1" applyFill="1" applyBorder="1">
      <alignment vertical="center"/>
    </xf>
    <xf numFmtId="0" fontId="15" fillId="10" borderId="20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vertical="center" shrinkToFit="1"/>
    </xf>
    <xf numFmtId="0" fontId="15" fillId="10" borderId="1" xfId="0" applyFont="1" applyFill="1" applyBorder="1">
      <alignment vertical="center"/>
    </xf>
    <xf numFmtId="9" fontId="15" fillId="10" borderId="18" xfId="0" applyNumberFormat="1" applyFont="1" applyFill="1" applyBorder="1">
      <alignment vertical="center"/>
    </xf>
    <xf numFmtId="0" fontId="18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15" fillId="7" borderId="2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15" fillId="7" borderId="2" xfId="0" applyFont="1" applyFill="1" applyBorder="1" applyAlignment="1">
      <alignment horizontal="center" vertical="center"/>
    </xf>
    <xf numFmtId="166" fontId="12" fillId="0" borderId="24" xfId="0" applyNumberFormat="1" applyFont="1" applyBorder="1">
      <alignment vertical="center"/>
    </xf>
    <xf numFmtId="0" fontId="14" fillId="0" borderId="0" xfId="0" applyFont="1" applyFill="1">
      <alignment vertical="center"/>
    </xf>
    <xf numFmtId="0" fontId="12" fillId="0" borderId="0" xfId="0" applyFont="1" applyFill="1">
      <alignment vertical="center"/>
    </xf>
    <xf numFmtId="0" fontId="15" fillId="0" borderId="1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165" fontId="12" fillId="11" borderId="24" xfId="0" applyNumberFormat="1" applyFont="1" applyFill="1" applyBorder="1">
      <alignment vertical="center"/>
    </xf>
    <xf numFmtId="165" fontId="12" fillId="11" borderId="13" xfId="0" applyNumberFormat="1" applyFont="1" applyFill="1" applyBorder="1">
      <alignment vertical="center"/>
    </xf>
    <xf numFmtId="0" fontId="12" fillId="6" borderId="3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3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165" fontId="12" fillId="0" borderId="14" xfId="0" applyNumberFormat="1" applyFont="1" applyFill="1" applyBorder="1">
      <alignment vertical="center"/>
    </xf>
    <xf numFmtId="165" fontId="12" fillId="0" borderId="13" xfId="0" applyNumberFormat="1" applyFont="1" applyFill="1" applyBorder="1">
      <alignment vertical="center"/>
    </xf>
    <xf numFmtId="3" fontId="26" fillId="6" borderId="1" xfId="0" applyNumberFormat="1" applyFont="1" applyFill="1" applyBorder="1" applyAlignment="1">
      <alignment horizontal="center" vertical="center"/>
    </xf>
    <xf numFmtId="3" fontId="12" fillId="6" borderId="1" xfId="0" applyNumberFormat="1" applyFont="1" applyFill="1" applyBorder="1" applyAlignment="1">
      <alignment horizontal="center" vertical="center"/>
    </xf>
    <xf numFmtId="166" fontId="30" fillId="0" borderId="1" xfId="0" applyNumberFormat="1" applyFont="1" applyFill="1" applyBorder="1" applyAlignment="1">
      <alignment horizontal="center" vertical="center"/>
    </xf>
    <xf numFmtId="166" fontId="15" fillId="13" borderId="1" xfId="0" applyNumberFormat="1" applyFont="1" applyFill="1" applyBorder="1" applyAlignment="1">
      <alignment horizontal="center" vertical="center"/>
    </xf>
    <xf numFmtId="166" fontId="17" fillId="8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5" fontId="12" fillId="13" borderId="13" xfId="0" applyNumberFormat="1" applyFont="1" applyFill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167" fontId="12" fillId="13" borderId="1" xfId="0" applyNumberFormat="1" applyFont="1" applyFill="1" applyBorder="1" applyAlignment="1">
      <alignment horizontal="right" vertical="center"/>
    </xf>
    <xf numFmtId="0" fontId="41" fillId="0" borderId="0" xfId="0" applyFont="1">
      <alignment vertical="center"/>
    </xf>
    <xf numFmtId="0" fontId="12" fillId="0" borderId="0" xfId="0" applyFont="1">
      <alignment vertical="center"/>
    </xf>
    <xf numFmtId="0" fontId="14" fillId="0" borderId="0" xfId="0" applyFont="1">
      <alignment vertical="center"/>
    </xf>
    <xf numFmtId="0" fontId="12" fillId="0" borderId="1" xfId="0" applyFont="1" applyBorder="1">
      <alignment vertical="center"/>
    </xf>
    <xf numFmtId="0" fontId="40" fillId="0" borderId="0" xfId="0" applyFont="1">
      <alignment vertical="center"/>
    </xf>
    <xf numFmtId="0" fontId="12" fillId="0" borderId="41" xfId="0" applyFont="1" applyBorder="1">
      <alignment vertical="center"/>
    </xf>
    <xf numFmtId="0" fontId="12" fillId="6" borderId="1" xfId="0" applyFont="1" applyFill="1" applyBorder="1">
      <alignment vertical="center"/>
    </xf>
    <xf numFmtId="0" fontId="12" fillId="6" borderId="0" xfId="0" applyFont="1" applyFill="1">
      <alignment vertical="center"/>
    </xf>
    <xf numFmtId="0" fontId="12" fillId="14" borderId="1" xfId="0" applyFont="1" applyFill="1" applyBorder="1">
      <alignment vertical="center"/>
    </xf>
    <xf numFmtId="0" fontId="12" fillId="13" borderId="1" xfId="0" applyFont="1" applyFill="1" applyBorder="1">
      <alignment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3" fontId="12" fillId="12" borderId="1" xfId="0" applyNumberFormat="1" applyFont="1" applyFill="1" applyBorder="1" applyAlignment="1">
      <alignment horizontal="center" vertical="center"/>
    </xf>
    <xf numFmtId="3" fontId="15" fillId="12" borderId="1" xfId="0" applyNumberFormat="1" applyFont="1" applyFill="1" applyBorder="1" applyAlignment="1">
      <alignment horizontal="center" vertical="center"/>
    </xf>
    <xf numFmtId="3" fontId="12" fillId="13" borderId="1" xfId="0" applyNumberFormat="1" applyFont="1" applyFill="1" applyBorder="1" applyAlignment="1">
      <alignment horizontal="center" vertical="center"/>
    </xf>
    <xf numFmtId="3" fontId="15" fillId="13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3" fontId="15" fillId="6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38" fontId="15" fillId="12" borderId="1" xfId="2" applyFont="1" applyFill="1" applyBorder="1" applyAlignment="1">
      <alignment horizontal="center" vertical="center"/>
    </xf>
    <xf numFmtId="38" fontId="12" fillId="12" borderId="1" xfId="2" applyFont="1" applyFill="1" applyBorder="1" applyAlignment="1">
      <alignment horizontal="center" vertical="center"/>
    </xf>
    <xf numFmtId="38" fontId="15" fillId="13" borderId="1" xfId="0" applyNumberFormat="1" applyFont="1" applyFill="1" applyBorder="1" applyAlignment="1">
      <alignment horizontal="center" vertical="center"/>
    </xf>
    <xf numFmtId="38" fontId="12" fillId="13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167" fontId="12" fillId="0" borderId="13" xfId="0" applyNumberFormat="1" applyFont="1" applyFill="1" applyBorder="1" applyAlignment="1">
      <alignment horizontal="right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38" fontId="12" fillId="12" borderId="1" xfId="0" applyNumberFormat="1" applyFont="1" applyFill="1" applyBorder="1" applyAlignment="1">
      <alignment horizontal="center" vertical="center"/>
    </xf>
    <xf numFmtId="38" fontId="12" fillId="6" borderId="1" xfId="0" applyNumberFormat="1" applyFont="1" applyFill="1" applyBorder="1" applyAlignment="1">
      <alignment horizontal="center" vertical="center"/>
    </xf>
    <xf numFmtId="38" fontId="12" fillId="7" borderId="1" xfId="0" applyNumberFormat="1" applyFont="1" applyFill="1" applyBorder="1" applyAlignment="1">
      <alignment horizontal="center" vertical="center"/>
    </xf>
    <xf numFmtId="38" fontId="15" fillId="4" borderId="13" xfId="0" applyNumberFormat="1" applyFont="1" applyFill="1" applyBorder="1" applyAlignment="1">
      <alignment horizontal="center" vertical="center"/>
    </xf>
    <xf numFmtId="38" fontId="12" fillId="13" borderId="1" xfId="0" applyNumberFormat="1" applyFont="1" applyFill="1" applyBorder="1" applyAlignment="1">
      <alignment horizontal="center" vertical="center"/>
    </xf>
    <xf numFmtId="38" fontId="12" fillId="0" borderId="1" xfId="0" applyNumberFormat="1" applyFont="1" applyBorder="1" applyAlignment="1">
      <alignment horizontal="center" vertical="center"/>
    </xf>
    <xf numFmtId="38" fontId="15" fillId="4" borderId="1" xfId="0" applyNumberFormat="1" applyFont="1" applyFill="1" applyBorder="1" applyAlignment="1">
      <alignment horizontal="center" vertical="center"/>
    </xf>
    <xf numFmtId="38" fontId="15" fillId="12" borderId="1" xfId="0" applyNumberFormat="1" applyFont="1" applyFill="1" applyBorder="1" applyAlignment="1">
      <alignment horizontal="center" vertical="center"/>
    </xf>
    <xf numFmtId="38" fontId="30" fillId="0" borderId="1" xfId="0" applyNumberFormat="1" applyFont="1" applyFill="1" applyBorder="1" applyAlignment="1">
      <alignment horizontal="center" vertical="center"/>
    </xf>
    <xf numFmtId="38" fontId="15" fillId="12" borderId="1" xfId="2" applyNumberFormat="1" applyFont="1" applyFill="1" applyBorder="1" applyAlignment="1">
      <alignment horizontal="center" vertical="center"/>
    </xf>
    <xf numFmtId="38" fontId="15" fillId="6" borderId="1" xfId="0" applyNumberFormat="1" applyFont="1" applyFill="1" applyBorder="1" applyAlignment="1">
      <alignment horizontal="center" vertical="center"/>
    </xf>
    <xf numFmtId="38" fontId="17" fillId="8" borderId="1" xfId="0" applyNumberFormat="1" applyFont="1" applyFill="1" applyBorder="1" applyAlignment="1">
      <alignment horizontal="center" vertical="center"/>
    </xf>
    <xf numFmtId="38" fontId="17" fillId="8" borderId="13" xfId="0" applyNumberFormat="1" applyFont="1" applyFill="1" applyBorder="1" applyAlignment="1">
      <alignment horizontal="center" vertical="center"/>
    </xf>
    <xf numFmtId="38" fontId="12" fillId="0" borderId="1" xfId="0" applyNumberFormat="1" applyFont="1" applyFill="1" applyBorder="1" applyAlignment="1">
      <alignment horizontal="center" vertical="center"/>
    </xf>
    <xf numFmtId="38" fontId="15" fillId="13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7" borderId="3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4" borderId="1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9" fontId="17" fillId="0" borderId="0" xfId="1" applyFont="1" applyAlignment="1">
      <alignment horizontal="center" vertical="center"/>
    </xf>
    <xf numFmtId="0" fontId="17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9" fontId="12" fillId="0" borderId="1" xfId="1" applyFont="1" applyBorder="1">
      <alignment vertical="center"/>
    </xf>
    <xf numFmtId="9" fontId="12" fillId="0" borderId="3" xfId="1" applyFont="1" applyBorder="1">
      <alignment vertical="center"/>
    </xf>
    <xf numFmtId="0" fontId="12" fillId="0" borderId="42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65" fontId="12" fillId="6" borderId="13" xfId="0" applyNumberFormat="1" applyFont="1" applyFill="1" applyBorder="1">
      <alignment vertical="center"/>
    </xf>
    <xf numFmtId="165" fontId="12" fillId="6" borderId="14" xfId="0" applyNumberFormat="1" applyFont="1" applyFill="1" applyBorder="1">
      <alignment vertical="center"/>
    </xf>
    <xf numFmtId="0" fontId="26" fillId="0" borderId="1" xfId="0" applyFont="1" applyBorder="1" applyAlignment="1">
      <alignment horizontal="center" vertical="center"/>
    </xf>
    <xf numFmtId="3" fontId="26" fillId="15" borderId="1" xfId="0" applyNumberFormat="1" applyFont="1" applyFill="1" applyBorder="1" applyAlignment="1">
      <alignment horizontal="center" vertical="center"/>
    </xf>
    <xf numFmtId="3" fontId="12" fillId="15" borderId="1" xfId="0" applyNumberFormat="1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 vertical="center"/>
    </xf>
    <xf numFmtId="0" fontId="30" fillId="6" borderId="1" xfId="0" applyFont="1" applyFill="1" applyBorder="1" applyAlignment="1">
      <alignment horizontal="center" vertical="center"/>
    </xf>
    <xf numFmtId="166" fontId="30" fillId="0" borderId="1" xfId="0" applyNumberFormat="1" applyFont="1" applyBorder="1" applyAlignment="1">
      <alignment horizontal="center" vertical="center"/>
    </xf>
    <xf numFmtId="165" fontId="12" fillId="0" borderId="13" xfId="0" applyNumberFormat="1" applyFont="1" applyBorder="1">
      <alignment vertical="center"/>
    </xf>
    <xf numFmtId="165" fontId="12" fillId="0" borderId="14" xfId="0" applyNumberFormat="1" applyFont="1" applyBorder="1">
      <alignment vertical="center"/>
    </xf>
    <xf numFmtId="0" fontId="6" fillId="0" borderId="0" xfId="4"/>
    <xf numFmtId="0" fontId="5" fillId="0" borderId="0" xfId="4" applyFont="1"/>
    <xf numFmtId="0" fontId="4" fillId="0" borderId="0" xfId="4" applyFont="1"/>
    <xf numFmtId="0" fontId="3" fillId="0" borderId="0" xfId="4" applyFont="1"/>
    <xf numFmtId="0" fontId="3" fillId="6" borderId="0" xfId="4" applyFont="1" applyFill="1"/>
    <xf numFmtId="1" fontId="6" fillId="0" borderId="0" xfId="4" applyNumberFormat="1"/>
    <xf numFmtId="0" fontId="4" fillId="6" borderId="0" xfId="4" applyFont="1" applyFill="1"/>
    <xf numFmtId="0" fontId="2" fillId="0" borderId="0" xfId="4" applyFont="1"/>
    <xf numFmtId="0" fontId="8" fillId="0" borderId="0" xfId="0" applyFont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15" fillId="5" borderId="11" xfId="0" applyFont="1" applyFill="1" applyBorder="1" applyAlignment="1">
      <alignment horizontal="center" vertical="center"/>
    </xf>
    <xf numFmtId="0" fontId="15" fillId="5" borderId="13" xfId="0" quotePrefix="1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4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5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16" fontId="12" fillId="0" borderId="1" xfId="0" applyNumberFormat="1" applyFont="1" applyBorder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  <xf numFmtId="0" fontId="12" fillId="6" borderId="9" xfId="0" applyFont="1" applyFill="1" applyBorder="1" applyAlignment="1">
      <alignment horizontal="center" vertical="center"/>
    </xf>
    <xf numFmtId="0" fontId="15" fillId="4" borderId="6" xfId="0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left" vertical="center"/>
    </xf>
    <xf numFmtId="0" fontId="15" fillId="5" borderId="1" xfId="0" applyFont="1" applyFill="1" applyBorder="1" applyAlignment="1">
      <alignment horizontal="left" vertical="center"/>
    </xf>
    <xf numFmtId="0" fontId="15" fillId="5" borderId="6" xfId="0" applyFont="1" applyFill="1" applyBorder="1" applyAlignment="1">
      <alignment horizontal="left" vertical="center"/>
    </xf>
    <xf numFmtId="0" fontId="15" fillId="0" borderId="15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left" vertical="center"/>
    </xf>
    <xf numFmtId="0" fontId="15" fillId="5" borderId="3" xfId="0" applyFont="1" applyFill="1" applyBorder="1" applyAlignment="1">
      <alignment horizontal="left" vertical="center"/>
    </xf>
    <xf numFmtId="0" fontId="15" fillId="5" borderId="4" xfId="0" applyFont="1" applyFill="1" applyBorder="1" applyAlignment="1">
      <alignment horizontal="left" vertical="center"/>
    </xf>
    <xf numFmtId="0" fontId="15" fillId="0" borderId="15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1" xfId="0" quotePrefix="1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7" fillId="8" borderId="10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13" xfId="0" quotePrefix="1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center" vertical="center"/>
    </xf>
    <xf numFmtId="0" fontId="15" fillId="9" borderId="5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0" fontId="15" fillId="9" borderId="6" xfId="0" applyFont="1" applyFill="1" applyBorder="1" applyAlignment="1">
      <alignment horizontal="center" vertical="center"/>
    </xf>
    <xf numFmtId="0" fontId="17" fillId="8" borderId="23" xfId="0" applyFont="1" applyFill="1" applyBorder="1" applyAlignment="1">
      <alignment horizontal="center" vertical="center"/>
    </xf>
    <xf numFmtId="0" fontId="17" fillId="8" borderId="8" xfId="0" applyFont="1" applyFill="1" applyBorder="1" applyAlignment="1">
      <alignment horizontal="center" vertical="center"/>
    </xf>
    <xf numFmtId="0" fontId="17" fillId="8" borderId="21" xfId="0" applyFont="1" applyFill="1" applyBorder="1" applyAlignment="1">
      <alignment horizontal="center" vertical="center"/>
    </xf>
    <xf numFmtId="0" fontId="17" fillId="8" borderId="1" xfId="0" quotePrefix="1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7" fillId="8" borderId="6" xfId="0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 wrapText="1"/>
    </xf>
    <xf numFmtId="0" fontId="15" fillId="10" borderId="24" xfId="0" applyFont="1" applyFill="1" applyBorder="1" applyAlignment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0" borderId="7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/>
    </xf>
    <xf numFmtId="0" fontId="15" fillId="10" borderId="9" xfId="0" applyFont="1" applyFill="1" applyBorder="1" applyAlignment="1">
      <alignment horizontal="center" vertical="center"/>
    </xf>
    <xf numFmtId="0" fontId="15" fillId="10" borderId="13" xfId="0" applyFont="1" applyFill="1" applyBorder="1" applyAlignment="1">
      <alignment horizontal="center" vertical="center"/>
    </xf>
    <xf numFmtId="0" fontId="15" fillId="10" borderId="25" xfId="0" applyFont="1" applyFill="1" applyBorder="1" applyAlignment="1">
      <alignment horizontal="center" vertical="center"/>
    </xf>
    <xf numFmtId="0" fontId="15" fillId="10" borderId="11" xfId="0" applyFont="1" applyFill="1" applyBorder="1" applyAlignment="1">
      <alignment horizontal="center" vertical="center"/>
    </xf>
    <xf numFmtId="0" fontId="15" fillId="10" borderId="26" xfId="0" applyFont="1" applyFill="1" applyBorder="1" applyAlignment="1">
      <alignment horizontal="center" vertical="center"/>
    </xf>
    <xf numFmtId="0" fontId="15" fillId="0" borderId="27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25" xfId="0" applyFont="1" applyFill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26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1" fillId="0" borderId="21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 wrapText="1"/>
    </xf>
    <xf numFmtId="0" fontId="22" fillId="0" borderId="21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/>
    </xf>
    <xf numFmtId="0" fontId="12" fillId="10" borderId="31" xfId="0" applyFont="1" applyFill="1" applyBorder="1" applyAlignment="1">
      <alignment horizontal="center" vertical="center"/>
    </xf>
    <xf numFmtId="0" fontId="12" fillId="10" borderId="32" xfId="0" applyFont="1" applyFill="1" applyBorder="1" applyAlignment="1">
      <alignment horizontal="center" vertical="center"/>
    </xf>
    <xf numFmtId="0" fontId="12" fillId="10" borderId="33" xfId="0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 wrapText="1"/>
    </xf>
    <xf numFmtId="0" fontId="18" fillId="4" borderId="3" xfId="0" applyFont="1" applyFill="1" applyBorder="1" applyAlignment="1">
      <alignment horizontal="center" vertical="center" wrapText="1"/>
    </xf>
    <xf numFmtId="0" fontId="19" fillId="4" borderId="28" xfId="0" applyFont="1" applyFill="1" applyBorder="1" applyAlignment="1">
      <alignment horizontal="center" vertical="center" wrapText="1"/>
    </xf>
    <xf numFmtId="0" fontId="21" fillId="4" borderId="34" xfId="0" applyFont="1" applyFill="1" applyBorder="1" applyAlignment="1">
      <alignment horizontal="center" vertical="center" wrapText="1"/>
    </xf>
    <xf numFmtId="0" fontId="22" fillId="4" borderId="28" xfId="0" applyFont="1" applyFill="1" applyBorder="1" applyAlignment="1">
      <alignment horizontal="center" vertical="center" wrapText="1"/>
    </xf>
    <xf numFmtId="0" fontId="22" fillId="4" borderId="34" xfId="0" applyFont="1" applyFill="1" applyBorder="1" applyAlignment="1">
      <alignment horizontal="center" vertical="center" wrapText="1"/>
    </xf>
    <xf numFmtId="0" fontId="22" fillId="4" borderId="30" xfId="0" applyFont="1" applyFill="1" applyBorder="1" applyAlignment="1">
      <alignment horizontal="center" vertical="center" wrapText="1"/>
    </xf>
    <xf numFmtId="0" fontId="21" fillId="6" borderId="7" xfId="0" applyFont="1" applyFill="1" applyBorder="1" applyAlignment="1">
      <alignment horizontal="center" vertical="center" wrapText="1"/>
    </xf>
    <xf numFmtId="0" fontId="21" fillId="6" borderId="21" xfId="0" applyFont="1" applyFill="1" applyBorder="1" applyAlignment="1">
      <alignment horizontal="center" vertical="center" wrapText="1"/>
    </xf>
    <xf numFmtId="164" fontId="21" fillId="0" borderId="35" xfId="0" applyNumberFormat="1" applyFont="1" applyBorder="1" applyAlignment="1">
      <alignment horizontal="center" vertical="center" wrapText="1"/>
    </xf>
    <xf numFmtId="164" fontId="21" fillId="0" borderId="36" xfId="0" applyNumberFormat="1" applyFont="1" applyBorder="1" applyAlignment="1">
      <alignment horizontal="center" vertical="center" wrapText="1"/>
    </xf>
    <xf numFmtId="165" fontId="22" fillId="0" borderId="7" xfId="0" applyNumberFormat="1" applyFont="1" applyBorder="1" applyAlignment="1">
      <alignment horizontal="center" vertical="center" wrapText="1"/>
    </xf>
    <xf numFmtId="165" fontId="22" fillId="0" borderId="21" xfId="0" applyNumberFormat="1" applyFont="1" applyBorder="1" applyAlignment="1">
      <alignment horizontal="center" vertical="center" wrapText="1"/>
    </xf>
    <xf numFmtId="165" fontId="22" fillId="0" borderId="9" xfId="0" applyNumberFormat="1" applyFont="1" applyBorder="1" applyAlignment="1">
      <alignment horizontal="center" vertical="center" wrapText="1"/>
    </xf>
    <xf numFmtId="166" fontId="21" fillId="6" borderId="1" xfId="0" applyNumberFormat="1" applyFont="1" applyFill="1" applyBorder="1" applyAlignment="1">
      <alignment horizontal="center" vertical="center" wrapText="1"/>
    </xf>
    <xf numFmtId="0" fontId="12" fillId="0" borderId="7" xfId="0" quotePrefix="1" applyFont="1" applyBorder="1" applyAlignment="1">
      <alignment horizontal="center" vertical="center" wrapText="1"/>
    </xf>
    <xf numFmtId="0" fontId="12" fillId="0" borderId="8" xfId="0" quotePrefix="1" applyFont="1" applyBorder="1" applyAlignment="1">
      <alignment horizontal="center" vertical="center" wrapText="1"/>
    </xf>
    <xf numFmtId="0" fontId="12" fillId="0" borderId="21" xfId="0" quotePrefix="1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2" fillId="0" borderId="26" xfId="0" applyFont="1" applyBorder="1" applyAlignment="1">
      <alignment horizontal="center" vertical="center" wrapText="1"/>
    </xf>
    <xf numFmtId="0" fontId="15" fillId="4" borderId="28" xfId="0" applyFont="1" applyFill="1" applyBorder="1" applyAlignment="1">
      <alignment horizontal="center" vertical="center"/>
    </xf>
    <xf numFmtId="0" fontId="15" fillId="4" borderId="29" xfId="0" applyFont="1" applyFill="1" applyBorder="1" applyAlignment="1">
      <alignment horizontal="center" vertical="center"/>
    </xf>
    <xf numFmtId="0" fontId="15" fillId="4" borderId="34" xfId="0" applyFont="1" applyFill="1" applyBorder="1" applyAlignment="1">
      <alignment horizontal="center" vertical="center"/>
    </xf>
    <xf numFmtId="0" fontId="15" fillId="4" borderId="30" xfId="0" applyFont="1" applyFill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 wrapText="1"/>
    </xf>
    <xf numFmtId="0" fontId="12" fillId="6" borderId="8" xfId="0" applyFont="1" applyFill="1" applyBorder="1" applyAlignment="1">
      <alignment horizontal="center" vertical="center" wrapText="1"/>
    </xf>
    <xf numFmtId="0" fontId="12" fillId="6" borderId="21" xfId="0" applyFont="1" applyFill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21" fillId="0" borderId="37" xfId="0" applyFont="1" applyBorder="1" applyAlignment="1">
      <alignment horizontal="center" vertical="center" wrapText="1"/>
    </xf>
    <xf numFmtId="0" fontId="21" fillId="0" borderId="38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42" fillId="0" borderId="7" xfId="0" applyFont="1" applyBorder="1" applyAlignment="1">
      <alignment horizontal="center" vertical="center"/>
    </xf>
    <xf numFmtId="0" fontId="15" fillId="7" borderId="3" xfId="0" applyFont="1" applyFill="1" applyBorder="1" applyAlignment="1">
      <alignment horizontal="center" vertical="center"/>
    </xf>
    <xf numFmtId="0" fontId="15" fillId="7" borderId="4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27" fillId="0" borderId="35" xfId="0" applyFont="1" applyBorder="1" applyAlignment="1">
      <alignment horizontal="center" vertical="center" wrapText="1"/>
    </xf>
    <xf numFmtId="0" fontId="27" fillId="0" borderId="39" xfId="0" applyFont="1" applyBorder="1" applyAlignment="1">
      <alignment horizontal="center" vertical="center" wrapText="1"/>
    </xf>
    <xf numFmtId="0" fontId="27" fillId="0" borderId="36" xfId="0" applyFont="1" applyBorder="1" applyAlignment="1">
      <alignment horizontal="center" vertical="center" wrapText="1"/>
    </xf>
    <xf numFmtId="0" fontId="27" fillId="0" borderId="31" xfId="0" applyFont="1" applyBorder="1" applyAlignment="1">
      <alignment horizontal="center" vertical="center" wrapText="1"/>
    </xf>
    <xf numFmtId="0" fontId="27" fillId="0" borderId="32" xfId="0" applyFont="1" applyBorder="1" applyAlignment="1">
      <alignment horizontal="center" vertical="center" wrapText="1"/>
    </xf>
    <xf numFmtId="0" fontId="27" fillId="0" borderId="3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6" borderId="25" xfId="0" applyFont="1" applyFill="1" applyBorder="1" applyAlignment="1">
      <alignment horizontal="center" vertical="center"/>
    </xf>
    <xf numFmtId="0" fontId="12" fillId="6" borderId="11" xfId="0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26" xfId="0" applyFont="1" applyFill="1" applyBorder="1" applyAlignment="1">
      <alignment horizontal="center" vertical="center"/>
    </xf>
    <xf numFmtId="0" fontId="15" fillId="7" borderId="3" xfId="0" applyFont="1" applyFill="1" applyBorder="1" applyAlignment="1">
      <alignment horizontal="center" vertical="center" wrapText="1"/>
    </xf>
    <xf numFmtId="16" fontId="12" fillId="6" borderId="1" xfId="0" applyNumberFormat="1" applyFont="1" applyFill="1" applyBorder="1" applyAlignment="1">
      <alignment horizontal="center" vertical="center"/>
    </xf>
    <xf numFmtId="0" fontId="19" fillId="4" borderId="34" xfId="0" applyFont="1" applyFill="1" applyBorder="1" applyAlignment="1">
      <alignment horizontal="center" vertical="center" wrapText="1"/>
    </xf>
    <xf numFmtId="0" fontId="12" fillId="0" borderId="9" xfId="0" quotePrefix="1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/>
    </xf>
    <xf numFmtId="0" fontId="12" fillId="0" borderId="7" xfId="0" quotePrefix="1" applyFont="1" applyBorder="1" applyAlignment="1">
      <alignment horizontal="center" vertical="center"/>
    </xf>
    <xf numFmtId="0" fontId="42" fillId="0" borderId="7" xfId="0" quotePrefix="1" applyFont="1" applyBorder="1" applyAlignment="1">
      <alignment horizontal="center" vertical="center"/>
    </xf>
    <xf numFmtId="0" fontId="12" fillId="0" borderId="31" xfId="0" quotePrefix="1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40" xfId="0" applyFont="1" applyBorder="1" applyAlignment="1">
      <alignment horizontal="center" vertical="center"/>
    </xf>
    <xf numFmtId="0" fontId="47" fillId="0" borderId="25" xfId="3" quotePrefix="1" applyBorder="1" applyAlignment="1">
      <alignment horizontal="center" vertical="center"/>
    </xf>
    <xf numFmtId="0" fontId="12" fillId="0" borderId="25" xfId="0" quotePrefix="1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3" fillId="0" borderId="7" xfId="0" quotePrefix="1" applyFont="1" applyBorder="1" applyAlignment="1">
      <alignment horizontal="center" vertical="center" wrapText="1"/>
    </xf>
    <xf numFmtId="0" fontId="33" fillId="0" borderId="8" xfId="0" quotePrefix="1" applyFont="1" applyBorder="1" applyAlignment="1">
      <alignment horizontal="center" vertical="center" wrapText="1"/>
    </xf>
    <xf numFmtId="0" fontId="33" fillId="0" borderId="21" xfId="0" quotePrefix="1" applyFont="1" applyBorder="1" applyAlignment="1">
      <alignment horizontal="center" vertical="center" wrapText="1"/>
    </xf>
    <xf numFmtId="0" fontId="33" fillId="0" borderId="9" xfId="0" quotePrefix="1" applyFont="1" applyBorder="1" applyAlignment="1">
      <alignment horizontal="center" vertical="center" wrapText="1"/>
    </xf>
    <xf numFmtId="0" fontId="33" fillId="0" borderId="7" xfId="0" quotePrefix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21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21" xfId="0" applyFont="1" applyBorder="1" applyAlignment="1">
      <alignment horizontal="center" vertical="center" wrapText="1"/>
    </xf>
    <xf numFmtId="0" fontId="33" fillId="6" borderId="8" xfId="0" applyFont="1" applyFill="1" applyBorder="1" applyAlignment="1">
      <alignment horizontal="center" vertical="center" wrapText="1"/>
    </xf>
    <xf numFmtId="0" fontId="33" fillId="6" borderId="9" xfId="0" applyFont="1" applyFill="1" applyBorder="1" applyAlignment="1">
      <alignment horizontal="center" vertical="center" wrapText="1"/>
    </xf>
    <xf numFmtId="0" fontId="33" fillId="0" borderId="31" xfId="0" quotePrefix="1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32" fillId="0" borderId="24" xfId="0" applyFont="1" applyBorder="1" applyAlignment="1">
      <alignment horizontal="center" vertical="center"/>
    </xf>
    <xf numFmtId="0" fontId="32" fillId="0" borderId="13" xfId="0" applyFont="1" applyBorder="1" applyAlignment="1">
      <alignment horizontal="center" vertical="center"/>
    </xf>
    <xf numFmtId="0" fontId="33" fillId="0" borderId="25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49" fillId="6" borderId="25" xfId="3" quotePrefix="1" applyFont="1" applyFill="1" applyBorder="1" applyAlignment="1">
      <alignment horizontal="center" vertical="center" wrapText="1"/>
    </xf>
    <xf numFmtId="0" fontId="50" fillId="6" borderId="11" xfId="0" applyFont="1" applyFill="1" applyBorder="1" applyAlignment="1">
      <alignment horizontal="center" vertical="center" wrapText="1"/>
    </xf>
    <xf numFmtId="0" fontId="50" fillId="6" borderId="12" xfId="0" applyFont="1" applyFill="1" applyBorder="1" applyAlignment="1">
      <alignment horizontal="center" vertical="center" wrapText="1"/>
    </xf>
    <xf numFmtId="0" fontId="33" fillId="6" borderId="25" xfId="0" quotePrefix="1" applyFont="1" applyFill="1" applyBorder="1" applyAlignment="1">
      <alignment horizontal="center" vertical="center" wrapText="1"/>
    </xf>
    <xf numFmtId="0" fontId="33" fillId="6" borderId="11" xfId="0" applyFont="1" applyFill="1" applyBorder="1" applyAlignment="1">
      <alignment horizontal="center" vertical="center" wrapText="1"/>
    </xf>
    <xf numFmtId="0" fontId="33" fillId="6" borderId="26" xfId="0" applyFont="1" applyFill="1" applyBorder="1" applyAlignment="1">
      <alignment horizontal="center" vertical="center" wrapText="1"/>
    </xf>
    <xf numFmtId="0" fontId="33" fillId="11" borderId="7" xfId="0" quotePrefix="1" applyFont="1" applyFill="1" applyBorder="1" applyAlignment="1">
      <alignment horizontal="center" vertical="center" wrapText="1"/>
    </xf>
    <xf numFmtId="0" fontId="33" fillId="11" borderId="8" xfId="0" quotePrefix="1" applyFont="1" applyFill="1" applyBorder="1" applyAlignment="1">
      <alignment horizontal="center" vertical="center" wrapText="1"/>
    </xf>
    <xf numFmtId="0" fontId="33" fillId="11" borderId="21" xfId="0" quotePrefix="1" applyFont="1" applyFill="1" applyBorder="1" applyAlignment="1">
      <alignment horizontal="center" vertical="center" wrapText="1"/>
    </xf>
    <xf numFmtId="0" fontId="33" fillId="11" borderId="7" xfId="0" applyFont="1" applyFill="1" applyBorder="1" applyAlignment="1">
      <alignment horizontal="center" vertical="center" wrapText="1"/>
    </xf>
    <xf numFmtId="0" fontId="33" fillId="11" borderId="8" xfId="0" applyFont="1" applyFill="1" applyBorder="1" applyAlignment="1">
      <alignment horizontal="center" vertical="center" wrapText="1"/>
    </xf>
    <xf numFmtId="0" fontId="33" fillId="11" borderId="21" xfId="0" applyFont="1" applyFill="1" applyBorder="1" applyAlignment="1">
      <alignment horizontal="center" vertical="center" wrapText="1"/>
    </xf>
    <xf numFmtId="0" fontId="33" fillId="11" borderId="9" xfId="0" applyFont="1" applyFill="1" applyBorder="1" applyAlignment="1">
      <alignment horizontal="center" vertical="center" wrapText="1"/>
    </xf>
    <xf numFmtId="0" fontId="33" fillId="11" borderId="7" xfId="0" quotePrefix="1" applyFont="1" applyFill="1" applyBorder="1" applyAlignment="1">
      <alignment horizontal="center" vertical="center"/>
    </xf>
    <xf numFmtId="0" fontId="33" fillId="11" borderId="8" xfId="0" applyFont="1" applyFill="1" applyBorder="1" applyAlignment="1">
      <alignment horizontal="center" vertical="center"/>
    </xf>
    <xf numFmtId="0" fontId="33" fillId="11" borderId="21" xfId="0" applyFont="1" applyFill="1" applyBorder="1" applyAlignment="1">
      <alignment horizontal="center" vertical="center"/>
    </xf>
    <xf numFmtId="0" fontId="33" fillId="11" borderId="25" xfId="0" quotePrefix="1" applyFont="1" applyFill="1" applyBorder="1" applyAlignment="1">
      <alignment horizontal="center" vertical="center" wrapText="1"/>
    </xf>
    <xf numFmtId="0" fontId="33" fillId="11" borderId="11" xfId="0" applyFont="1" applyFill="1" applyBorder="1" applyAlignment="1">
      <alignment horizontal="center" vertical="center" wrapText="1"/>
    </xf>
    <xf numFmtId="0" fontId="33" fillId="11" borderId="12" xfId="0" applyFont="1" applyFill="1" applyBorder="1" applyAlignment="1">
      <alignment horizontal="center" vertical="center" wrapText="1"/>
    </xf>
    <xf numFmtId="0" fontId="33" fillId="6" borderId="11" xfId="0" quotePrefix="1" applyFont="1" applyFill="1" applyBorder="1" applyAlignment="1">
      <alignment horizontal="center" vertical="center" wrapText="1"/>
    </xf>
    <xf numFmtId="0" fontId="33" fillId="6" borderId="7" xfId="0" quotePrefix="1" applyFont="1" applyFill="1" applyBorder="1" applyAlignment="1">
      <alignment horizontal="center" vertical="center"/>
    </xf>
    <xf numFmtId="0" fontId="33" fillId="6" borderId="8" xfId="0" applyFont="1" applyFill="1" applyBorder="1" applyAlignment="1">
      <alignment horizontal="center" vertical="center"/>
    </xf>
    <xf numFmtId="0" fontId="33" fillId="6" borderId="21" xfId="0" applyFont="1" applyFill="1" applyBorder="1" applyAlignment="1">
      <alignment horizontal="center" vertical="center"/>
    </xf>
    <xf numFmtId="0" fontId="33" fillId="6" borderId="31" xfId="0" quotePrefix="1" applyFont="1" applyFill="1" applyBorder="1" applyAlignment="1">
      <alignment horizontal="center" vertical="center"/>
    </xf>
    <xf numFmtId="0" fontId="33" fillId="6" borderId="32" xfId="0" applyFont="1" applyFill="1" applyBorder="1" applyAlignment="1">
      <alignment horizontal="center" vertical="center"/>
    </xf>
    <xf numFmtId="0" fontId="33" fillId="6" borderId="40" xfId="0" applyFont="1" applyFill="1" applyBorder="1" applyAlignment="1">
      <alignment horizontal="center" vertical="center"/>
    </xf>
    <xf numFmtId="0" fontId="33" fillId="11" borderId="11" xfId="0" quotePrefix="1" applyFont="1" applyFill="1" applyBorder="1" applyAlignment="1">
      <alignment horizontal="center" vertical="center" wrapText="1"/>
    </xf>
    <xf numFmtId="0" fontId="33" fillId="11" borderId="26" xfId="0" applyFont="1" applyFill="1" applyBorder="1" applyAlignment="1">
      <alignment horizontal="center" vertical="center" wrapText="1"/>
    </xf>
    <xf numFmtId="0" fontId="33" fillId="11" borderId="9" xfId="0" quotePrefix="1" applyFont="1" applyFill="1" applyBorder="1" applyAlignment="1">
      <alignment horizontal="center" vertical="center" wrapText="1"/>
    </xf>
    <xf numFmtId="0" fontId="33" fillId="0" borderId="32" xfId="0" quotePrefix="1" applyFont="1" applyBorder="1" applyAlignment="1">
      <alignment horizontal="center" vertical="center"/>
    </xf>
    <xf numFmtId="0" fontId="12" fillId="6" borderId="1" xfId="0" quotePrefix="1" applyFont="1" applyFill="1" applyBorder="1" applyAlignment="1">
      <alignment horizontal="center" vertical="center"/>
    </xf>
    <xf numFmtId="0" fontId="37" fillId="4" borderId="28" xfId="0" applyFont="1" applyFill="1" applyBorder="1" applyAlignment="1">
      <alignment horizontal="center" vertical="center" wrapText="1"/>
    </xf>
    <xf numFmtId="166" fontId="21" fillId="6" borderId="7" xfId="0" applyNumberFormat="1" applyFont="1" applyFill="1" applyBorder="1" applyAlignment="1">
      <alignment horizontal="center" vertical="center" wrapText="1"/>
    </xf>
    <xf numFmtId="166" fontId="21" fillId="6" borderId="21" xfId="0" applyNumberFormat="1" applyFont="1" applyFill="1" applyBorder="1" applyAlignment="1">
      <alignment horizontal="center" vertical="center" wrapText="1"/>
    </xf>
    <xf numFmtId="0" fontId="33" fillId="0" borderId="25" xfId="0" quotePrefix="1" applyFont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0" borderId="16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21" fillId="0" borderId="7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33" fillId="0" borderId="32" xfId="0" quotePrefix="1" applyFont="1" applyFill="1" applyBorder="1" applyAlignment="1">
      <alignment horizontal="center" vertical="center"/>
    </xf>
    <xf numFmtId="0" fontId="33" fillId="0" borderId="32" xfId="0" applyFont="1" applyFill="1" applyBorder="1" applyAlignment="1">
      <alignment horizontal="center" vertical="center"/>
    </xf>
    <xf numFmtId="0" fontId="33" fillId="0" borderId="40" xfId="0" applyFont="1" applyFill="1" applyBorder="1" applyAlignment="1">
      <alignment horizontal="center" vertical="center"/>
    </xf>
    <xf numFmtId="164" fontId="21" fillId="0" borderId="35" xfId="0" applyNumberFormat="1" applyFont="1" applyFill="1" applyBorder="1" applyAlignment="1">
      <alignment horizontal="center" vertical="center" wrapText="1"/>
    </xf>
    <xf numFmtId="164" fontId="21" fillId="0" borderId="36" xfId="0" applyNumberFormat="1" applyFont="1" applyFill="1" applyBorder="1" applyAlignment="1">
      <alignment horizontal="center" vertical="center" wrapText="1"/>
    </xf>
    <xf numFmtId="0" fontId="33" fillId="0" borderId="7" xfId="0" quotePrefix="1" applyFont="1" applyFill="1" applyBorder="1" applyAlignment="1">
      <alignment horizontal="center" vertical="center"/>
    </xf>
    <xf numFmtId="0" fontId="33" fillId="0" borderId="8" xfId="0" applyFont="1" applyFill="1" applyBorder="1" applyAlignment="1">
      <alignment horizontal="center" vertical="center"/>
    </xf>
    <xf numFmtId="0" fontId="33" fillId="0" borderId="2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 wrapText="1"/>
    </xf>
    <xf numFmtId="0" fontId="12" fillId="0" borderId="2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/>
    </xf>
    <xf numFmtId="0" fontId="15" fillId="0" borderId="21" xfId="0" applyFont="1" applyFill="1" applyBorder="1" applyAlignment="1">
      <alignment horizontal="center" vertical="center"/>
    </xf>
    <xf numFmtId="0" fontId="27" fillId="0" borderId="35" xfId="0" applyFont="1" applyFill="1" applyBorder="1" applyAlignment="1">
      <alignment horizontal="center" vertical="center" wrapText="1"/>
    </xf>
    <xf numFmtId="0" fontId="27" fillId="0" borderId="39" xfId="0" applyFont="1" applyFill="1" applyBorder="1" applyAlignment="1">
      <alignment horizontal="center" vertical="center" wrapText="1"/>
    </xf>
    <xf numFmtId="0" fontId="27" fillId="0" borderId="36" xfId="0" applyFont="1" applyFill="1" applyBorder="1" applyAlignment="1">
      <alignment horizontal="center" vertical="center" wrapText="1"/>
    </xf>
    <xf numFmtId="0" fontId="27" fillId="0" borderId="31" xfId="0" applyFont="1" applyFill="1" applyBorder="1" applyAlignment="1">
      <alignment horizontal="center" vertical="center" wrapText="1"/>
    </xf>
    <xf numFmtId="0" fontId="27" fillId="0" borderId="32" xfId="0" applyFont="1" applyFill="1" applyBorder="1" applyAlignment="1">
      <alignment horizontal="center" vertical="center" wrapText="1"/>
    </xf>
    <xf numFmtId="0" fontId="27" fillId="0" borderId="33" xfId="0" applyFont="1" applyFill="1" applyBorder="1" applyAlignment="1">
      <alignment horizontal="center" vertical="center" wrapText="1"/>
    </xf>
    <xf numFmtId="0" fontId="12" fillId="0" borderId="6" xfId="0" applyFont="1" applyBorder="1" applyAlignment="1">
      <alignment horizontal="left" vertical="center"/>
    </xf>
    <xf numFmtId="0" fontId="26" fillId="6" borderId="7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12" fillId="6" borderId="1" xfId="0" quotePrefix="1" applyFont="1" applyFill="1" applyBorder="1" applyAlignment="1">
      <alignment horizontal="left" vertical="center"/>
    </xf>
    <xf numFmtId="0" fontId="12" fillId="6" borderId="1" xfId="0" applyFont="1" applyFill="1" applyBorder="1" applyAlignment="1">
      <alignment horizontal="left" vertical="center"/>
    </xf>
    <xf numFmtId="0" fontId="12" fillId="6" borderId="6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6" fillId="6" borderId="0" xfId="4" applyFill="1"/>
    <xf numFmtId="0" fontId="1" fillId="0" borderId="0" xfId="4" applyFont="1"/>
  </cellXfs>
  <cellStyles count="5">
    <cellStyle name="Comma [0]" xfId="2" builtinId="6"/>
    <cellStyle name="Hyperlink" xfId="3" builtinId="8"/>
    <cellStyle name="Normal" xfId="0" builtinId="0"/>
    <cellStyle name="Normal 2" xfId="4" xr:uid="{EE9ED668-83DF-614E-AFFD-9260014BDA3C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38100</xdr:rowOff>
        </xdr:from>
        <xdr:to>
          <xdr:col>0</xdr:col>
          <xdr:colOff>1524000</xdr:colOff>
          <xdr:row>40</xdr:row>
          <xdr:rowOff>12700</xdr:rowOff>
        </xdr:to>
        <xdr:sp macro="" textlink="">
          <xdr:nvSpPr>
            <xdr:cNvPr id="66561" name="Button 1" descr="Button_4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0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-127"/>
                  <a:cs typeface="Calibri" pitchFamily="2" charset="-127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DF308-A7FA-9E44-A5CF-0B41F1EEC7CC}">
  <sheetPr codeName="Sheet1"/>
  <dimension ref="A1:AS37"/>
  <sheetViews>
    <sheetView tabSelected="1" workbookViewId="0">
      <pane xSplit="1" topLeftCell="B1" activePane="topRight" state="frozen"/>
      <selection pane="topRight" activeCell="E37" sqref="E37:F37"/>
    </sheetView>
  </sheetViews>
  <sheetFormatPr baseColWidth="10" defaultRowHeight="16"/>
  <cols>
    <col min="1" max="1" width="20.1640625" style="514" customWidth="1"/>
    <col min="2" max="2" width="18.83203125" style="514" customWidth="1"/>
    <col min="3" max="3" width="10.83203125" style="519"/>
    <col min="4" max="4" width="10.83203125" style="514" customWidth="1"/>
    <col min="5" max="5" width="12.33203125" style="519" customWidth="1"/>
    <col min="6" max="6" width="12" style="519" customWidth="1"/>
    <col min="7" max="10" width="10.83203125" style="514"/>
    <col min="11" max="11" width="12.6640625" style="514" customWidth="1"/>
    <col min="12" max="12" width="14" style="514" customWidth="1"/>
    <col min="13" max="13" width="15.33203125" style="514" customWidth="1"/>
    <col min="14" max="14" width="17.33203125" style="514" customWidth="1"/>
    <col min="15" max="15" width="18.1640625" style="514" customWidth="1"/>
    <col min="16" max="16" width="20.83203125" style="514" customWidth="1"/>
    <col min="17" max="22" width="17.83203125" style="514" customWidth="1"/>
    <col min="23" max="23" width="15.33203125" style="514" customWidth="1"/>
    <col min="24" max="24" width="16.83203125" style="514" customWidth="1"/>
    <col min="25" max="26" width="18.1640625" style="514" customWidth="1"/>
    <col min="27" max="27" width="19.33203125" style="514" customWidth="1"/>
    <col min="28" max="28" width="18.5" style="514" customWidth="1"/>
    <col min="29" max="29" width="20.5" style="514" customWidth="1"/>
    <col min="30" max="30" width="21" style="514" customWidth="1"/>
    <col min="31" max="32" width="17.1640625" style="514" customWidth="1"/>
    <col min="33" max="33" width="16.33203125" style="514" customWidth="1"/>
    <col min="34" max="34" width="18.1640625" style="514" customWidth="1"/>
    <col min="35" max="38" width="17.1640625" style="514" customWidth="1"/>
    <col min="39" max="39" width="18" style="514" customWidth="1"/>
    <col min="40" max="40" width="20.33203125" style="514" customWidth="1"/>
    <col min="41" max="41" width="17.33203125" style="514" customWidth="1"/>
    <col min="42" max="42" width="15.5" style="514" customWidth="1"/>
    <col min="43" max="44" width="16.83203125" style="514" customWidth="1"/>
    <col min="45" max="45" width="15.33203125" style="514" customWidth="1"/>
    <col min="46" max="16384" width="10.83203125" style="514"/>
  </cols>
  <sheetData>
    <row r="1" spans="1:45">
      <c r="A1" s="516" t="s">
        <v>407</v>
      </c>
      <c r="B1" s="514" t="s">
        <v>368</v>
      </c>
      <c r="C1" s="519" t="s">
        <v>369</v>
      </c>
      <c r="D1" s="514" t="s">
        <v>370</v>
      </c>
      <c r="E1" s="519" t="s">
        <v>371</v>
      </c>
      <c r="F1" s="519" t="s">
        <v>372</v>
      </c>
      <c r="G1" s="514" t="s">
        <v>373</v>
      </c>
      <c r="H1" s="815" t="s">
        <v>374</v>
      </c>
      <c r="I1" s="514" t="s">
        <v>375</v>
      </c>
      <c r="J1" s="815" t="s">
        <v>376</v>
      </c>
      <c r="K1" s="521" t="s">
        <v>377</v>
      </c>
      <c r="L1" s="815" t="s">
        <v>378</v>
      </c>
      <c r="M1" s="514" t="s">
        <v>379</v>
      </c>
      <c r="N1" s="815" t="s">
        <v>380</v>
      </c>
      <c r="O1" s="514" t="s">
        <v>381</v>
      </c>
      <c r="P1" s="815" t="s">
        <v>382</v>
      </c>
      <c r="Q1" s="514" t="s">
        <v>383</v>
      </c>
      <c r="R1" s="815" t="s">
        <v>384</v>
      </c>
      <c r="S1" s="514" t="s">
        <v>385</v>
      </c>
      <c r="T1" s="815" t="s">
        <v>386</v>
      </c>
      <c r="U1" s="514" t="s">
        <v>387</v>
      </c>
      <c r="V1" s="815" t="s">
        <v>388</v>
      </c>
      <c r="W1" s="514" t="s">
        <v>389</v>
      </c>
      <c r="X1" s="815" t="s">
        <v>390</v>
      </c>
      <c r="Y1" s="514" t="s">
        <v>391</v>
      </c>
      <c r="Z1" s="815" t="s">
        <v>392</v>
      </c>
      <c r="AA1" s="514" t="s">
        <v>393</v>
      </c>
      <c r="AB1" s="514" t="s">
        <v>394</v>
      </c>
      <c r="AC1" s="514" t="s">
        <v>395</v>
      </c>
      <c r="AD1" s="514" t="s">
        <v>396</v>
      </c>
      <c r="AE1" s="514" t="s">
        <v>397</v>
      </c>
      <c r="AF1" s="514" t="s">
        <v>398</v>
      </c>
      <c r="AG1" s="514" t="s">
        <v>399</v>
      </c>
      <c r="AH1" s="514" t="s">
        <v>400</v>
      </c>
      <c r="AI1" s="515" t="s">
        <v>401</v>
      </c>
      <c r="AJ1" s="515" t="s">
        <v>402</v>
      </c>
      <c r="AK1" s="515" t="s">
        <v>403</v>
      </c>
      <c r="AL1" s="515" t="s">
        <v>404</v>
      </c>
      <c r="AM1" s="515" t="s">
        <v>405</v>
      </c>
      <c r="AN1" s="515" t="s">
        <v>406</v>
      </c>
      <c r="AO1" s="518" t="s">
        <v>436</v>
      </c>
      <c r="AP1" s="518" t="s">
        <v>437</v>
      </c>
      <c r="AQ1" s="518" t="s">
        <v>438</v>
      </c>
      <c r="AR1" s="518" t="s">
        <v>439</v>
      </c>
      <c r="AS1" s="518" t="s">
        <v>440</v>
      </c>
    </row>
    <row r="2" spans="1:45">
      <c r="A2" s="516" t="s">
        <v>408</v>
      </c>
      <c r="B2" s="514" t="str">
        <f ca="1">IFERROR(INDIRECT($A2&amp;"!L3"),"")</f>
        <v>JAPAN</v>
      </c>
      <c r="C2" s="519">
        <f ca="1">IFERROR(INDIRECT($A2&amp;"!H1"),"")</f>
        <v>2017</v>
      </c>
      <c r="D2" s="514" t="str">
        <f ca="1">IFERROR(INDIRECT($A2&amp;"!G1"),"")</f>
        <v>Jan</v>
      </c>
      <c r="E2" s="519">
        <f ca="1">IFERROR(INDIRECT($A2&amp;"!D10"),"")</f>
        <v>2</v>
      </c>
      <c r="F2" s="519">
        <f ca="1">IFERROR(INDIRECT($A2&amp;"!D14"),"")</f>
        <v>5</v>
      </c>
      <c r="G2" s="514">
        <f ca="1">IFERROR(INDIRECT($A2&amp;"!D22"),"")</f>
        <v>13890</v>
      </c>
      <c r="H2" s="514">
        <f ca="1">IFERROR(INDIRECT($A2&amp;"!E22"),"")</f>
        <v>11683</v>
      </c>
      <c r="I2" s="514">
        <f ca="1">IFERROR(INDIRECT($A2&amp;"!D25"),"")</f>
        <v>4715</v>
      </c>
      <c r="J2" s="514">
        <f ca="1">IFERROR(INDIRECT($A2&amp;"!e25"),"")</f>
        <v>4222</v>
      </c>
      <c r="K2" s="514">
        <f ca="1">IFERROR(INDIRECT($A2&amp;"!D26"),"")</f>
        <v>18605</v>
      </c>
      <c r="L2" s="514">
        <f ca="1">IFERROR(INDIRECT($A2&amp;"!E26"),"")</f>
        <v>15905</v>
      </c>
      <c r="M2" s="514">
        <f ca="1">IFERROR(INDIRECT($A2&amp;"!D30"),"")</f>
        <v>200</v>
      </c>
      <c r="N2" s="514">
        <f ca="1">IFERROR(INDIRECT($A2&amp;"!E30"),"")</f>
        <v>2472</v>
      </c>
      <c r="O2" s="514">
        <f ca="1">IFERROR(INDIRECT($A2&amp;"!D31"),"")</f>
        <v>1200</v>
      </c>
      <c r="P2" s="514">
        <f ca="1">IFERROR(INDIRECT($A2&amp;"!E31"),"")</f>
        <v>2754</v>
      </c>
      <c r="Q2" s="514">
        <f ca="1">IFERROR(INDIRECT($A2&amp;"!D35"),"")</f>
        <v>35000</v>
      </c>
      <c r="R2" s="514">
        <f ca="1">IFERROR(INDIRECT($A2&amp;"!E35"),"")</f>
        <v>0</v>
      </c>
      <c r="S2" s="514">
        <f ca="1">IFERROR(INDIRECT($A2&amp;"!D38"),"")</f>
        <v>0</v>
      </c>
      <c r="T2" s="514">
        <f ca="1">IFERROR(INDIRECT($A2&amp;"!E38"),"")</f>
        <v>0</v>
      </c>
      <c r="U2" s="514">
        <f ca="1">IFERROR(INDIRECT($A2&amp;"!D40"),"")</f>
        <v>300</v>
      </c>
      <c r="V2" s="514">
        <f ca="1">IFERROR(INDIRECT($A2&amp;"!E40"),"")</f>
        <v>550</v>
      </c>
      <c r="W2" s="514">
        <f ca="1">IFERROR(INDIRECT($A2&amp;"!D41"),"")</f>
        <v>2250</v>
      </c>
      <c r="X2" s="514">
        <f ca="1">IFERROR(INDIRECT($A2&amp;"!E41"),"")</f>
        <v>0</v>
      </c>
      <c r="Y2" s="514">
        <f ca="1">IFERROR(INDIRECT($A2&amp;"!D42"),"")</f>
        <v>17000</v>
      </c>
      <c r="Z2" s="514">
        <f ca="1">IFERROR(INDIRECT($A2&amp;"!E42"),"")</f>
        <v>0</v>
      </c>
      <c r="AA2" s="514">
        <f ca="1">IFERROR(INDIRECT($A2&amp;"!D43"),"")</f>
        <v>74555</v>
      </c>
      <c r="AB2" s="514">
        <f ca="1">IFERROR(INDIRECT($A2&amp;"!E43"),"")</f>
        <v>21681</v>
      </c>
      <c r="AC2" s="514">
        <f ca="1">IFERROR(INDIRECT($A2&amp;"!D44"),"")</f>
        <v>74255</v>
      </c>
      <c r="AD2" s="514">
        <f ca="1">IFERROR(INDIRECT($A2&amp;"!E44"),"")</f>
        <v>21131</v>
      </c>
      <c r="AE2" s="514">
        <f ca="1">IFERROR(INDIRECT($A2&amp;"!D51"),"")</f>
        <v>5</v>
      </c>
      <c r="AF2" s="514">
        <f ca="1">IFERROR(INDIRECT($A2&amp;"!E51"),"")</f>
        <v>2</v>
      </c>
      <c r="AG2" s="514">
        <f ca="1">IFERROR(INDIRECT($A2&amp;"!D53"),"")</f>
        <v>425</v>
      </c>
      <c r="AH2" s="514">
        <f ca="1">IFERROR(INDIRECT($A2&amp;"!E53"),"")</f>
        <v>412</v>
      </c>
      <c r="AI2" s="514">
        <f ca="1">IFERROR(INDIRECT($A2&amp;"!D54"),"")</f>
        <v>2</v>
      </c>
      <c r="AJ2" s="514">
        <f ca="1">IFERROR(INDIRECT($A2&amp;"!E54"),"")</f>
        <v>0</v>
      </c>
      <c r="AK2" s="514">
        <f ca="1">IFERROR(INDIRECT($A2&amp;"!D59"),"")</f>
        <v>740</v>
      </c>
      <c r="AL2" s="514">
        <f ca="1">IFERROR(INDIRECT($A2&amp;"!E59"),"")</f>
        <v>773</v>
      </c>
      <c r="AM2" s="514">
        <f ca="1">IFERROR(INDIRECT($A2&amp;"!D77"),"")</f>
        <v>18605</v>
      </c>
      <c r="AN2" s="514">
        <f ca="1">IFERROR(INDIRECT($A2&amp;"!E77"),"")</f>
        <v>15905</v>
      </c>
      <c r="AO2" s="519">
        <f ca="1">INDEX( INDIRECT($A2&amp;"!A:A"), MATCH("GNI Grant",INDIRECT($A2&amp;"!A:A"))+1)</f>
        <v>0</v>
      </c>
      <c r="AP2" s="519">
        <f ca="1">INDEX( INDIRECT($A2&amp;"!B:B"), MATCH("Carry over from last month ",INDIRECT($A2&amp;"!B:B"))+1)</f>
        <v>0</v>
      </c>
      <c r="AQ2" s="519">
        <f ca="1">INDEX( INDIRECT($A2&amp;"!C:C"), MATCH("Raised Fund",INDIRECT($A2&amp;"!C:C"))+1)</f>
        <v>21681</v>
      </c>
      <c r="AR2" s="519">
        <f ca="1">INDEX( INDIRECT($A2&amp;"!D:D"), MATCH("Expenditure",INDIRECT($A2&amp;"!D:D"))+1)</f>
        <v>37911</v>
      </c>
      <c r="AS2" s="519">
        <f ca="1">INDEX( INDIRECT($A2&amp;"!H:H"), MATCH("Balance",INDIRECT($A2&amp;"!H:H"))+1)</f>
        <v>-16230</v>
      </c>
    </row>
    <row r="3" spans="1:45">
      <c r="A3" s="516" t="s">
        <v>409</v>
      </c>
      <c r="B3" s="514" t="str">
        <f t="shared" ref="B3:B37" ca="1" si="0">IFERROR(INDIRECT($A3&amp;"!L3"),"")</f>
        <v>JAPAN</v>
      </c>
      <c r="C3" s="519">
        <f t="shared" ref="C3:C31" ca="1" si="1">IFERROR(INDIRECT($A3&amp;"!H1"),"")</f>
        <v>2017</v>
      </c>
      <c r="D3" s="514" t="str">
        <f t="shared" ref="D3:D31" ca="1" si="2">IFERROR(INDIRECT($A3&amp;"!G1"),"")</f>
        <v>Feb</v>
      </c>
      <c r="E3" s="519">
        <f t="shared" ref="E3:E31" ca="1" si="3">IFERROR(INDIRECT($A3&amp;"!D10"),"")</f>
        <v>3</v>
      </c>
      <c r="F3" s="519">
        <f t="shared" ref="F3:F13" ca="1" si="4">IFERROR(INDIRECT($A3&amp;"!D14"),"")</f>
        <v>6</v>
      </c>
      <c r="G3" s="514">
        <f t="shared" ref="G3:G13" ca="1" si="5">IFERROR(INDIRECT($A3&amp;"!D22"),"")</f>
        <v>13938</v>
      </c>
      <c r="H3" s="514">
        <f ca="1">IFERROR(INDIRECT($A3&amp;"!E22"),"")</f>
        <v>11557</v>
      </c>
      <c r="I3" s="514">
        <f t="shared" ref="I3:I13" ca="1" si="6">IFERROR(INDIRECT($A3&amp;"!D25"),"")</f>
        <v>4699</v>
      </c>
      <c r="J3" s="514">
        <f t="shared" ref="J3:J13" ca="1" si="7">IFERROR(INDIRECT($A3&amp;"!e25"),"")</f>
        <v>4161</v>
      </c>
      <c r="K3" s="514">
        <f t="shared" ref="K3:K13" ca="1" si="8">IFERROR(INDIRECT($A3&amp;"!D26"),"")</f>
        <v>18637</v>
      </c>
      <c r="L3" s="514">
        <f t="shared" ref="L3:L13" ca="1" si="9">IFERROR(INDIRECT($A3&amp;"!E26"),"")</f>
        <v>15718</v>
      </c>
      <c r="M3" s="514">
        <f t="shared" ref="M3:M13" ca="1" si="10">IFERROR(INDIRECT($A3&amp;"!D30"),"")</f>
        <v>200</v>
      </c>
      <c r="N3" s="514">
        <f t="shared" ref="N3:N13" ca="1" si="11">IFERROR(INDIRECT($A3&amp;"!E30"),"")</f>
        <v>539</v>
      </c>
      <c r="O3" s="514">
        <f t="shared" ref="O3:O13" ca="1" si="12">IFERROR(INDIRECT($A3&amp;"!D31"),"")</f>
        <v>1700</v>
      </c>
      <c r="P3" s="514">
        <f t="shared" ref="P3:P13" ca="1" si="13">IFERROR(INDIRECT($A3&amp;"!E31"),"")</f>
        <v>1177</v>
      </c>
      <c r="Q3" s="514">
        <f t="shared" ref="Q3:Q13" ca="1" si="14">IFERROR(INDIRECT($A3&amp;"!D35"),"")</f>
        <v>35000</v>
      </c>
      <c r="R3" s="514">
        <f t="shared" ref="R3:R13" ca="1" si="15">IFERROR(INDIRECT($A3&amp;"!E35"),"")</f>
        <v>0</v>
      </c>
      <c r="S3" s="514">
        <f t="shared" ref="S3:S13" ca="1" si="16">IFERROR(INDIRECT($A3&amp;"!D38"),"")</f>
        <v>0</v>
      </c>
      <c r="T3" s="514">
        <f t="shared" ref="T3:T13" ca="1" si="17">IFERROR(INDIRECT($A3&amp;"!E38"),"")</f>
        <v>0</v>
      </c>
      <c r="U3" s="514">
        <f t="shared" ref="U3:U13" ca="1" si="18">IFERROR(INDIRECT($A3&amp;"!D40"),"")</f>
        <v>300</v>
      </c>
      <c r="V3" s="514">
        <f t="shared" ref="V3:V13" ca="1" si="19">IFERROR(INDIRECT($A3&amp;"!E40"),"")</f>
        <v>998</v>
      </c>
      <c r="W3" s="514">
        <f t="shared" ref="W3:W13" ca="1" si="20">IFERROR(INDIRECT($A3&amp;"!D41"),"")</f>
        <v>2250</v>
      </c>
      <c r="X3" s="514">
        <f t="shared" ref="X3:X13" ca="1" si="21">IFERROR(INDIRECT($A3&amp;"!E41"),"")</f>
        <v>0</v>
      </c>
      <c r="Y3" s="514">
        <f t="shared" ref="Y3:Y13" ca="1" si="22">IFERROR(INDIRECT($A3&amp;"!D42"),"")</f>
        <v>17000</v>
      </c>
      <c r="Z3" s="514">
        <f t="shared" ref="Z3:Z13" ca="1" si="23">IFERROR(INDIRECT($A3&amp;"!E42"),"")</f>
        <v>51000</v>
      </c>
      <c r="AA3" s="514">
        <f t="shared" ref="AA3:AA13" ca="1" si="24">IFERROR(INDIRECT($A3&amp;"!D43"),"")</f>
        <v>75087</v>
      </c>
      <c r="AB3" s="514">
        <f t="shared" ref="AB3:AB13" ca="1" si="25">IFERROR(INDIRECT($A3&amp;"!E43"),"")</f>
        <v>69432</v>
      </c>
      <c r="AC3" s="514">
        <f t="shared" ref="AC3:AC13" ca="1" si="26">IFERROR(INDIRECT($A3&amp;"!D44"),"")</f>
        <v>74787</v>
      </c>
      <c r="AD3" s="514">
        <f t="shared" ref="AD3:AD13" ca="1" si="27">IFERROR(INDIRECT($A3&amp;"!E44"),"")</f>
        <v>68434</v>
      </c>
      <c r="AE3" s="514">
        <f t="shared" ref="AE3:AE13" ca="1" si="28">IFERROR(INDIRECT($A3&amp;"!D51"),"")</f>
        <v>5</v>
      </c>
      <c r="AF3" s="514">
        <f t="shared" ref="AF3:AF13" ca="1" si="29">IFERROR(INDIRECT($A3&amp;"!E51"),"")</f>
        <v>1</v>
      </c>
      <c r="AG3" s="514">
        <f t="shared" ref="AG3:AG13" ca="1" si="30">IFERROR(INDIRECT($A3&amp;"!D53"),"")</f>
        <v>422</v>
      </c>
      <c r="AH3" s="514">
        <f t="shared" ref="AH3:AH13" ca="1" si="31">IFERROR(INDIRECT($A3&amp;"!E53"),"")</f>
        <v>406</v>
      </c>
      <c r="AI3" s="514">
        <f t="shared" ref="AI3:AI13" ca="1" si="32">IFERROR(INDIRECT($A3&amp;"!D54"),"")</f>
        <v>2</v>
      </c>
      <c r="AJ3" s="514">
        <f t="shared" ref="AJ3:AJ13" ca="1" si="33">IFERROR(INDIRECT($A3&amp;"!E54"),"")</f>
        <v>3</v>
      </c>
      <c r="AK3" s="514">
        <f t="shared" ref="AK3:AK13" ca="1" si="34">IFERROR(INDIRECT($A3&amp;"!D59"),"")</f>
        <v>735</v>
      </c>
      <c r="AL3" s="514">
        <f t="shared" ref="AL3:AL13" ca="1" si="35">IFERROR(INDIRECT($A3&amp;"!E59"),"")</f>
        <v>766</v>
      </c>
      <c r="AM3" s="514">
        <f t="shared" ref="AM3:AM13" ca="1" si="36">IFERROR(INDIRECT($A3&amp;"!D77"),"")</f>
        <v>18637</v>
      </c>
      <c r="AN3" s="514">
        <f t="shared" ref="AN3:AN13" ca="1" si="37">IFERROR(INDIRECT($A3&amp;"!E77"),"")</f>
        <v>15718</v>
      </c>
      <c r="AO3" s="519">
        <f t="shared" ref="AO3:AO31" ca="1" si="38">INDEX( INDIRECT($A3&amp;"!A:A"), MATCH("GNI Grant",INDIRECT($A3&amp;"!A:A"))+1)</f>
        <v>0</v>
      </c>
      <c r="AP3" s="519">
        <f t="shared" ref="AP3:AP12" ca="1" si="39">INDEX( INDIRECT($A3&amp;"!B:B"), MATCH("Carry over from last month ",INDIRECT($A3&amp;"!B:B"))+1)</f>
        <v>-16230</v>
      </c>
      <c r="AQ3" s="519">
        <f t="shared" ref="AQ3:AQ13" ca="1" si="40">INDEX( INDIRECT($A3&amp;"!C:C"), MATCH("Raised Fund",INDIRECT($A3&amp;"!C:C"))+1)</f>
        <v>18432</v>
      </c>
      <c r="AR3" s="519">
        <f t="shared" ref="AR3:AR31" ca="1" si="41">INDEX( INDIRECT($A3&amp;"!D:D"), MATCH("Expenditure",INDIRECT($A3&amp;"!D:D"))+1)</f>
        <v>38591</v>
      </c>
      <c r="AS3" s="519">
        <f t="shared" ref="AS3:AS31" ca="1" si="42">INDEX( INDIRECT($A3&amp;"!H:H"), MATCH("Balance",INDIRECT($A3&amp;"!H:H"))+1)</f>
        <v>14611</v>
      </c>
    </row>
    <row r="4" spans="1:45">
      <c r="A4" s="516" t="s">
        <v>410</v>
      </c>
      <c r="B4" s="514" t="str">
        <f t="shared" ca="1" si="0"/>
        <v>JAPAN</v>
      </c>
      <c r="C4" s="519">
        <f t="shared" ca="1" si="1"/>
        <v>2017</v>
      </c>
      <c r="D4" s="514" t="str">
        <f ca="1">IFERROR(INDIRECT($A4&amp;"!G1"),"")</f>
        <v>March</v>
      </c>
      <c r="E4" s="519">
        <f t="shared" ca="1" si="3"/>
        <v>3</v>
      </c>
      <c r="F4" s="519">
        <f t="shared" ca="1" si="4"/>
        <v>6</v>
      </c>
      <c r="G4" s="514">
        <f t="shared" ca="1" si="5"/>
        <v>13986</v>
      </c>
      <c r="H4" s="514">
        <f t="shared" ref="H4:H13" ca="1" si="43">IFERROR(INDIRECT($A4&amp;"!E22"),"")</f>
        <v>11504</v>
      </c>
      <c r="I4" s="514">
        <f t="shared" ca="1" si="6"/>
        <v>4682</v>
      </c>
      <c r="J4" s="514">
        <f t="shared" ca="1" si="7"/>
        <v>4143</v>
      </c>
      <c r="K4" s="514">
        <f t="shared" ca="1" si="8"/>
        <v>18668</v>
      </c>
      <c r="L4" s="514">
        <f t="shared" ca="1" si="9"/>
        <v>15647</v>
      </c>
      <c r="M4" s="514">
        <f t="shared" ca="1" si="10"/>
        <v>200</v>
      </c>
      <c r="N4" s="514">
        <f t="shared" ca="1" si="11"/>
        <v>832</v>
      </c>
      <c r="O4" s="514">
        <f t="shared" ca="1" si="12"/>
        <v>2200</v>
      </c>
      <c r="P4" s="514">
        <f t="shared" ca="1" si="13"/>
        <v>12468</v>
      </c>
      <c r="Q4" s="514">
        <f t="shared" ca="1" si="14"/>
        <v>35000</v>
      </c>
      <c r="R4" s="514">
        <f t="shared" ca="1" si="15"/>
        <v>0</v>
      </c>
      <c r="S4" s="514">
        <f t="shared" ca="1" si="16"/>
        <v>0</v>
      </c>
      <c r="T4" s="514">
        <f t="shared" ca="1" si="17"/>
        <v>0</v>
      </c>
      <c r="U4" s="514">
        <f t="shared" ca="1" si="18"/>
        <v>300</v>
      </c>
      <c r="V4" s="514">
        <f t="shared" ca="1" si="19"/>
        <v>492</v>
      </c>
      <c r="W4" s="514">
        <f t="shared" ca="1" si="20"/>
        <v>2250</v>
      </c>
      <c r="X4" s="514">
        <f t="shared" ca="1" si="21"/>
        <v>0</v>
      </c>
      <c r="Y4" s="514">
        <f t="shared" ca="1" si="22"/>
        <v>17000</v>
      </c>
      <c r="Z4" s="514">
        <f t="shared" ca="1" si="23"/>
        <v>0</v>
      </c>
      <c r="AA4" s="514">
        <f t="shared" ca="1" si="24"/>
        <v>75618</v>
      </c>
      <c r="AB4" s="514">
        <f t="shared" ca="1" si="25"/>
        <v>29439</v>
      </c>
      <c r="AC4" s="514">
        <f t="shared" ca="1" si="26"/>
        <v>75318</v>
      </c>
      <c r="AD4" s="514">
        <f t="shared" ca="1" si="27"/>
        <v>28947</v>
      </c>
      <c r="AE4" s="514">
        <f t="shared" ca="1" si="28"/>
        <v>5</v>
      </c>
      <c r="AF4" s="514">
        <f t="shared" ca="1" si="29"/>
        <v>1</v>
      </c>
      <c r="AG4" s="514">
        <f t="shared" ca="1" si="30"/>
        <v>418</v>
      </c>
      <c r="AH4" s="514">
        <f t="shared" ca="1" si="31"/>
        <v>403</v>
      </c>
      <c r="AI4" s="514">
        <f t="shared" ca="1" si="32"/>
        <v>2</v>
      </c>
      <c r="AJ4" s="514">
        <f t="shared" ca="1" si="33"/>
        <v>0</v>
      </c>
      <c r="AK4" s="514">
        <f t="shared" ca="1" si="34"/>
        <v>728</v>
      </c>
      <c r="AL4" s="514">
        <f t="shared" ca="1" si="35"/>
        <v>756</v>
      </c>
      <c r="AM4" s="514">
        <f t="shared" ca="1" si="36"/>
        <v>18668</v>
      </c>
      <c r="AN4" s="514">
        <f t="shared" ca="1" si="37"/>
        <v>15647</v>
      </c>
      <c r="AO4" s="519">
        <f t="shared" ca="1" si="38"/>
        <v>0</v>
      </c>
      <c r="AP4" s="519">
        <f t="shared" ca="1" si="39"/>
        <v>14611</v>
      </c>
      <c r="AQ4" s="519">
        <f t="shared" ca="1" si="40"/>
        <v>29439</v>
      </c>
      <c r="AR4" s="519">
        <f t="shared" ca="1" si="41"/>
        <v>38591</v>
      </c>
      <c r="AS4" s="519">
        <f t="shared" ca="1" si="42"/>
        <v>5459</v>
      </c>
    </row>
    <row r="5" spans="1:45">
      <c r="A5" s="517" t="s">
        <v>441</v>
      </c>
      <c r="B5" s="514" t="str">
        <f t="shared" ca="1" si="0"/>
        <v>JAPAN</v>
      </c>
      <c r="C5" s="519">
        <f t="shared" ca="1" si="1"/>
        <v>2017</v>
      </c>
      <c r="D5" s="514" t="str">
        <f t="shared" ca="1" si="2"/>
        <v>April</v>
      </c>
      <c r="E5" s="519">
        <f t="shared" ca="1" si="3"/>
        <v>4</v>
      </c>
      <c r="F5" s="519">
        <f t="shared" ca="1" si="4"/>
        <v>7</v>
      </c>
      <c r="G5" s="514">
        <f t="shared" ca="1" si="5"/>
        <v>14035</v>
      </c>
      <c r="H5" s="514">
        <f t="shared" ca="1" si="43"/>
        <v>11382</v>
      </c>
      <c r="I5" s="514">
        <f t="shared" ca="1" si="6"/>
        <v>4666</v>
      </c>
      <c r="J5" s="514">
        <f t="shared" ca="1" si="7"/>
        <v>4104</v>
      </c>
      <c r="K5" s="514">
        <f t="shared" ca="1" si="8"/>
        <v>18701</v>
      </c>
      <c r="L5" s="514">
        <f t="shared" ca="1" si="9"/>
        <v>15486</v>
      </c>
      <c r="M5" s="514">
        <f t="shared" ca="1" si="10"/>
        <v>200</v>
      </c>
      <c r="N5" s="514">
        <f t="shared" ca="1" si="11"/>
        <v>1164</v>
      </c>
      <c r="O5" s="514">
        <f t="shared" ca="1" si="12"/>
        <v>2700</v>
      </c>
      <c r="P5" s="514">
        <f t="shared" ca="1" si="13"/>
        <v>2459</v>
      </c>
      <c r="Q5" s="514">
        <f t="shared" ca="1" si="14"/>
        <v>35000</v>
      </c>
      <c r="R5" s="514">
        <f t="shared" ca="1" si="15"/>
        <v>0</v>
      </c>
      <c r="S5" s="514">
        <f t="shared" ca="1" si="16"/>
        <v>2222</v>
      </c>
      <c r="T5" s="514">
        <f t="shared" ca="1" si="17"/>
        <v>0</v>
      </c>
      <c r="U5" s="514">
        <f t="shared" ca="1" si="18"/>
        <v>300</v>
      </c>
      <c r="V5" s="514">
        <f t="shared" ca="1" si="19"/>
        <v>1303</v>
      </c>
      <c r="W5" s="514">
        <f t="shared" ca="1" si="20"/>
        <v>3750</v>
      </c>
      <c r="X5" s="514">
        <f t="shared" ca="1" si="21"/>
        <v>0</v>
      </c>
      <c r="Y5" s="514">
        <f t="shared" ca="1" si="22"/>
        <v>17000</v>
      </c>
      <c r="Z5" s="514">
        <f t="shared" ca="1" si="23"/>
        <v>51000</v>
      </c>
      <c r="AA5" s="514">
        <f t="shared" ca="1" si="24"/>
        <v>79873</v>
      </c>
      <c r="AB5" s="514">
        <f t="shared" ca="1" si="25"/>
        <v>71412</v>
      </c>
      <c r="AC5" s="514">
        <f t="shared" ca="1" si="26"/>
        <v>79573</v>
      </c>
      <c r="AD5" s="514">
        <f t="shared" ca="1" si="27"/>
        <v>70109</v>
      </c>
      <c r="AE5" s="514">
        <f t="shared" ca="1" si="28"/>
        <v>5</v>
      </c>
      <c r="AF5" s="514">
        <f t="shared" ca="1" si="29"/>
        <v>1</v>
      </c>
      <c r="AG5" s="514">
        <f t="shared" ca="1" si="30"/>
        <v>415</v>
      </c>
      <c r="AH5" s="514">
        <f t="shared" ca="1" si="31"/>
        <v>398</v>
      </c>
      <c r="AI5" s="514">
        <f t="shared" ca="1" si="32"/>
        <v>2</v>
      </c>
      <c r="AJ5" s="514">
        <f t="shared" ca="1" si="33"/>
        <v>0</v>
      </c>
      <c r="AK5" s="514">
        <f t="shared" ca="1" si="34"/>
        <v>723</v>
      </c>
      <c r="AL5" s="514">
        <f t="shared" ca="1" si="35"/>
        <v>748</v>
      </c>
      <c r="AM5" s="514">
        <f t="shared" ca="1" si="36"/>
        <v>18701</v>
      </c>
      <c r="AN5" s="514">
        <f t="shared" ca="1" si="37"/>
        <v>15486</v>
      </c>
      <c r="AO5" s="519">
        <f t="shared" ca="1" si="38"/>
        <v>0</v>
      </c>
      <c r="AP5" s="519">
        <f t="shared" ca="1" si="39"/>
        <v>5459</v>
      </c>
      <c r="AQ5" s="519">
        <f t="shared" ca="1" si="40"/>
        <v>20412</v>
      </c>
      <c r="AR5" s="519">
        <f t="shared" ca="1" si="41"/>
        <v>48161</v>
      </c>
      <c r="AS5" s="519">
        <f t="shared" ca="1" si="42"/>
        <v>28710</v>
      </c>
    </row>
    <row r="6" spans="1:45">
      <c r="A6" s="516" t="s">
        <v>411</v>
      </c>
      <c r="B6" s="514" t="str">
        <f t="shared" ca="1" si="0"/>
        <v>JAPAN</v>
      </c>
      <c r="C6" s="519">
        <f t="shared" ca="1" si="1"/>
        <v>2017</v>
      </c>
      <c r="D6" s="514" t="str">
        <f t="shared" ca="1" si="2"/>
        <v>May</v>
      </c>
      <c r="E6" s="519">
        <f t="shared" ca="1" si="3"/>
        <v>4</v>
      </c>
      <c r="F6" s="519">
        <f t="shared" ca="1" si="4"/>
        <v>7</v>
      </c>
      <c r="G6" s="514">
        <f t="shared" ca="1" si="5"/>
        <v>14085</v>
      </c>
      <c r="H6" s="514">
        <f t="shared" ca="1" si="43"/>
        <v>11109</v>
      </c>
      <c r="I6" s="514">
        <f t="shared" ca="1" si="6"/>
        <v>4650</v>
      </c>
      <c r="J6" s="514">
        <f t="shared" ca="1" si="7"/>
        <v>4070</v>
      </c>
      <c r="K6" s="514">
        <f t="shared" ca="1" si="8"/>
        <v>18735</v>
      </c>
      <c r="L6" s="514">
        <f t="shared" ca="1" si="9"/>
        <v>15179</v>
      </c>
      <c r="M6" s="514">
        <f t="shared" ca="1" si="10"/>
        <v>200</v>
      </c>
      <c r="N6" s="514">
        <f t="shared" ca="1" si="11"/>
        <v>201</v>
      </c>
      <c r="O6" s="514">
        <f t="shared" ca="1" si="12"/>
        <v>3200</v>
      </c>
      <c r="P6" s="514">
        <f t="shared" ca="1" si="13"/>
        <v>1389</v>
      </c>
      <c r="Q6" s="514">
        <f t="shared" ca="1" si="14"/>
        <v>35000</v>
      </c>
      <c r="R6" s="514">
        <f t="shared" ca="1" si="15"/>
        <v>0</v>
      </c>
      <c r="S6" s="514">
        <f t="shared" ca="1" si="16"/>
        <v>2222</v>
      </c>
      <c r="T6" s="514">
        <f t="shared" ca="1" si="17"/>
        <v>0</v>
      </c>
      <c r="U6" s="514">
        <f t="shared" ca="1" si="18"/>
        <v>300</v>
      </c>
      <c r="V6" s="514">
        <f t="shared" ca="1" si="19"/>
        <v>799</v>
      </c>
      <c r="W6" s="514">
        <f t="shared" ca="1" si="20"/>
        <v>3750</v>
      </c>
      <c r="X6" s="514">
        <f t="shared" ca="1" si="21"/>
        <v>0</v>
      </c>
      <c r="Y6" s="514">
        <f t="shared" ca="1" si="22"/>
        <v>17000</v>
      </c>
      <c r="Z6" s="514">
        <f t="shared" ca="1" si="23"/>
        <v>0</v>
      </c>
      <c r="AA6" s="514">
        <f t="shared" ca="1" si="24"/>
        <v>80407</v>
      </c>
      <c r="AB6" s="514">
        <f t="shared" ca="1" si="25"/>
        <v>17568</v>
      </c>
      <c r="AC6" s="514">
        <f t="shared" ca="1" si="26"/>
        <v>80107</v>
      </c>
      <c r="AD6" s="514">
        <f t="shared" ca="1" si="27"/>
        <v>16769</v>
      </c>
      <c r="AE6" s="514">
        <f t="shared" ca="1" si="28"/>
        <v>5</v>
      </c>
      <c r="AF6" s="514">
        <f t="shared" ca="1" si="29"/>
        <v>8</v>
      </c>
      <c r="AG6" s="514">
        <f t="shared" ca="1" si="30"/>
        <v>412</v>
      </c>
      <c r="AH6" s="514">
        <f t="shared" ca="1" si="31"/>
        <v>393</v>
      </c>
      <c r="AI6" s="514">
        <f t="shared" ca="1" si="32"/>
        <v>2</v>
      </c>
      <c r="AJ6" s="514">
        <f t="shared" ca="1" si="33"/>
        <v>0</v>
      </c>
      <c r="AK6" s="514">
        <f t="shared" ca="1" si="34"/>
        <v>717</v>
      </c>
      <c r="AL6" s="514">
        <f t="shared" ca="1" si="35"/>
        <v>739</v>
      </c>
      <c r="AM6" s="514">
        <f t="shared" ca="1" si="36"/>
        <v>18735</v>
      </c>
      <c r="AN6" s="514">
        <f t="shared" ca="1" si="37"/>
        <v>15179</v>
      </c>
      <c r="AO6" s="519">
        <f t="shared" ca="1" si="38"/>
        <v>0</v>
      </c>
      <c r="AP6" s="519">
        <f t="shared" ca="1" si="39"/>
        <v>28710</v>
      </c>
      <c r="AQ6" s="519">
        <f t="shared" ca="1" si="40"/>
        <v>17568</v>
      </c>
      <c r="AR6" s="519">
        <f t="shared" ca="1" si="41"/>
        <v>49321</v>
      </c>
      <c r="AS6" s="519">
        <f t="shared" ca="1" si="42"/>
        <v>-3043</v>
      </c>
    </row>
    <row r="7" spans="1:45">
      <c r="A7" s="516" t="s">
        <v>412</v>
      </c>
      <c r="B7" s="514" t="str">
        <f t="shared" ca="1" si="0"/>
        <v>JAPAN</v>
      </c>
      <c r="C7" s="519">
        <f t="shared" ca="1" si="1"/>
        <v>2017</v>
      </c>
      <c r="D7" s="514" t="str">
        <f t="shared" ca="1" si="2"/>
        <v>June</v>
      </c>
      <c r="E7" s="519">
        <f t="shared" ca="1" si="3"/>
        <v>4</v>
      </c>
      <c r="F7" s="519">
        <f t="shared" ca="1" si="4"/>
        <v>7</v>
      </c>
      <c r="G7" s="514">
        <f t="shared" ca="1" si="5"/>
        <v>14136</v>
      </c>
      <c r="H7" s="514">
        <f t="shared" ca="1" si="43"/>
        <v>11343</v>
      </c>
      <c r="I7" s="514">
        <f t="shared" ca="1" si="6"/>
        <v>4634</v>
      </c>
      <c r="J7" s="514">
        <f t="shared" ca="1" si="7"/>
        <v>4035</v>
      </c>
      <c r="K7" s="514">
        <f t="shared" ca="1" si="8"/>
        <v>18770</v>
      </c>
      <c r="L7" s="514">
        <f t="shared" ca="1" si="9"/>
        <v>15378</v>
      </c>
      <c r="M7" s="514">
        <f t="shared" ca="1" si="10"/>
        <v>200</v>
      </c>
      <c r="N7" s="514">
        <f t="shared" ca="1" si="11"/>
        <v>613</v>
      </c>
      <c r="O7" s="514">
        <f t="shared" ca="1" si="12"/>
        <v>3700</v>
      </c>
      <c r="P7" s="514">
        <f t="shared" ca="1" si="13"/>
        <v>2750</v>
      </c>
      <c r="Q7" s="514">
        <f t="shared" ca="1" si="14"/>
        <v>35000</v>
      </c>
      <c r="R7" s="514">
        <f t="shared" ca="1" si="15"/>
        <v>0</v>
      </c>
      <c r="S7" s="514">
        <f t="shared" ca="1" si="16"/>
        <v>2222</v>
      </c>
      <c r="T7" s="514">
        <f t="shared" ca="1" si="17"/>
        <v>0</v>
      </c>
      <c r="U7" s="514">
        <f t="shared" ca="1" si="18"/>
        <v>300</v>
      </c>
      <c r="V7" s="514">
        <f t="shared" ca="1" si="19"/>
        <v>1241</v>
      </c>
      <c r="W7" s="514">
        <f t="shared" ca="1" si="20"/>
        <v>3750</v>
      </c>
      <c r="X7" s="514">
        <f t="shared" ca="1" si="21"/>
        <v>0</v>
      </c>
      <c r="Y7" s="514">
        <f t="shared" ca="1" si="22"/>
        <v>17000</v>
      </c>
      <c r="Z7" s="514">
        <f t="shared" ca="1" si="23"/>
        <v>0</v>
      </c>
      <c r="AA7" s="514">
        <f t="shared" ca="1" si="24"/>
        <v>80942</v>
      </c>
      <c r="AB7" s="514">
        <f t="shared" ca="1" si="25"/>
        <v>19982</v>
      </c>
      <c r="AC7" s="514">
        <f t="shared" ca="1" si="26"/>
        <v>80642</v>
      </c>
      <c r="AD7" s="514">
        <f t="shared" ca="1" si="27"/>
        <v>18741</v>
      </c>
      <c r="AE7" s="514">
        <f t="shared" ca="1" si="28"/>
        <v>5</v>
      </c>
      <c r="AF7" s="514">
        <f t="shared" ca="1" si="29"/>
        <v>12</v>
      </c>
      <c r="AG7" s="514">
        <f t="shared" ca="1" si="30"/>
        <v>409</v>
      </c>
      <c r="AH7" s="514">
        <f t="shared" ca="1" si="31"/>
        <v>403</v>
      </c>
      <c r="AI7" s="514">
        <f t="shared" ca="1" si="32"/>
        <v>2</v>
      </c>
      <c r="AJ7" s="514">
        <f t="shared" ca="1" si="33"/>
        <v>0</v>
      </c>
      <c r="AK7" s="514">
        <f t="shared" ca="1" si="34"/>
        <v>712</v>
      </c>
      <c r="AL7" s="514">
        <f t="shared" ca="1" si="35"/>
        <v>746</v>
      </c>
      <c r="AM7" s="514">
        <f t="shared" ca="1" si="36"/>
        <v>18770</v>
      </c>
      <c r="AN7" s="514">
        <f t="shared" ca="1" si="37"/>
        <v>15378</v>
      </c>
      <c r="AO7" s="519">
        <f t="shared" ca="1" si="38"/>
        <v>0</v>
      </c>
      <c r="AP7" s="519">
        <f t="shared" ca="1" si="39"/>
        <v>-3043</v>
      </c>
      <c r="AQ7" s="519">
        <f t="shared" ca="1" si="40"/>
        <v>19982</v>
      </c>
      <c r="AR7" s="519">
        <f t="shared" ca="1" si="41"/>
        <v>48501</v>
      </c>
      <c r="AS7" s="519">
        <f t="shared" ca="1" si="42"/>
        <v>-31562</v>
      </c>
    </row>
    <row r="8" spans="1:45">
      <c r="A8" s="516" t="s">
        <v>413</v>
      </c>
      <c r="B8" s="514" t="str">
        <f t="shared" ca="1" si="0"/>
        <v>JAPAN</v>
      </c>
      <c r="C8" s="519">
        <f t="shared" ca="1" si="1"/>
        <v>2017</v>
      </c>
      <c r="D8" s="514" t="str">
        <f t="shared" ca="1" si="2"/>
        <v>July</v>
      </c>
      <c r="E8" s="519">
        <f t="shared" ca="1" si="3"/>
        <v>4</v>
      </c>
      <c r="F8" s="519">
        <f t="shared" ca="1" si="4"/>
        <v>7</v>
      </c>
      <c r="G8" s="514">
        <f t="shared" ca="1" si="5"/>
        <v>14188</v>
      </c>
      <c r="H8" s="514">
        <f t="shared" ca="1" si="43"/>
        <v>12209</v>
      </c>
      <c r="I8" s="514">
        <f t="shared" ca="1" si="6"/>
        <v>4619</v>
      </c>
      <c r="J8" s="514">
        <f t="shared" ca="1" si="7"/>
        <v>3791</v>
      </c>
      <c r="K8" s="514">
        <f t="shared" ca="1" si="8"/>
        <v>18807</v>
      </c>
      <c r="L8" s="514">
        <f t="shared" ca="1" si="9"/>
        <v>16000</v>
      </c>
      <c r="M8" s="514">
        <f t="shared" ca="1" si="10"/>
        <v>200</v>
      </c>
      <c r="N8" s="514">
        <f t="shared" ca="1" si="11"/>
        <v>241</v>
      </c>
      <c r="O8" s="514">
        <f t="shared" ca="1" si="12"/>
        <v>3700</v>
      </c>
      <c r="P8" s="514">
        <f t="shared" ca="1" si="13"/>
        <v>4985</v>
      </c>
      <c r="Q8" s="514">
        <f t="shared" ca="1" si="14"/>
        <v>35000</v>
      </c>
      <c r="R8" s="514">
        <f t="shared" ca="1" si="15"/>
        <v>0</v>
      </c>
      <c r="S8" s="514">
        <f t="shared" ca="1" si="16"/>
        <v>2222</v>
      </c>
      <c r="T8" s="514">
        <f t="shared" ca="1" si="17"/>
        <v>28435</v>
      </c>
      <c r="U8" s="514">
        <f t="shared" ca="1" si="18"/>
        <v>300</v>
      </c>
      <c r="V8" s="514">
        <f t="shared" ca="1" si="19"/>
        <v>799</v>
      </c>
      <c r="W8" s="514">
        <f t="shared" ca="1" si="20"/>
        <v>5250</v>
      </c>
      <c r="X8" s="514">
        <f t="shared" ca="1" si="21"/>
        <v>0</v>
      </c>
      <c r="Y8" s="514">
        <f t="shared" ca="1" si="22"/>
        <v>17000</v>
      </c>
      <c r="Z8" s="514">
        <f t="shared" ca="1" si="23"/>
        <v>51000</v>
      </c>
      <c r="AA8" s="514">
        <f t="shared" ca="1" si="24"/>
        <v>82479</v>
      </c>
      <c r="AB8" s="514">
        <f t="shared" ca="1" si="25"/>
        <v>101460</v>
      </c>
      <c r="AC8" s="514">
        <f t="shared" ca="1" si="26"/>
        <v>82179</v>
      </c>
      <c r="AD8" s="514">
        <f t="shared" ca="1" si="27"/>
        <v>100661</v>
      </c>
      <c r="AE8" s="514">
        <f t="shared" ca="1" si="28"/>
        <v>5</v>
      </c>
      <c r="AF8" s="514">
        <f t="shared" ca="1" si="29"/>
        <v>32</v>
      </c>
      <c r="AG8" s="514">
        <f t="shared" ca="1" si="30"/>
        <v>406</v>
      </c>
      <c r="AH8" s="514">
        <f t="shared" ca="1" si="31"/>
        <v>443</v>
      </c>
      <c r="AI8" s="514">
        <f t="shared" ca="1" si="32"/>
        <v>2</v>
      </c>
      <c r="AJ8" s="514">
        <f t="shared" ca="1" si="33"/>
        <v>9</v>
      </c>
      <c r="AK8" s="514">
        <f t="shared" ca="1" si="34"/>
        <v>707</v>
      </c>
      <c r="AL8" s="514">
        <f t="shared" ca="1" si="35"/>
        <v>793</v>
      </c>
      <c r="AM8" s="514">
        <f t="shared" ca="1" si="36"/>
        <v>18807</v>
      </c>
      <c r="AN8" s="514">
        <f t="shared" ca="1" si="37"/>
        <v>16000</v>
      </c>
      <c r="AO8" s="519">
        <f t="shared" ca="1" si="38"/>
        <v>0</v>
      </c>
      <c r="AP8" s="519">
        <f t="shared" ca="1" si="39"/>
        <v>-31562</v>
      </c>
      <c r="AQ8" s="519">
        <f t="shared" ca="1" si="40"/>
        <v>50460</v>
      </c>
      <c r="AR8" s="519">
        <f t="shared" ca="1" si="41"/>
        <v>71436</v>
      </c>
      <c r="AS8" s="519">
        <f t="shared" ca="1" si="42"/>
        <v>-1538</v>
      </c>
    </row>
    <row r="9" spans="1:45">
      <c r="A9" s="516" t="s">
        <v>414</v>
      </c>
      <c r="B9" s="514" t="str">
        <f t="shared" ca="1" si="0"/>
        <v>JAPAN</v>
      </c>
      <c r="C9" s="519">
        <f t="shared" ca="1" si="1"/>
        <v>2017</v>
      </c>
      <c r="D9" s="514" t="str">
        <f t="shared" ca="1" si="2"/>
        <v>Aug</v>
      </c>
      <c r="E9" s="519">
        <f t="shared" ca="1" si="3"/>
        <v>4</v>
      </c>
      <c r="F9" s="519">
        <f t="shared" ca="1" si="4"/>
        <v>6</v>
      </c>
      <c r="G9" s="514">
        <f t="shared" ca="1" si="5"/>
        <v>14240</v>
      </c>
      <c r="H9" s="514">
        <f t="shared" ca="1" si="43"/>
        <v>9043</v>
      </c>
      <c r="I9" s="514">
        <f t="shared" ca="1" si="6"/>
        <v>4604</v>
      </c>
      <c r="J9" s="514">
        <f t="shared" ca="1" si="7"/>
        <v>2787</v>
      </c>
      <c r="K9" s="514">
        <f t="shared" ca="1" si="8"/>
        <v>18844</v>
      </c>
      <c r="L9" s="514">
        <f t="shared" ca="1" si="9"/>
        <v>11830</v>
      </c>
      <c r="M9" s="514">
        <f t="shared" ca="1" si="10"/>
        <v>200</v>
      </c>
      <c r="N9" s="514">
        <f t="shared" ca="1" si="11"/>
        <v>364</v>
      </c>
      <c r="O9" s="514">
        <f t="shared" ca="1" si="12"/>
        <v>3700</v>
      </c>
      <c r="P9" s="514">
        <f t="shared" ca="1" si="13"/>
        <v>10543</v>
      </c>
      <c r="Q9" s="514">
        <f t="shared" ca="1" si="14"/>
        <v>35000</v>
      </c>
      <c r="R9" s="514">
        <f t="shared" ca="1" si="15"/>
        <v>0</v>
      </c>
      <c r="S9" s="514">
        <f t="shared" ca="1" si="16"/>
        <v>2222</v>
      </c>
      <c r="T9" s="514">
        <f t="shared" ca="1" si="17"/>
        <v>0</v>
      </c>
      <c r="U9" s="514">
        <f t="shared" ca="1" si="18"/>
        <v>300</v>
      </c>
      <c r="V9" s="514">
        <f t="shared" ca="1" si="19"/>
        <v>762</v>
      </c>
      <c r="W9" s="514">
        <f t="shared" ca="1" si="20"/>
        <v>5250</v>
      </c>
      <c r="X9" s="514">
        <f t="shared" ca="1" si="21"/>
        <v>0</v>
      </c>
      <c r="Y9" s="514">
        <f t="shared" ca="1" si="22"/>
        <v>17000</v>
      </c>
      <c r="Z9" s="514">
        <f t="shared" ca="1" si="23"/>
        <v>0</v>
      </c>
      <c r="AA9" s="514">
        <f t="shared" ca="1" si="24"/>
        <v>82516</v>
      </c>
      <c r="AB9" s="514">
        <f t="shared" ca="1" si="25"/>
        <v>23499</v>
      </c>
      <c r="AC9" s="514">
        <f t="shared" ca="1" si="26"/>
        <v>82216</v>
      </c>
      <c r="AD9" s="514">
        <f t="shared" ca="1" si="27"/>
        <v>22737</v>
      </c>
      <c r="AE9" s="514">
        <f t="shared" ca="1" si="28"/>
        <v>5</v>
      </c>
      <c r="AF9" s="514">
        <f t="shared" ca="1" si="29"/>
        <v>44</v>
      </c>
      <c r="AG9" s="514">
        <f t="shared" ca="1" si="30"/>
        <v>403</v>
      </c>
      <c r="AH9" s="514">
        <f t="shared" ca="1" si="31"/>
        <v>304</v>
      </c>
      <c r="AI9" s="514">
        <f t="shared" ca="1" si="32"/>
        <v>2</v>
      </c>
      <c r="AJ9" s="514">
        <f t="shared" ca="1" si="33"/>
        <v>208</v>
      </c>
      <c r="AK9" s="514">
        <f t="shared" ca="1" si="34"/>
        <v>701</v>
      </c>
      <c r="AL9" s="514">
        <f t="shared" ca="1" si="35"/>
        <v>720</v>
      </c>
      <c r="AM9" s="514">
        <f t="shared" ca="1" si="36"/>
        <v>18844</v>
      </c>
      <c r="AN9" s="514">
        <f t="shared" ca="1" si="37"/>
        <v>11830</v>
      </c>
      <c r="AO9" s="519">
        <f t="shared" ca="1" si="38"/>
        <v>0</v>
      </c>
      <c r="AP9" s="519">
        <f t="shared" ca="1" si="39"/>
        <v>-1538</v>
      </c>
      <c r="AQ9" s="519">
        <f ca="1">INDEX( INDIRECT($A9&amp;"!C:C"), MATCH("Raised Fund",INDIRECT($A9&amp;"!C:C"))+1)</f>
        <v>23499</v>
      </c>
      <c r="AR9" s="519">
        <f t="shared" ca="1" si="41"/>
        <v>47921</v>
      </c>
      <c r="AS9" s="519">
        <f t="shared" ca="1" si="42"/>
        <v>-25960</v>
      </c>
    </row>
    <row r="10" spans="1:45">
      <c r="A10" s="516" t="s">
        <v>415</v>
      </c>
      <c r="B10" s="514" t="str">
        <f t="shared" ca="1" si="0"/>
        <v>JAPAN</v>
      </c>
      <c r="C10" s="519">
        <f t="shared" ca="1" si="1"/>
        <v>2017</v>
      </c>
      <c r="D10" s="514" t="str">
        <f t="shared" ca="1" si="2"/>
        <v>Sep</v>
      </c>
      <c r="E10" s="519">
        <f t="shared" ca="1" si="3"/>
        <v>5</v>
      </c>
      <c r="F10" s="519">
        <f t="shared" ca="1" si="4"/>
        <v>7</v>
      </c>
      <c r="G10" s="514">
        <f t="shared" ca="1" si="5"/>
        <v>14293</v>
      </c>
      <c r="H10" s="514">
        <f t="shared" ca="1" si="43"/>
        <v>9357</v>
      </c>
      <c r="I10" s="514">
        <f t="shared" ca="1" si="6"/>
        <v>4589</v>
      </c>
      <c r="J10" s="514">
        <f t="shared" ca="1" si="7"/>
        <v>2778</v>
      </c>
      <c r="K10" s="514">
        <f t="shared" ca="1" si="8"/>
        <v>18882</v>
      </c>
      <c r="L10" s="514">
        <f t="shared" ca="1" si="9"/>
        <v>12135</v>
      </c>
      <c r="M10" s="514">
        <f t="shared" ca="1" si="10"/>
        <v>200</v>
      </c>
      <c r="N10" s="514">
        <f t="shared" ca="1" si="11"/>
        <v>338</v>
      </c>
      <c r="O10" s="514">
        <f t="shared" ca="1" si="12"/>
        <v>3700</v>
      </c>
      <c r="P10" s="514">
        <f t="shared" ca="1" si="13"/>
        <v>12480</v>
      </c>
      <c r="Q10" s="514">
        <f t="shared" ca="1" si="14"/>
        <v>35000</v>
      </c>
      <c r="R10" s="514">
        <f t="shared" ca="1" si="15"/>
        <v>0</v>
      </c>
      <c r="S10" s="514">
        <f t="shared" ca="1" si="16"/>
        <v>2222</v>
      </c>
      <c r="T10" s="514">
        <f t="shared" ca="1" si="17"/>
        <v>0</v>
      </c>
      <c r="U10" s="514">
        <f t="shared" ca="1" si="18"/>
        <v>300</v>
      </c>
      <c r="V10" s="514">
        <f t="shared" ca="1" si="19"/>
        <v>5107</v>
      </c>
      <c r="W10" s="514">
        <f t="shared" ca="1" si="20"/>
        <v>5250</v>
      </c>
      <c r="X10" s="514">
        <f t="shared" ca="1" si="21"/>
        <v>0</v>
      </c>
      <c r="Y10" s="514">
        <f t="shared" ca="1" si="22"/>
        <v>17000</v>
      </c>
      <c r="Z10" s="514">
        <f t="shared" ca="1" si="23"/>
        <v>0</v>
      </c>
      <c r="AA10" s="514">
        <f t="shared" ca="1" si="24"/>
        <v>82554</v>
      </c>
      <c r="AB10" s="514">
        <f t="shared" ca="1" si="25"/>
        <v>30060</v>
      </c>
      <c r="AC10" s="514">
        <f t="shared" ca="1" si="26"/>
        <v>82254</v>
      </c>
      <c r="AD10" s="514">
        <f t="shared" ca="1" si="27"/>
        <v>24953</v>
      </c>
      <c r="AE10" s="514">
        <f t="shared" ca="1" si="28"/>
        <v>5</v>
      </c>
      <c r="AF10" s="514">
        <f t="shared" ca="1" si="29"/>
        <v>12</v>
      </c>
      <c r="AG10" s="514">
        <f t="shared" ca="1" si="30"/>
        <v>399</v>
      </c>
      <c r="AH10" s="514">
        <f t="shared" ca="1" si="31"/>
        <v>269</v>
      </c>
      <c r="AI10" s="514">
        <f t="shared" ca="1" si="32"/>
        <v>2</v>
      </c>
      <c r="AJ10" s="514">
        <f t="shared" ca="1" si="33"/>
        <v>0</v>
      </c>
      <c r="AK10" s="514">
        <f t="shared" ca="1" si="34"/>
        <v>695</v>
      </c>
      <c r="AL10" s="514">
        <f t="shared" ca="1" si="35"/>
        <v>476</v>
      </c>
      <c r="AM10" s="514">
        <f t="shared" ca="1" si="36"/>
        <v>18882</v>
      </c>
      <c r="AN10" s="514">
        <f t="shared" ca="1" si="37"/>
        <v>12135</v>
      </c>
      <c r="AO10" s="519">
        <f t="shared" ca="1" si="38"/>
        <v>0</v>
      </c>
      <c r="AP10" s="519">
        <f t="shared" ca="1" si="39"/>
        <v>-25960</v>
      </c>
      <c r="AQ10" s="519">
        <v>30060</v>
      </c>
      <c r="AR10" s="519">
        <f t="shared" ca="1" si="41"/>
        <v>48301</v>
      </c>
      <c r="AS10" s="519">
        <f t="shared" ca="1" si="42"/>
        <v>-44201</v>
      </c>
    </row>
    <row r="11" spans="1:45">
      <c r="A11" s="516" t="s">
        <v>416</v>
      </c>
      <c r="B11" s="514" t="str">
        <f t="shared" ca="1" si="0"/>
        <v>JAPAN</v>
      </c>
      <c r="C11" s="519">
        <f t="shared" ca="1" si="1"/>
        <v>2017</v>
      </c>
      <c r="D11" s="514" t="str">
        <f t="shared" ca="1" si="2"/>
        <v>Oct</v>
      </c>
      <c r="E11" s="519">
        <f t="shared" ca="1" si="3"/>
        <v>5</v>
      </c>
      <c r="F11" s="519">
        <f t="shared" ca="1" si="4"/>
        <v>7</v>
      </c>
      <c r="G11" s="514">
        <f t="shared" ca="1" si="5"/>
        <v>14347</v>
      </c>
      <c r="H11" s="514">
        <f t="shared" ca="1" si="43"/>
        <v>9635</v>
      </c>
      <c r="I11" s="514">
        <f t="shared" ca="1" si="6"/>
        <v>4575</v>
      </c>
      <c r="J11" s="514">
        <f t="shared" ca="1" si="7"/>
        <v>2778</v>
      </c>
      <c r="K11" s="514">
        <f t="shared" ca="1" si="8"/>
        <v>18922</v>
      </c>
      <c r="L11" s="514">
        <f t="shared" ca="1" si="9"/>
        <v>12413</v>
      </c>
      <c r="M11" s="514">
        <f t="shared" ca="1" si="10"/>
        <v>200</v>
      </c>
      <c r="N11" s="514">
        <f t="shared" ca="1" si="11"/>
        <v>1959</v>
      </c>
      <c r="O11" s="514">
        <f t="shared" ca="1" si="12"/>
        <v>3700</v>
      </c>
      <c r="P11" s="514">
        <f t="shared" ca="1" si="13"/>
        <v>13145</v>
      </c>
      <c r="Q11" s="514">
        <f t="shared" ca="1" si="14"/>
        <v>35000</v>
      </c>
      <c r="R11" s="514">
        <f t="shared" ca="1" si="15"/>
        <v>0</v>
      </c>
      <c r="S11" s="514">
        <f t="shared" ca="1" si="16"/>
        <v>2222</v>
      </c>
      <c r="T11" s="514">
        <f t="shared" ca="1" si="17"/>
        <v>0</v>
      </c>
      <c r="U11" s="514">
        <f t="shared" ca="1" si="18"/>
        <v>300</v>
      </c>
      <c r="V11" s="514">
        <f t="shared" ca="1" si="19"/>
        <v>7972.4</v>
      </c>
      <c r="W11" s="514">
        <f t="shared" ca="1" si="20"/>
        <v>6750</v>
      </c>
      <c r="X11" s="514">
        <f t="shared" ca="1" si="21"/>
        <v>0</v>
      </c>
      <c r="Y11" s="514">
        <f t="shared" ca="1" si="22"/>
        <v>17000</v>
      </c>
      <c r="Z11" s="514">
        <f t="shared" ca="1" si="23"/>
        <v>189145</v>
      </c>
      <c r="AA11" s="514">
        <f t="shared" ca="1" si="24"/>
        <v>84094</v>
      </c>
      <c r="AB11" s="514">
        <f t="shared" ca="1" si="25"/>
        <v>224634.4</v>
      </c>
      <c r="AC11" s="514">
        <f t="shared" ca="1" si="26"/>
        <v>83794</v>
      </c>
      <c r="AD11" s="514">
        <f t="shared" ca="1" si="27"/>
        <v>216662</v>
      </c>
      <c r="AE11" s="514">
        <f t="shared" ca="1" si="28"/>
        <v>5</v>
      </c>
      <c r="AF11" s="514">
        <f t="shared" ca="1" si="29"/>
        <v>9</v>
      </c>
      <c r="AG11" s="514">
        <f t="shared" ca="1" si="30"/>
        <v>396</v>
      </c>
      <c r="AH11" s="514">
        <f t="shared" ca="1" si="31"/>
        <v>277</v>
      </c>
      <c r="AI11" s="514">
        <f t="shared" ca="1" si="32"/>
        <v>2</v>
      </c>
      <c r="AJ11" s="514">
        <f t="shared" ca="1" si="33"/>
        <v>1</v>
      </c>
      <c r="AK11" s="514">
        <f t="shared" ca="1" si="34"/>
        <v>690</v>
      </c>
      <c r="AL11" s="514">
        <f t="shared" ca="1" si="35"/>
        <v>483</v>
      </c>
      <c r="AM11" s="514">
        <f t="shared" ca="1" si="36"/>
        <v>18922</v>
      </c>
      <c r="AN11" s="514">
        <f t="shared" ca="1" si="37"/>
        <v>12413</v>
      </c>
      <c r="AO11" s="519">
        <f t="shared" ca="1" si="38"/>
        <v>0</v>
      </c>
      <c r="AP11" s="519">
        <f t="shared" ca="1" si="39"/>
        <v>-44201</v>
      </c>
      <c r="AQ11" s="519">
        <f ca="1">INDEX( INDIRECT($A11&amp;"!C:C"), MATCH("Raised Fund",INDIRECT($A11&amp;"!C:C"))+1)</f>
        <v>35489.399999999994</v>
      </c>
      <c r="AR11" s="519">
        <f t="shared" ca="1" si="41"/>
        <v>48301</v>
      </c>
      <c r="AS11" s="519">
        <f t="shared" ca="1" si="42"/>
        <v>132132.4</v>
      </c>
    </row>
    <row r="12" spans="1:45">
      <c r="A12" s="516" t="s">
        <v>417</v>
      </c>
      <c r="B12" s="514" t="str">
        <f t="shared" ca="1" si="0"/>
        <v>JAPAN</v>
      </c>
      <c r="C12" s="519">
        <f t="shared" ca="1" si="1"/>
        <v>2017</v>
      </c>
      <c r="D12" s="514" t="str">
        <f t="shared" ca="1" si="2"/>
        <v>Nov</v>
      </c>
      <c r="E12" s="519">
        <f t="shared" ca="1" si="3"/>
        <v>5</v>
      </c>
      <c r="F12" s="519">
        <f t="shared" ca="1" si="4"/>
        <v>6</v>
      </c>
      <c r="G12" s="514">
        <f t="shared" ca="1" si="5"/>
        <v>14402</v>
      </c>
      <c r="H12" s="514">
        <f t="shared" ca="1" si="43"/>
        <v>9843</v>
      </c>
      <c r="I12" s="514">
        <f t="shared" ca="1" si="6"/>
        <v>4560</v>
      </c>
      <c r="J12" s="514">
        <f t="shared" ca="1" si="7"/>
        <v>2778</v>
      </c>
      <c r="K12" s="514">
        <f t="shared" ca="1" si="8"/>
        <v>18962</v>
      </c>
      <c r="L12" s="514">
        <f t="shared" ca="1" si="9"/>
        <v>12621</v>
      </c>
      <c r="M12" s="514">
        <f t="shared" ca="1" si="10"/>
        <v>200</v>
      </c>
      <c r="N12" s="514">
        <f t="shared" ca="1" si="11"/>
        <v>3711</v>
      </c>
      <c r="O12" s="514">
        <f t="shared" ca="1" si="12"/>
        <v>3700</v>
      </c>
      <c r="P12" s="514">
        <f t="shared" ca="1" si="13"/>
        <v>11682</v>
      </c>
      <c r="Q12" s="514">
        <f t="shared" ca="1" si="14"/>
        <v>35000</v>
      </c>
      <c r="R12" s="514">
        <f t="shared" ca="1" si="15"/>
        <v>86945</v>
      </c>
      <c r="S12" s="514">
        <f t="shared" ca="1" si="16"/>
        <v>2222</v>
      </c>
      <c r="T12" s="514">
        <f t="shared" ca="1" si="17"/>
        <v>0</v>
      </c>
      <c r="U12" s="514">
        <f t="shared" ca="1" si="18"/>
        <v>300</v>
      </c>
      <c r="V12" s="514">
        <f t="shared" ca="1" si="19"/>
        <v>10440</v>
      </c>
      <c r="W12" s="514">
        <f t="shared" ca="1" si="20"/>
        <v>6750</v>
      </c>
      <c r="X12" s="514">
        <f t="shared" ca="1" si="21"/>
        <v>0</v>
      </c>
      <c r="Y12" s="514">
        <f t="shared" ca="1" si="22"/>
        <v>17000</v>
      </c>
      <c r="Z12" s="514">
        <f t="shared" ca="1" si="23"/>
        <v>0</v>
      </c>
      <c r="AA12" s="514">
        <f t="shared" ca="1" si="24"/>
        <v>84134</v>
      </c>
      <c r="AB12" s="514">
        <f t="shared" ca="1" si="25"/>
        <v>125399</v>
      </c>
      <c r="AC12" s="514">
        <f t="shared" ca="1" si="26"/>
        <v>83834</v>
      </c>
      <c r="AD12" s="514">
        <f t="shared" ca="1" si="27"/>
        <v>114959</v>
      </c>
      <c r="AE12" s="514">
        <f t="shared" ca="1" si="28"/>
        <v>5</v>
      </c>
      <c r="AF12" s="514">
        <f t="shared" ca="1" si="29"/>
        <v>25</v>
      </c>
      <c r="AG12" s="514">
        <f t="shared" ca="1" si="30"/>
        <v>393</v>
      </c>
      <c r="AH12" s="514">
        <f t="shared" ca="1" si="31"/>
        <v>283</v>
      </c>
      <c r="AI12" s="514">
        <f t="shared" ca="1" si="32"/>
        <v>2</v>
      </c>
      <c r="AJ12" s="514">
        <f t="shared" ca="1" si="33"/>
        <v>0</v>
      </c>
      <c r="AK12" s="514">
        <f t="shared" ca="1" si="34"/>
        <v>684</v>
      </c>
      <c r="AL12" s="514">
        <f t="shared" ca="1" si="35"/>
        <v>489</v>
      </c>
      <c r="AM12" s="514">
        <f t="shared" ca="1" si="36"/>
        <v>18962</v>
      </c>
      <c r="AN12" s="514">
        <f t="shared" ca="1" si="37"/>
        <v>12621</v>
      </c>
      <c r="AO12" s="519">
        <f t="shared" ca="1" si="38"/>
        <v>0</v>
      </c>
      <c r="AP12" s="519">
        <f t="shared" ca="1" si="39"/>
        <v>132132.4</v>
      </c>
      <c r="AQ12" s="519">
        <f t="shared" ca="1" si="40"/>
        <v>125399</v>
      </c>
      <c r="AR12" s="519">
        <f t="shared" ca="1" si="41"/>
        <v>48301</v>
      </c>
      <c r="AS12" s="519">
        <f t="shared" ca="1" si="42"/>
        <v>209230.4</v>
      </c>
    </row>
    <row r="13" spans="1:45" ht="15" customHeight="1">
      <c r="A13" s="516" t="s">
        <v>418</v>
      </c>
      <c r="B13" s="514" t="str">
        <f t="shared" ca="1" si="0"/>
        <v>JAPAN</v>
      </c>
      <c r="C13" s="519">
        <f t="shared" ca="1" si="1"/>
        <v>2017</v>
      </c>
      <c r="D13" s="514" t="str">
        <f t="shared" ca="1" si="2"/>
        <v>Dec</v>
      </c>
      <c r="E13" s="519">
        <f t="shared" ca="1" si="3"/>
        <v>5</v>
      </c>
      <c r="F13" s="519">
        <f t="shared" ca="1" si="4"/>
        <v>6</v>
      </c>
      <c r="G13" s="514">
        <f t="shared" ca="1" si="5"/>
        <v>14458</v>
      </c>
      <c r="H13" s="514">
        <f t="shared" ca="1" si="43"/>
        <v>10922</v>
      </c>
      <c r="I13" s="514">
        <f t="shared" ca="1" si="6"/>
        <v>4547</v>
      </c>
      <c r="J13" s="514">
        <f t="shared" ca="1" si="7"/>
        <v>2735</v>
      </c>
      <c r="K13" s="514">
        <f t="shared" ca="1" si="8"/>
        <v>19005</v>
      </c>
      <c r="L13" s="514">
        <f t="shared" ca="1" si="9"/>
        <v>13657</v>
      </c>
      <c r="M13" s="514">
        <f t="shared" ca="1" si="10"/>
        <v>200</v>
      </c>
      <c r="N13" s="514">
        <f t="shared" ca="1" si="11"/>
        <v>7940</v>
      </c>
      <c r="O13" s="514">
        <f t="shared" ca="1" si="12"/>
        <v>8700</v>
      </c>
      <c r="P13" s="514">
        <f t="shared" ca="1" si="13"/>
        <v>13167</v>
      </c>
      <c r="Q13" s="514">
        <f t="shared" ca="1" si="14"/>
        <v>35000</v>
      </c>
      <c r="R13" s="514">
        <f t="shared" ca="1" si="15"/>
        <v>86945</v>
      </c>
      <c r="S13" s="514">
        <f t="shared" ca="1" si="16"/>
        <v>2222</v>
      </c>
      <c r="T13" s="514">
        <f t="shared" ca="1" si="17"/>
        <v>0</v>
      </c>
      <c r="U13" s="514">
        <f t="shared" ca="1" si="18"/>
        <v>300</v>
      </c>
      <c r="V13" s="514">
        <f t="shared" ca="1" si="19"/>
        <v>29728</v>
      </c>
      <c r="W13" s="514">
        <f t="shared" ca="1" si="20"/>
        <v>6750</v>
      </c>
      <c r="X13" s="514">
        <f t="shared" ca="1" si="21"/>
        <v>0</v>
      </c>
      <c r="Y13" s="514">
        <f t="shared" ca="1" si="22"/>
        <v>13000</v>
      </c>
      <c r="Z13" s="514">
        <f t="shared" ca="1" si="23"/>
        <v>0</v>
      </c>
      <c r="AA13" s="514">
        <f t="shared" ca="1" si="24"/>
        <v>85177</v>
      </c>
      <c r="AB13" s="514">
        <f t="shared" ca="1" si="25"/>
        <v>151437</v>
      </c>
      <c r="AC13" s="514">
        <f t="shared" ca="1" si="26"/>
        <v>84877</v>
      </c>
      <c r="AD13" s="514">
        <f t="shared" ca="1" si="27"/>
        <v>121709</v>
      </c>
      <c r="AE13" s="514">
        <f t="shared" ca="1" si="28"/>
        <v>5</v>
      </c>
      <c r="AF13" s="514">
        <f t="shared" ca="1" si="29"/>
        <v>35</v>
      </c>
      <c r="AG13" s="514">
        <f t="shared" ca="1" si="30"/>
        <v>390</v>
      </c>
      <c r="AH13" s="514">
        <f t="shared" ca="1" si="31"/>
        <v>314</v>
      </c>
      <c r="AI13" s="514">
        <f t="shared" ca="1" si="32"/>
        <v>2</v>
      </c>
      <c r="AJ13" s="514">
        <f t="shared" ca="1" si="33"/>
        <v>0</v>
      </c>
      <c r="AK13" s="514">
        <f t="shared" ca="1" si="34"/>
        <v>679</v>
      </c>
      <c r="AL13" s="514">
        <f t="shared" ca="1" si="35"/>
        <v>517</v>
      </c>
      <c r="AM13" s="514">
        <f t="shared" ca="1" si="36"/>
        <v>19004</v>
      </c>
      <c r="AN13" s="514">
        <f t="shared" ca="1" si="37"/>
        <v>13657</v>
      </c>
      <c r="AO13" s="519">
        <f t="shared" ca="1" si="38"/>
        <v>0</v>
      </c>
      <c r="AP13" s="519">
        <f ca="1">INDEX( INDIRECT($A13&amp;"!B:B"), MATCH("Carry over from last month ",INDIRECT($A13&amp;"!B:B"))+1)</f>
        <v>-44201</v>
      </c>
      <c r="AQ13" s="519">
        <f t="shared" ca="1" si="40"/>
        <v>151437</v>
      </c>
      <c r="AR13" s="519">
        <f t="shared" ca="1" si="41"/>
        <v>48301</v>
      </c>
      <c r="AS13" s="519">
        <f t="shared" ca="1" si="42"/>
        <v>58935</v>
      </c>
    </row>
    <row r="14" spans="1:45">
      <c r="A14" s="520" t="s">
        <v>421</v>
      </c>
      <c r="B14" s="514" t="str">
        <f t="shared" ca="1" si="0"/>
        <v>JAPAN</v>
      </c>
      <c r="C14" s="519">
        <f t="shared" ca="1" si="1"/>
        <v>2018</v>
      </c>
      <c r="D14" s="514" t="str">
        <f t="shared" ca="1" si="2"/>
        <v>Jan</v>
      </c>
      <c r="E14" s="519">
        <f t="shared" ca="1" si="3"/>
        <v>2</v>
      </c>
      <c r="F14" s="519">
        <f ca="1">IFERROR(INDIRECT($A14&amp;"!D16"),"")</f>
        <v>5</v>
      </c>
      <c r="G14" s="514">
        <f ca="1">IFERROR(INDIRECT($A14&amp;"!D24"),"")</f>
        <v>10718</v>
      </c>
      <c r="H14" s="514">
        <f ca="1">IFERROR(INDIRECT($A14&amp;"!E24"),"")</f>
        <v>11652</v>
      </c>
      <c r="I14" s="514">
        <f ca="1">IFERROR(INDIRECT($A14&amp;"!D27"),"")</f>
        <v>10240</v>
      </c>
      <c r="J14" s="514">
        <f ca="1">IFERROR(INDIRECT($A14&amp;"!E27"),"")</f>
        <v>11323</v>
      </c>
      <c r="K14" s="514">
        <f ca="1">IFERROR(INDIRECT($A14&amp;"!D28"),"")</f>
        <v>20958</v>
      </c>
      <c r="L14" s="514">
        <f ca="1">IFERROR(INDIRECT($A14&amp;"!E28"),"")</f>
        <v>22975</v>
      </c>
      <c r="M14" s="514">
        <f ca="1">IFERROR(INDIRECT($A14&amp;"!D32"),"")</f>
        <v>1000</v>
      </c>
      <c r="N14" s="514">
        <f ca="1">IFERROR(INDIRECT($A14&amp;"!E32"),"")</f>
        <v>12363</v>
      </c>
      <c r="O14" s="514">
        <f ca="1">IFERROR(INDIRECT($A14&amp;"!D33"),"")</f>
        <v>650</v>
      </c>
      <c r="P14" s="514">
        <f ca="1">IFERROR(INDIRECT($A14&amp;"!E33"),"")</f>
        <v>652</v>
      </c>
      <c r="Q14" s="514">
        <f ca="1">IFERROR(INDIRECT($A14&amp;"!D37"),"")</f>
        <v>36232</v>
      </c>
      <c r="R14" s="514">
        <f ca="1">IFERROR(INDIRECT($A14&amp;"!E37"),"")</f>
        <v>0</v>
      </c>
      <c r="S14" s="514">
        <f ca="1">IFERROR(INDIRECT($A14&amp;"!D40"),"")</f>
        <v>1100</v>
      </c>
      <c r="T14" s="514">
        <f ca="1">IFERROR(INDIRECT($A14&amp;"!E40"),"")</f>
        <v>0</v>
      </c>
      <c r="U14" s="514">
        <f ca="1">IFERROR(INDIRECT($A14&amp;"!D42"),"")</f>
        <v>11000</v>
      </c>
      <c r="V14" s="514">
        <f ca="1">IFERROR(INDIRECT($A14&amp;"!E42"),"")</f>
        <v>34798</v>
      </c>
      <c r="W14" s="514">
        <f ca="1">IFERROR(INDIRECT($A14&amp;"!D43"),"")</f>
        <v>0</v>
      </c>
      <c r="X14" s="514">
        <f ca="1">IFERROR(INDIRECT($A14&amp;"!E43"),"")</f>
        <v>0</v>
      </c>
      <c r="Y14" s="514">
        <f ca="1">IFERROR(INDIRECT($A14&amp;"!D44"),"")</f>
        <v>33500</v>
      </c>
      <c r="Z14" s="514">
        <f ca="1">IFERROR(INDIRECT($A14&amp;"!E44"),"")</f>
        <v>0</v>
      </c>
      <c r="AA14" s="514">
        <f ca="1">IFERROR(INDIRECT($A14&amp;"!D45"),"")</f>
        <v>104440</v>
      </c>
      <c r="AB14" s="514">
        <f ca="1">IFERROR(INDIRECT($A14&amp;"!E45"),"")</f>
        <v>70788</v>
      </c>
      <c r="AC14" s="514">
        <f ca="1">IFERROR(INDIRECT($A14&amp;"!D46"),"")</f>
        <v>93440</v>
      </c>
      <c r="AD14" s="514">
        <f ca="1">IFERROR(INDIRECT($A14&amp;"!E46"),"")</f>
        <v>35990</v>
      </c>
      <c r="AE14" s="514">
        <f ca="1">IFERROR(INDIRECT($A14&amp;"!D53"),"")</f>
        <v>8</v>
      </c>
      <c r="AF14" s="514">
        <f ca="1">IFERROR(INDIRECT($A14&amp;"!E53"),"")</f>
        <v>24</v>
      </c>
      <c r="AG14" s="514">
        <f ca="1">IFERROR(INDIRECT($A14&amp;"!D55"),"")</f>
        <v>308</v>
      </c>
      <c r="AH14" s="514">
        <f ca="1">IFERROR(INDIRECT($A14&amp;"!E55"),"")</f>
        <v>335</v>
      </c>
      <c r="AI14" s="514">
        <f ca="1">IFERROR(INDIRECT($A14&amp;"!D56"),"")</f>
        <v>40</v>
      </c>
      <c r="AJ14" s="514">
        <f ca="1">IFERROR(INDIRECT($A14&amp;"!E56"),"")</f>
        <v>46</v>
      </c>
      <c r="AK14" s="514">
        <f ca="1">IFERROR(INDIRECT($A14&amp;"!D61"),"")</f>
        <v>948</v>
      </c>
      <c r="AL14" s="514">
        <f ca="1">IFERROR(INDIRECT($A14&amp;"!E61"),"")</f>
        <v>1047</v>
      </c>
      <c r="AM14" s="514">
        <f ca="1">IFERROR(INDIRECT($A14&amp;"!D79"),"")</f>
        <v>20958</v>
      </c>
      <c r="AN14" s="514">
        <f ca="1">IFERROR(INDIRECT($A14&amp;"!E79"),"")</f>
        <v>22975</v>
      </c>
      <c r="AO14" s="519">
        <f t="shared" ca="1" si="38"/>
        <v>0</v>
      </c>
      <c r="AP14" s="519">
        <f ca="1">IFERROR(INDIRECT($A14&amp;"!B155"),"")</f>
        <v>0</v>
      </c>
      <c r="AQ14" s="519">
        <f ca="1">IFERROR(INDIRECT($A14&amp;"!C155"),"")</f>
        <v>70788</v>
      </c>
      <c r="AR14" s="519">
        <f t="shared" ca="1" si="41"/>
        <v>63551</v>
      </c>
      <c r="AS14" s="519">
        <f t="shared" ca="1" si="42"/>
        <v>7237</v>
      </c>
    </row>
    <row r="15" spans="1:45">
      <c r="A15" s="516" t="s">
        <v>422</v>
      </c>
      <c r="B15" s="514" t="str">
        <f t="shared" ca="1" si="0"/>
        <v>JAPAN</v>
      </c>
      <c r="C15" s="519">
        <f t="shared" ca="1" si="1"/>
        <v>2018</v>
      </c>
      <c r="D15" s="514" t="str">
        <f t="shared" ca="1" si="2"/>
        <v>Feb</v>
      </c>
      <c r="E15" s="519">
        <f t="shared" ca="1" si="3"/>
        <v>2</v>
      </c>
      <c r="F15" s="519">
        <f t="shared" ref="F15:F31" ca="1" si="44">IFERROR(INDIRECT($A15&amp;"!D16"),"")</f>
        <v>6</v>
      </c>
      <c r="G15" s="514">
        <f t="shared" ref="G15:G31" ca="1" si="45">IFERROR(INDIRECT($A15&amp;"!D24"),"")</f>
        <v>11136</v>
      </c>
      <c r="H15" s="514">
        <f t="shared" ref="H15:H31" ca="1" si="46">IFERROR(INDIRECT($A15&amp;"!E24"),"")</f>
        <v>12209</v>
      </c>
      <c r="I15" s="514">
        <f t="shared" ref="I15:I31" ca="1" si="47">IFERROR(INDIRECT($A15&amp;"!D27"),"")</f>
        <v>10880</v>
      </c>
      <c r="J15" s="514">
        <f t="shared" ref="J15:J31" ca="1" si="48">IFERROR(INDIRECT($A15&amp;"!E27"),"")</f>
        <v>12053</v>
      </c>
      <c r="K15" s="514">
        <f t="shared" ref="K15:K31" ca="1" si="49">IFERROR(INDIRECT($A15&amp;"!D28"),"")</f>
        <v>22016</v>
      </c>
      <c r="L15" s="514">
        <f t="shared" ref="L15:L31" ca="1" si="50">IFERROR(INDIRECT($A15&amp;"!E28"),"")</f>
        <v>24262</v>
      </c>
      <c r="M15" s="514">
        <f t="shared" ref="M15:M31" ca="1" si="51">IFERROR(INDIRECT($A15&amp;"!D32"),"")</f>
        <v>1000</v>
      </c>
      <c r="N15" s="514">
        <f t="shared" ref="N15:N31" ca="1" si="52">IFERROR(INDIRECT($A15&amp;"!E32"),"")</f>
        <v>2850</v>
      </c>
      <c r="O15" s="514">
        <f t="shared" ref="O15:O31" ca="1" si="53">IFERROR(INDIRECT($A15&amp;"!D33"),"")</f>
        <v>650</v>
      </c>
      <c r="P15" s="514">
        <f t="shared" ref="P15:P31" ca="1" si="54">IFERROR(INDIRECT($A15&amp;"!E33"),"")</f>
        <v>632</v>
      </c>
      <c r="Q15" s="514">
        <f t="shared" ref="Q15:Q31" ca="1" si="55">IFERROR(INDIRECT($A15&amp;"!D37"),"")</f>
        <v>36232</v>
      </c>
      <c r="R15" s="514">
        <f t="shared" ref="R15:R31" ca="1" si="56">IFERROR(INDIRECT($A15&amp;"!E37"),"")</f>
        <v>0</v>
      </c>
      <c r="S15" s="514">
        <f t="shared" ref="S15:S31" ca="1" si="57">IFERROR(INDIRECT($A15&amp;"!D40"),"")</f>
        <v>1100</v>
      </c>
      <c r="T15" s="514">
        <f t="shared" ref="T15:T31" ca="1" si="58">IFERROR(INDIRECT($A15&amp;"!E40"),"")</f>
        <v>0</v>
      </c>
      <c r="U15" s="514">
        <f t="shared" ref="U15:U31" ca="1" si="59">IFERROR(INDIRECT($A15&amp;"!D42"),"")</f>
        <v>11000</v>
      </c>
      <c r="V15" s="514">
        <f t="shared" ref="V15:V31" ca="1" si="60">IFERROR(INDIRECT($A15&amp;"!E42"),"")</f>
        <v>5121</v>
      </c>
      <c r="W15" s="514">
        <f t="shared" ref="W15:W31" ca="1" si="61">IFERROR(INDIRECT($A15&amp;"!D43"),"")</f>
        <v>0</v>
      </c>
      <c r="X15" s="514">
        <f t="shared" ref="X15:X31" ca="1" si="62">IFERROR(INDIRECT($A15&amp;"!E43"),"")</f>
        <v>0</v>
      </c>
      <c r="Y15" s="514">
        <f t="shared" ref="Y15:Y31" ca="1" si="63">IFERROR(INDIRECT($A15&amp;"!D44"),"")</f>
        <v>33500</v>
      </c>
      <c r="Z15" s="514">
        <f t="shared" ref="Z15:Z31" ca="1" si="64">IFERROR(INDIRECT($A15&amp;"!E44"),"")</f>
        <v>99970</v>
      </c>
      <c r="AA15" s="514">
        <f t="shared" ref="AA15:AA31" ca="1" si="65">IFERROR(INDIRECT($A15&amp;"!D45"),"")</f>
        <v>105498</v>
      </c>
      <c r="AB15" s="514">
        <f t="shared" ref="AB15:AB31" ca="1" si="66">IFERROR(INDIRECT($A15&amp;"!E45"),"")</f>
        <v>132835</v>
      </c>
      <c r="AC15" s="514">
        <f t="shared" ref="AC15:AC31" ca="1" si="67">IFERROR(INDIRECT($A15&amp;"!D46"),"")</f>
        <v>94498</v>
      </c>
      <c r="AD15" s="514">
        <f t="shared" ref="AD15:AD31" ca="1" si="68">IFERROR(INDIRECT($A15&amp;"!E46"),"")</f>
        <v>127714</v>
      </c>
      <c r="AE15" s="514">
        <f t="shared" ref="AE15:AE31" ca="1" si="69">IFERROR(INDIRECT($A15&amp;"!D53"),"")</f>
        <v>12</v>
      </c>
      <c r="AF15" s="514">
        <f t="shared" ref="AF15:AF31" ca="1" si="70">IFERROR(INDIRECT($A15&amp;"!E53"),"")</f>
        <v>21</v>
      </c>
      <c r="AG15" s="514">
        <f t="shared" ref="AG15:AG31" ca="1" si="71">IFERROR(INDIRECT($A15&amp;"!D55"),"")</f>
        <v>312</v>
      </c>
      <c r="AH15" s="514">
        <f t="shared" ref="AH15:AH31" ca="1" si="72">IFERROR(INDIRECT($A15&amp;"!E55"),"")</f>
        <v>351</v>
      </c>
      <c r="AI15" s="514">
        <f t="shared" ref="AI15:AI31" ca="1" si="73">IFERROR(INDIRECT($A15&amp;"!D56"),"")</f>
        <v>40</v>
      </c>
      <c r="AJ15" s="514">
        <f t="shared" ref="AJ15:AJ31" ca="1" si="74">IFERROR(INDIRECT($A15&amp;"!E56"),"")</f>
        <v>58</v>
      </c>
      <c r="AK15" s="514">
        <f t="shared" ref="AK15:AK31" ca="1" si="75">IFERROR(INDIRECT($A15&amp;"!D61"),"")</f>
        <v>952</v>
      </c>
      <c r="AL15" s="514">
        <f t="shared" ref="AL15:AL31" ca="1" si="76">IFERROR(INDIRECT($A15&amp;"!E61"),"")</f>
        <v>1113</v>
      </c>
      <c r="AM15" s="514">
        <f t="shared" ref="AM15:AM31" ca="1" si="77">IFERROR(INDIRECT($A15&amp;"!D79"),"")</f>
        <v>22016</v>
      </c>
      <c r="AN15" s="514">
        <f t="shared" ref="AN15:AN31" ca="1" si="78">IFERROR(INDIRECT($A15&amp;"!E79"),"")</f>
        <v>24262</v>
      </c>
      <c r="AO15" s="519">
        <f t="shared" ca="1" si="38"/>
        <v>0</v>
      </c>
      <c r="AP15" s="519">
        <f t="shared" ref="AP15:AP31" ca="1" si="79">IFERROR(INDIRECT($A15&amp;"!B155"),"")</f>
        <v>7237</v>
      </c>
      <c r="AQ15" s="519">
        <f t="shared" ref="AQ15:AQ31" ca="1" si="80">IFERROR(INDIRECT($A15&amp;"!C155"),"")</f>
        <v>32865</v>
      </c>
      <c r="AR15" s="519">
        <f t="shared" ca="1" si="41"/>
        <v>75267</v>
      </c>
      <c r="AS15" s="519">
        <f t="shared" ca="1" si="42"/>
        <v>64805</v>
      </c>
    </row>
    <row r="16" spans="1:45">
      <c r="A16" s="516" t="s">
        <v>419</v>
      </c>
      <c r="B16" s="514" t="str">
        <f t="shared" ca="1" si="0"/>
        <v>JAPAN</v>
      </c>
      <c r="C16" s="519">
        <f t="shared" ca="1" si="1"/>
        <v>2018</v>
      </c>
      <c r="D16" s="514" t="str">
        <f t="shared" ca="1" si="2"/>
        <v>March</v>
      </c>
      <c r="E16" s="519">
        <f t="shared" ca="1" si="3"/>
        <v>2</v>
      </c>
      <c r="F16" s="519">
        <f t="shared" ca="1" si="44"/>
        <v>6</v>
      </c>
      <c r="G16" s="514">
        <f t="shared" ca="1" si="45"/>
        <v>11554</v>
      </c>
      <c r="H16" s="514">
        <f t="shared" ca="1" si="46"/>
        <v>12313</v>
      </c>
      <c r="I16" s="514">
        <f t="shared" ca="1" si="47"/>
        <v>11520</v>
      </c>
      <c r="J16" s="514">
        <f t="shared" ca="1" si="48"/>
        <v>12601</v>
      </c>
      <c r="K16" s="514">
        <f t="shared" ca="1" si="49"/>
        <v>23074</v>
      </c>
      <c r="L16" s="514">
        <f t="shared" ca="1" si="50"/>
        <v>24914</v>
      </c>
      <c r="M16" s="514">
        <f t="shared" ca="1" si="51"/>
        <v>1000</v>
      </c>
      <c r="N16" s="514">
        <f t="shared" ca="1" si="52"/>
        <v>2134</v>
      </c>
      <c r="O16" s="514">
        <f t="shared" ca="1" si="53"/>
        <v>650</v>
      </c>
      <c r="P16" s="514">
        <f t="shared" ca="1" si="54"/>
        <v>1165</v>
      </c>
      <c r="Q16" s="514">
        <f t="shared" ca="1" si="55"/>
        <v>36232</v>
      </c>
      <c r="R16" s="514">
        <f t="shared" ca="1" si="56"/>
        <v>0</v>
      </c>
      <c r="S16" s="514">
        <f t="shared" ca="1" si="57"/>
        <v>1100</v>
      </c>
      <c r="T16" s="514">
        <f t="shared" ca="1" si="58"/>
        <v>0</v>
      </c>
      <c r="U16" s="514">
        <f t="shared" ca="1" si="59"/>
        <v>11000</v>
      </c>
      <c r="V16" s="514">
        <f t="shared" ca="1" si="60"/>
        <v>30744</v>
      </c>
      <c r="W16" s="514">
        <f t="shared" ca="1" si="61"/>
        <v>0</v>
      </c>
      <c r="X16" s="514">
        <f t="shared" ca="1" si="62"/>
        <v>0</v>
      </c>
      <c r="Y16" s="514">
        <f t="shared" ca="1" si="63"/>
        <v>33500</v>
      </c>
      <c r="Z16" s="514">
        <f t="shared" ca="1" si="64"/>
        <v>0</v>
      </c>
      <c r="AA16" s="514">
        <f t="shared" ca="1" si="65"/>
        <v>106556</v>
      </c>
      <c r="AB16" s="514">
        <f t="shared" ca="1" si="66"/>
        <v>58957</v>
      </c>
      <c r="AC16" s="514">
        <f t="shared" ca="1" si="67"/>
        <v>95556</v>
      </c>
      <c r="AD16" s="514">
        <f t="shared" ca="1" si="68"/>
        <v>28213</v>
      </c>
      <c r="AE16" s="514">
        <f t="shared" ca="1" si="69"/>
        <v>12</v>
      </c>
      <c r="AF16" s="514">
        <f t="shared" ca="1" si="70"/>
        <v>7</v>
      </c>
      <c r="AG16" s="514">
        <f t="shared" ca="1" si="71"/>
        <v>312</v>
      </c>
      <c r="AH16" s="514">
        <f t="shared" ca="1" si="72"/>
        <v>354</v>
      </c>
      <c r="AI16" s="514">
        <f t="shared" ca="1" si="73"/>
        <v>40</v>
      </c>
      <c r="AJ16" s="514">
        <f t="shared" ca="1" si="74"/>
        <v>64</v>
      </c>
      <c r="AK16" s="514">
        <f t="shared" ca="1" si="75"/>
        <v>952</v>
      </c>
      <c r="AL16" s="514">
        <f t="shared" ca="1" si="76"/>
        <v>1170</v>
      </c>
      <c r="AM16" s="514">
        <f t="shared" ca="1" si="77"/>
        <v>23074</v>
      </c>
      <c r="AN16" s="514">
        <f t="shared" ca="1" si="78"/>
        <v>24914</v>
      </c>
      <c r="AO16" s="519">
        <f t="shared" ca="1" si="38"/>
        <v>0</v>
      </c>
      <c r="AP16" s="519">
        <f t="shared" ca="1" si="79"/>
        <v>64805</v>
      </c>
      <c r="AQ16" s="519">
        <f t="shared" ca="1" si="80"/>
        <v>58957</v>
      </c>
      <c r="AR16" s="519">
        <f t="shared" ca="1" si="41"/>
        <v>73423</v>
      </c>
      <c r="AS16" s="519">
        <f t="shared" ca="1" si="42"/>
        <v>50339</v>
      </c>
    </row>
    <row r="17" spans="1:45">
      <c r="A17" s="516" t="s">
        <v>420</v>
      </c>
      <c r="B17" s="514" t="str">
        <f t="shared" ca="1" si="0"/>
        <v>JAPAN</v>
      </c>
      <c r="C17" s="519">
        <f t="shared" ca="1" si="1"/>
        <v>2018</v>
      </c>
      <c r="D17" s="514" t="str">
        <f t="shared" ca="1" si="2"/>
        <v>April</v>
      </c>
      <c r="E17" s="519">
        <f t="shared" ca="1" si="3"/>
        <v>2</v>
      </c>
      <c r="F17" s="519">
        <f t="shared" ca="1" si="44"/>
        <v>6</v>
      </c>
      <c r="G17" s="514">
        <f t="shared" ca="1" si="45"/>
        <v>11971</v>
      </c>
      <c r="H17" s="514">
        <f t="shared" ca="1" si="46"/>
        <v>12452</v>
      </c>
      <c r="I17" s="514">
        <f t="shared" ca="1" si="47"/>
        <v>12160</v>
      </c>
      <c r="J17" s="514">
        <f t="shared" ca="1" si="48"/>
        <v>12857</v>
      </c>
      <c r="K17" s="514">
        <f t="shared" ca="1" si="49"/>
        <v>24131</v>
      </c>
      <c r="L17" s="514">
        <f t="shared" ca="1" si="50"/>
        <v>25309</v>
      </c>
      <c r="M17" s="514">
        <f t="shared" ca="1" si="51"/>
        <v>1000</v>
      </c>
      <c r="N17" s="514">
        <f t="shared" ca="1" si="52"/>
        <v>4333</v>
      </c>
      <c r="O17" s="514">
        <f t="shared" ca="1" si="53"/>
        <v>650</v>
      </c>
      <c r="P17" s="514">
        <f t="shared" ca="1" si="54"/>
        <v>1724</v>
      </c>
      <c r="Q17" s="514">
        <f t="shared" ca="1" si="55"/>
        <v>36232</v>
      </c>
      <c r="R17" s="514">
        <f t="shared" ca="1" si="56"/>
        <v>0</v>
      </c>
      <c r="S17" s="514">
        <f t="shared" ca="1" si="57"/>
        <v>1100</v>
      </c>
      <c r="T17" s="514">
        <f t="shared" ca="1" si="58"/>
        <v>0</v>
      </c>
      <c r="U17" s="514">
        <f t="shared" ca="1" si="59"/>
        <v>11500</v>
      </c>
      <c r="V17" s="514">
        <f t="shared" ca="1" si="60"/>
        <v>5047</v>
      </c>
      <c r="W17" s="514">
        <f t="shared" ca="1" si="61"/>
        <v>4000</v>
      </c>
      <c r="X17" s="514">
        <f t="shared" ca="1" si="62"/>
        <v>0</v>
      </c>
      <c r="Y17" s="514">
        <f t="shared" ca="1" si="63"/>
        <v>33500</v>
      </c>
      <c r="Z17" s="514">
        <f t="shared" ca="1" si="64"/>
        <v>0</v>
      </c>
      <c r="AA17" s="514">
        <f t="shared" ca="1" si="65"/>
        <v>112113</v>
      </c>
      <c r="AB17" s="514">
        <f t="shared" ca="1" si="66"/>
        <v>36413</v>
      </c>
      <c r="AC17" s="514">
        <f t="shared" ca="1" si="67"/>
        <v>100613</v>
      </c>
      <c r="AD17" s="514">
        <f t="shared" ca="1" si="68"/>
        <v>31366</v>
      </c>
      <c r="AE17" s="514">
        <f t="shared" ca="1" si="69"/>
        <v>12</v>
      </c>
      <c r="AF17" s="514">
        <f t="shared" ca="1" si="70"/>
        <v>12</v>
      </c>
      <c r="AG17" s="514">
        <f t="shared" ca="1" si="71"/>
        <v>312</v>
      </c>
      <c r="AH17" s="514">
        <f t="shared" ca="1" si="72"/>
        <v>358</v>
      </c>
      <c r="AI17" s="514">
        <f t="shared" ca="1" si="73"/>
        <v>40</v>
      </c>
      <c r="AJ17" s="514">
        <f t="shared" ca="1" si="74"/>
        <v>37</v>
      </c>
      <c r="AK17" s="514">
        <f t="shared" ca="1" si="75"/>
        <v>952</v>
      </c>
      <c r="AL17" s="514">
        <f t="shared" ca="1" si="76"/>
        <v>1198</v>
      </c>
      <c r="AM17" s="514">
        <f t="shared" ca="1" si="77"/>
        <v>24131</v>
      </c>
      <c r="AN17" s="514">
        <f t="shared" ca="1" si="78"/>
        <v>25309</v>
      </c>
      <c r="AO17" s="519">
        <f t="shared" ca="1" si="38"/>
        <v>0</v>
      </c>
      <c r="AP17" s="519">
        <f t="shared" ca="1" si="79"/>
        <v>50339</v>
      </c>
      <c r="AQ17" s="519">
        <f t="shared" ca="1" si="80"/>
        <v>36413</v>
      </c>
      <c r="AR17" s="519">
        <f t="shared" ca="1" si="41"/>
        <v>76039</v>
      </c>
      <c r="AS17" s="519">
        <f t="shared" ca="1" si="42"/>
        <v>10713</v>
      </c>
    </row>
    <row r="18" spans="1:45">
      <c r="A18" s="516" t="s">
        <v>423</v>
      </c>
      <c r="B18" s="514" t="str">
        <f t="shared" ca="1" si="0"/>
        <v>JAPAN</v>
      </c>
      <c r="C18" s="519">
        <f t="shared" ca="1" si="1"/>
        <v>2018</v>
      </c>
      <c r="D18" s="514" t="str">
        <f t="shared" ca="1" si="2"/>
        <v>May</v>
      </c>
      <c r="E18" s="519">
        <f t="shared" ca="1" si="3"/>
        <v>2</v>
      </c>
      <c r="F18" s="519">
        <f t="shared" ca="1" si="44"/>
        <v>7</v>
      </c>
      <c r="G18" s="514">
        <f t="shared" ca="1" si="45"/>
        <v>12388.8</v>
      </c>
      <c r="H18" s="514">
        <f t="shared" ca="1" si="46"/>
        <v>12557</v>
      </c>
      <c r="I18" s="514">
        <f t="shared" ca="1" si="47"/>
        <v>12800</v>
      </c>
      <c r="J18" s="514">
        <f t="shared" ca="1" si="48"/>
        <v>12983</v>
      </c>
      <c r="K18" s="514">
        <f t="shared" ca="1" si="49"/>
        <v>25188.799999999999</v>
      </c>
      <c r="L18" s="514">
        <f t="shared" ca="1" si="50"/>
        <v>25540</v>
      </c>
      <c r="M18" s="514">
        <f t="shared" ca="1" si="51"/>
        <v>1000</v>
      </c>
      <c r="N18" s="514">
        <f t="shared" ca="1" si="52"/>
        <v>5789</v>
      </c>
      <c r="O18" s="514">
        <f t="shared" ca="1" si="53"/>
        <v>650</v>
      </c>
      <c r="P18" s="514">
        <f t="shared" ca="1" si="54"/>
        <v>524</v>
      </c>
      <c r="Q18" s="514">
        <f t="shared" ca="1" si="55"/>
        <v>36232</v>
      </c>
      <c r="R18" s="514">
        <f t="shared" ca="1" si="56"/>
        <v>0</v>
      </c>
      <c r="S18" s="514">
        <f t="shared" ca="1" si="57"/>
        <v>1100</v>
      </c>
      <c r="T18" s="514">
        <f t="shared" ca="1" si="58"/>
        <v>0</v>
      </c>
      <c r="U18" s="514">
        <f t="shared" ca="1" si="59"/>
        <v>11500</v>
      </c>
      <c r="V18" s="514">
        <f t="shared" ca="1" si="60"/>
        <v>17146</v>
      </c>
      <c r="W18" s="514">
        <f t="shared" ca="1" si="61"/>
        <v>8000</v>
      </c>
      <c r="X18" s="514">
        <f t="shared" ca="1" si="62"/>
        <v>0</v>
      </c>
      <c r="Y18" s="514">
        <f t="shared" ca="1" si="63"/>
        <v>33500</v>
      </c>
      <c r="Z18" s="514">
        <f t="shared" ca="1" si="64"/>
        <v>100000</v>
      </c>
      <c r="AA18" s="514">
        <f t="shared" ca="1" si="65"/>
        <v>117170.8</v>
      </c>
      <c r="AB18" s="514">
        <f t="shared" ca="1" si="66"/>
        <v>148999</v>
      </c>
      <c r="AC18" s="514">
        <f t="shared" ca="1" si="67"/>
        <v>105670.8</v>
      </c>
      <c r="AD18" s="514">
        <f t="shared" ca="1" si="68"/>
        <v>131853</v>
      </c>
      <c r="AE18" s="514">
        <f t="shared" ca="1" si="69"/>
        <v>12</v>
      </c>
      <c r="AF18" s="514">
        <f t="shared" ca="1" si="70"/>
        <v>7</v>
      </c>
      <c r="AG18" s="514">
        <f t="shared" ca="1" si="71"/>
        <v>312</v>
      </c>
      <c r="AH18" s="514">
        <f t="shared" ca="1" si="72"/>
        <v>361</v>
      </c>
      <c r="AI18" s="514">
        <f t="shared" ca="1" si="73"/>
        <v>40</v>
      </c>
      <c r="AJ18" s="514">
        <f t="shared" ca="1" si="74"/>
        <v>22</v>
      </c>
      <c r="AK18" s="514">
        <f t="shared" ca="1" si="75"/>
        <v>952</v>
      </c>
      <c r="AL18" s="514">
        <f t="shared" ca="1" si="76"/>
        <v>1209</v>
      </c>
      <c r="AM18" s="514">
        <f t="shared" ca="1" si="77"/>
        <v>25188.799999999999</v>
      </c>
      <c r="AN18" s="514">
        <f t="shared" ca="1" si="78"/>
        <v>25540</v>
      </c>
      <c r="AO18" s="519">
        <f t="shared" ca="1" si="38"/>
        <v>0</v>
      </c>
      <c r="AP18" s="519">
        <f t="shared" ca="1" si="79"/>
        <v>10713</v>
      </c>
      <c r="AQ18" s="519">
        <f t="shared" ca="1" si="80"/>
        <v>48999</v>
      </c>
      <c r="AR18" s="519">
        <f t="shared" ca="1" si="41"/>
        <v>78719</v>
      </c>
      <c r="AS18" s="519">
        <f t="shared" ca="1" si="42"/>
        <v>80993</v>
      </c>
    </row>
    <row r="19" spans="1:45">
      <c r="A19" s="516" t="s">
        <v>424</v>
      </c>
      <c r="B19" s="514" t="str">
        <f t="shared" ca="1" si="0"/>
        <v>JAPAN</v>
      </c>
      <c r="C19" s="519">
        <f t="shared" ca="1" si="1"/>
        <v>2018</v>
      </c>
      <c r="D19" s="514" t="str">
        <f t="shared" ca="1" si="2"/>
        <v>June</v>
      </c>
      <c r="E19" s="519">
        <f t="shared" ca="1" si="3"/>
        <v>2</v>
      </c>
      <c r="F19" s="519">
        <f t="shared" ca="1" si="44"/>
        <v>8</v>
      </c>
      <c r="G19" s="514">
        <f t="shared" ca="1" si="45"/>
        <v>12806.4</v>
      </c>
      <c r="H19" s="514">
        <f t="shared" ca="1" si="46"/>
        <v>12487</v>
      </c>
      <c r="I19" s="514">
        <f t="shared" ca="1" si="47"/>
        <v>13440</v>
      </c>
      <c r="J19" s="514">
        <f t="shared" ca="1" si="48"/>
        <v>13083</v>
      </c>
      <c r="K19" s="514">
        <f t="shared" ca="1" si="49"/>
        <v>26246.400000000001</v>
      </c>
      <c r="L19" s="514">
        <f t="shared" ca="1" si="50"/>
        <v>25570</v>
      </c>
      <c r="M19" s="514">
        <f t="shared" ca="1" si="51"/>
        <v>1000</v>
      </c>
      <c r="N19" s="514">
        <f t="shared" ca="1" si="52"/>
        <v>4044</v>
      </c>
      <c r="O19" s="514">
        <f t="shared" ca="1" si="53"/>
        <v>650</v>
      </c>
      <c r="P19" s="514">
        <f t="shared" ca="1" si="54"/>
        <v>35</v>
      </c>
      <c r="Q19" s="514">
        <f t="shared" ca="1" si="55"/>
        <v>36232</v>
      </c>
      <c r="R19" s="514">
        <f t="shared" ca="1" si="56"/>
        <v>0</v>
      </c>
      <c r="S19" s="514">
        <f t="shared" ca="1" si="57"/>
        <v>1100</v>
      </c>
      <c r="T19" s="514">
        <f t="shared" ca="1" si="58"/>
        <v>0</v>
      </c>
      <c r="U19" s="514">
        <f t="shared" ca="1" si="59"/>
        <v>11500</v>
      </c>
      <c r="V19" s="514">
        <f t="shared" ca="1" si="60"/>
        <v>5850</v>
      </c>
      <c r="W19" s="514">
        <f t="shared" ca="1" si="61"/>
        <v>12000</v>
      </c>
      <c r="X19" s="514">
        <f t="shared" ca="1" si="62"/>
        <v>0</v>
      </c>
      <c r="Y19" s="514">
        <f t="shared" ca="1" si="63"/>
        <v>33500</v>
      </c>
      <c r="Z19" s="514">
        <f t="shared" ca="1" si="64"/>
        <v>0</v>
      </c>
      <c r="AA19" s="514">
        <f t="shared" ca="1" si="65"/>
        <v>122228.4</v>
      </c>
      <c r="AB19" s="514">
        <f t="shared" ca="1" si="66"/>
        <v>35499</v>
      </c>
      <c r="AC19" s="514">
        <f t="shared" ca="1" si="67"/>
        <v>110728.4</v>
      </c>
      <c r="AD19" s="514">
        <f t="shared" ca="1" si="68"/>
        <v>29649</v>
      </c>
      <c r="AE19" s="514">
        <f t="shared" ca="1" si="69"/>
        <v>12</v>
      </c>
      <c r="AF19" s="514">
        <f t="shared" ca="1" si="70"/>
        <v>3</v>
      </c>
      <c r="AG19" s="514">
        <f t="shared" ca="1" si="71"/>
        <v>312</v>
      </c>
      <c r="AH19" s="514">
        <f t="shared" ca="1" si="72"/>
        <v>359</v>
      </c>
      <c r="AI19" s="514">
        <f t="shared" ca="1" si="73"/>
        <v>40</v>
      </c>
      <c r="AJ19" s="514">
        <f t="shared" ca="1" si="74"/>
        <v>18</v>
      </c>
      <c r="AK19" s="514">
        <f t="shared" ca="1" si="75"/>
        <v>952</v>
      </c>
      <c r="AL19" s="514">
        <f t="shared" ca="1" si="76"/>
        <v>1214</v>
      </c>
      <c r="AM19" s="514">
        <f t="shared" ca="1" si="77"/>
        <v>26246.400000000001</v>
      </c>
      <c r="AN19" s="514">
        <f t="shared" ca="1" si="78"/>
        <v>25570</v>
      </c>
      <c r="AO19" s="519">
        <f t="shared" ca="1" si="38"/>
        <v>0</v>
      </c>
      <c r="AP19" s="519">
        <f t="shared" ca="1" si="79"/>
        <v>80993</v>
      </c>
      <c r="AQ19" s="519">
        <f t="shared" ca="1" si="80"/>
        <v>35499</v>
      </c>
      <c r="AR19" s="519">
        <f t="shared" ca="1" si="41"/>
        <v>81072</v>
      </c>
      <c r="AS19" s="519">
        <f t="shared" ca="1" si="42"/>
        <v>35420</v>
      </c>
    </row>
    <row r="20" spans="1:45">
      <c r="A20" s="516" t="s">
        <v>425</v>
      </c>
      <c r="B20" s="514" t="str">
        <f t="shared" ca="1" si="0"/>
        <v>JAPAN</v>
      </c>
      <c r="C20" s="519">
        <f t="shared" ca="1" si="1"/>
        <v>2018</v>
      </c>
      <c r="D20" s="514" t="str">
        <f t="shared" ca="1" si="2"/>
        <v>July</v>
      </c>
      <c r="E20" s="519">
        <f t="shared" ca="1" si="3"/>
        <v>2</v>
      </c>
      <c r="F20" s="519">
        <f t="shared" ca="1" si="44"/>
        <v>11</v>
      </c>
      <c r="G20" s="514">
        <f t="shared" ca="1" si="45"/>
        <v>13224</v>
      </c>
      <c r="H20" s="514">
        <f t="shared" ca="1" si="46"/>
        <v>12417</v>
      </c>
      <c r="I20" s="514">
        <f t="shared" ca="1" si="47"/>
        <v>14080</v>
      </c>
      <c r="J20" s="514">
        <f t="shared" ca="1" si="48"/>
        <v>13114</v>
      </c>
      <c r="K20" s="514">
        <f t="shared" ca="1" si="49"/>
        <v>27304</v>
      </c>
      <c r="L20" s="514">
        <f t="shared" ca="1" si="50"/>
        <v>25531</v>
      </c>
      <c r="M20" s="514">
        <f t="shared" ca="1" si="51"/>
        <v>1000</v>
      </c>
      <c r="N20" s="514">
        <f t="shared" ca="1" si="52"/>
        <v>6994</v>
      </c>
      <c r="O20" s="514">
        <f t="shared" ca="1" si="53"/>
        <v>650</v>
      </c>
      <c r="P20" s="514">
        <f t="shared" ca="1" si="54"/>
        <v>244</v>
      </c>
      <c r="Q20" s="514">
        <f t="shared" ca="1" si="55"/>
        <v>36232</v>
      </c>
      <c r="R20" s="514">
        <f t="shared" ca="1" si="56"/>
        <v>40435</v>
      </c>
      <c r="S20" s="514">
        <f t="shared" ca="1" si="57"/>
        <v>1100</v>
      </c>
      <c r="T20" s="514">
        <f t="shared" ca="1" si="58"/>
        <v>0</v>
      </c>
      <c r="U20" s="514">
        <f t="shared" ca="1" si="59"/>
        <v>12000</v>
      </c>
      <c r="V20" s="514">
        <f t="shared" ca="1" si="60"/>
        <v>26227</v>
      </c>
      <c r="W20" s="514">
        <f t="shared" ca="1" si="61"/>
        <v>6000</v>
      </c>
      <c r="X20" s="514">
        <f t="shared" ca="1" si="62"/>
        <v>870</v>
      </c>
      <c r="Y20" s="514">
        <f t="shared" ca="1" si="63"/>
        <v>33500</v>
      </c>
      <c r="Z20" s="514">
        <f t="shared" ca="1" si="64"/>
        <v>100000</v>
      </c>
      <c r="AA20" s="514">
        <f t="shared" ca="1" si="65"/>
        <v>117786</v>
      </c>
      <c r="AB20" s="514">
        <f t="shared" ca="1" si="66"/>
        <v>200301</v>
      </c>
      <c r="AC20" s="514">
        <f t="shared" ca="1" si="67"/>
        <v>105786</v>
      </c>
      <c r="AD20" s="514">
        <f t="shared" ca="1" si="68"/>
        <v>174074</v>
      </c>
      <c r="AE20" s="514">
        <f t="shared" ca="1" si="69"/>
        <v>12</v>
      </c>
      <c r="AF20" s="514">
        <f t="shared" ca="1" si="70"/>
        <v>2</v>
      </c>
      <c r="AG20" s="514">
        <f t="shared" ca="1" si="71"/>
        <v>312</v>
      </c>
      <c r="AH20" s="514">
        <f t="shared" ca="1" si="72"/>
        <v>357</v>
      </c>
      <c r="AI20" s="514">
        <f t="shared" ca="1" si="73"/>
        <v>40</v>
      </c>
      <c r="AJ20" s="514">
        <f t="shared" ca="1" si="74"/>
        <v>17</v>
      </c>
      <c r="AK20" s="514">
        <f t="shared" ca="1" si="75"/>
        <v>952</v>
      </c>
      <c r="AL20" s="514">
        <f t="shared" ca="1" si="76"/>
        <v>1217</v>
      </c>
      <c r="AM20" s="514">
        <f t="shared" ca="1" si="77"/>
        <v>27304</v>
      </c>
      <c r="AN20" s="514">
        <f t="shared" ca="1" si="78"/>
        <v>25531</v>
      </c>
      <c r="AO20" s="519">
        <f t="shared" ca="1" si="38"/>
        <v>0</v>
      </c>
      <c r="AP20" s="519">
        <f t="shared" ca="1" si="79"/>
        <v>35420</v>
      </c>
      <c r="AQ20" s="519">
        <f t="shared" ca="1" si="80"/>
        <v>100301</v>
      </c>
      <c r="AR20" s="519">
        <f t="shared" ca="1" si="41"/>
        <v>121072</v>
      </c>
      <c r="AS20" s="519">
        <f t="shared" ca="1" si="42"/>
        <v>114649</v>
      </c>
    </row>
    <row r="21" spans="1:45">
      <c r="A21" s="516" t="s">
        <v>435</v>
      </c>
      <c r="B21" s="514" t="str">
        <f t="shared" ca="1" si="0"/>
        <v>JAPAN</v>
      </c>
      <c r="C21" s="519">
        <f t="shared" ca="1" si="1"/>
        <v>2018</v>
      </c>
      <c r="D21" s="514" t="str">
        <f t="shared" ca="1" si="2"/>
        <v>Aug</v>
      </c>
      <c r="E21" s="519">
        <f t="shared" ca="1" si="3"/>
        <v>2</v>
      </c>
      <c r="F21" s="519">
        <f t="shared" ca="1" si="44"/>
        <v>12</v>
      </c>
      <c r="G21" s="514">
        <f t="shared" ca="1" si="45"/>
        <v>13641.599999999999</v>
      </c>
      <c r="H21" s="514">
        <f t="shared" ca="1" si="46"/>
        <v>13322</v>
      </c>
      <c r="I21" s="514">
        <f t="shared" ca="1" si="47"/>
        <v>14720</v>
      </c>
      <c r="J21" s="514">
        <f t="shared" ca="1" si="48"/>
        <v>14410</v>
      </c>
      <c r="K21" s="514">
        <f t="shared" ca="1" si="49"/>
        <v>28361.599999999999</v>
      </c>
      <c r="L21" s="514">
        <f t="shared" ca="1" si="50"/>
        <v>27732</v>
      </c>
      <c r="M21" s="514">
        <f t="shared" ca="1" si="51"/>
        <v>1000</v>
      </c>
      <c r="N21" s="514">
        <f t="shared" ca="1" si="52"/>
        <v>7491</v>
      </c>
      <c r="O21" s="514">
        <f t="shared" ca="1" si="53"/>
        <v>650</v>
      </c>
      <c r="P21" s="514">
        <f t="shared" ca="1" si="54"/>
        <v>566</v>
      </c>
      <c r="Q21" s="514">
        <f t="shared" ca="1" si="55"/>
        <v>36232</v>
      </c>
      <c r="R21" s="514">
        <f t="shared" ca="1" si="56"/>
        <v>129700</v>
      </c>
      <c r="S21" s="514">
        <f t="shared" ca="1" si="57"/>
        <v>1100</v>
      </c>
      <c r="T21" s="514">
        <f t="shared" ca="1" si="58"/>
        <v>0</v>
      </c>
      <c r="U21" s="514">
        <f t="shared" ca="1" si="59"/>
        <v>12000</v>
      </c>
      <c r="V21" s="514">
        <f t="shared" ca="1" si="60"/>
        <v>16866</v>
      </c>
      <c r="W21" s="514">
        <f t="shared" ca="1" si="61"/>
        <v>6000</v>
      </c>
      <c r="X21" s="514">
        <f t="shared" ca="1" si="62"/>
        <v>0</v>
      </c>
      <c r="Y21" s="514">
        <f t="shared" ca="1" si="63"/>
        <v>33500</v>
      </c>
      <c r="Z21" s="514">
        <f t="shared" ca="1" si="64"/>
        <v>0</v>
      </c>
      <c r="AA21" s="514">
        <f t="shared" ca="1" si="65"/>
        <v>118843.6</v>
      </c>
      <c r="AB21" s="514">
        <f t="shared" ca="1" si="66"/>
        <v>182355</v>
      </c>
      <c r="AC21" s="514">
        <f t="shared" ca="1" si="67"/>
        <v>106843.6</v>
      </c>
      <c r="AD21" s="514">
        <f t="shared" ca="1" si="68"/>
        <v>165489</v>
      </c>
      <c r="AE21" s="514">
        <f t="shared" ca="1" si="69"/>
        <v>12</v>
      </c>
      <c r="AF21" s="514">
        <f t="shared" ca="1" si="70"/>
        <v>30</v>
      </c>
      <c r="AG21" s="514">
        <f t="shared" ca="1" si="71"/>
        <v>312</v>
      </c>
      <c r="AH21" s="514">
        <f t="shared" ca="1" si="72"/>
        <v>383</v>
      </c>
      <c r="AI21" s="514">
        <f t="shared" ca="1" si="73"/>
        <v>40</v>
      </c>
      <c r="AJ21" s="514">
        <f t="shared" ca="1" si="74"/>
        <v>120</v>
      </c>
      <c r="AK21" s="514">
        <f t="shared" ca="1" si="75"/>
        <v>952</v>
      </c>
      <c r="AL21" s="514">
        <f t="shared" ca="1" si="76"/>
        <v>1347</v>
      </c>
      <c r="AM21" s="514">
        <f t="shared" ca="1" si="77"/>
        <v>28361.599999999999</v>
      </c>
      <c r="AN21" s="514">
        <f t="shared" ca="1" si="78"/>
        <v>27732</v>
      </c>
      <c r="AO21" s="519">
        <f t="shared" ca="1" si="38"/>
        <v>0</v>
      </c>
      <c r="AP21" s="519">
        <f t="shared" ca="1" si="79"/>
        <v>114649</v>
      </c>
      <c r="AQ21" s="519">
        <f t="shared" ca="1" si="80"/>
        <v>182355</v>
      </c>
      <c r="AR21" s="519">
        <f t="shared" ca="1" si="41"/>
        <v>210337</v>
      </c>
      <c r="AS21" s="519">
        <f t="shared" ca="1" si="42"/>
        <v>86667</v>
      </c>
    </row>
    <row r="22" spans="1:45">
      <c r="A22" s="516" t="s">
        <v>426</v>
      </c>
      <c r="B22" s="514" t="str">
        <f t="shared" ca="1" si="0"/>
        <v>JAPAN</v>
      </c>
      <c r="C22" s="519">
        <f t="shared" ca="1" si="1"/>
        <v>2018</v>
      </c>
      <c r="D22" s="514" t="str">
        <f t="shared" ca="1" si="2"/>
        <v>Oct</v>
      </c>
      <c r="E22" s="519">
        <f t="shared" ca="1" si="3"/>
        <v>2</v>
      </c>
      <c r="F22" s="519">
        <f t="shared" ca="1" si="44"/>
        <v>14</v>
      </c>
      <c r="G22" s="514">
        <f t="shared" ca="1" si="45"/>
        <v>14059.199999999999</v>
      </c>
      <c r="H22" s="514">
        <f t="shared" ca="1" si="46"/>
        <v>13948</v>
      </c>
      <c r="I22" s="514">
        <f t="shared" ca="1" si="47"/>
        <v>15360</v>
      </c>
      <c r="J22" s="514">
        <f t="shared" ca="1" si="48"/>
        <v>15210</v>
      </c>
      <c r="K22" s="514">
        <f t="shared" ca="1" si="49"/>
        <v>29419.199999999997</v>
      </c>
      <c r="L22" s="514">
        <f t="shared" ca="1" si="50"/>
        <v>29158</v>
      </c>
      <c r="M22" s="514">
        <f t="shared" ca="1" si="51"/>
        <v>1000</v>
      </c>
      <c r="N22" s="514">
        <f t="shared" ca="1" si="52"/>
        <v>21650</v>
      </c>
      <c r="O22" s="514">
        <f t="shared" ca="1" si="53"/>
        <v>650</v>
      </c>
      <c r="P22" s="514">
        <f t="shared" ca="1" si="54"/>
        <v>9</v>
      </c>
      <c r="Q22" s="514">
        <f t="shared" ca="1" si="55"/>
        <v>36232</v>
      </c>
      <c r="R22" s="514">
        <f t="shared" ca="1" si="56"/>
        <v>108397</v>
      </c>
      <c r="S22" s="514">
        <f t="shared" ca="1" si="57"/>
        <v>1100</v>
      </c>
      <c r="T22" s="514">
        <f t="shared" ca="1" si="58"/>
        <v>0</v>
      </c>
      <c r="U22" s="514">
        <f t="shared" ca="1" si="59"/>
        <v>12000</v>
      </c>
      <c r="V22" s="514">
        <f t="shared" ca="1" si="60"/>
        <v>4569</v>
      </c>
      <c r="W22" s="514">
        <f t="shared" ca="1" si="61"/>
        <v>6000</v>
      </c>
      <c r="X22" s="514">
        <f t="shared" ca="1" si="62"/>
        <v>0</v>
      </c>
      <c r="Y22" s="514">
        <f t="shared" ca="1" si="63"/>
        <v>33500</v>
      </c>
      <c r="Z22" s="514">
        <f t="shared" ca="1" si="64"/>
        <v>0</v>
      </c>
      <c r="AA22" s="514">
        <f t="shared" ca="1" si="65"/>
        <v>119901.2</v>
      </c>
      <c r="AB22" s="514">
        <f t="shared" ca="1" si="66"/>
        <v>163783</v>
      </c>
      <c r="AC22" s="514">
        <f t="shared" ca="1" si="67"/>
        <v>107901.2</v>
      </c>
      <c r="AD22" s="514">
        <f t="shared" ca="1" si="68"/>
        <v>159214</v>
      </c>
      <c r="AE22" s="514">
        <f t="shared" ca="1" si="69"/>
        <v>12</v>
      </c>
      <c r="AF22" s="514">
        <f t="shared" ca="1" si="70"/>
        <v>21</v>
      </c>
      <c r="AG22" s="514">
        <f t="shared" ca="1" si="71"/>
        <v>312</v>
      </c>
      <c r="AH22" s="514">
        <f t="shared" ca="1" si="72"/>
        <v>401</v>
      </c>
      <c r="AI22" s="514">
        <f t="shared" ca="1" si="73"/>
        <v>40</v>
      </c>
      <c r="AJ22" s="514">
        <f t="shared" ca="1" si="74"/>
        <v>63</v>
      </c>
      <c r="AK22" s="514">
        <f t="shared" ca="1" si="75"/>
        <v>952</v>
      </c>
      <c r="AL22" s="514">
        <f t="shared" ca="1" si="76"/>
        <v>1418</v>
      </c>
      <c r="AM22" s="514">
        <f t="shared" ca="1" si="77"/>
        <v>29419.199999999997</v>
      </c>
      <c r="AN22" s="514">
        <f t="shared" ca="1" si="78"/>
        <v>29158</v>
      </c>
      <c r="AO22" s="519">
        <f t="shared" ca="1" si="38"/>
        <v>0</v>
      </c>
      <c r="AP22" s="519">
        <f t="shared" ca="1" si="79"/>
        <v>86667</v>
      </c>
      <c r="AQ22" s="519">
        <f t="shared" ca="1" si="80"/>
        <v>163783</v>
      </c>
      <c r="AR22" s="519">
        <f t="shared" ca="1" si="41"/>
        <v>222818</v>
      </c>
      <c r="AS22" s="519">
        <f t="shared" ca="1" si="42"/>
        <v>27632</v>
      </c>
    </row>
    <row r="23" spans="1:45">
      <c r="A23" s="516" t="s">
        <v>427</v>
      </c>
      <c r="B23" s="514" t="str">
        <f t="shared" ca="1" si="0"/>
        <v>JAPAN</v>
      </c>
      <c r="C23" s="519">
        <f t="shared" ca="1" si="1"/>
        <v>2018</v>
      </c>
      <c r="D23" s="514" t="str">
        <f t="shared" ca="1" si="2"/>
        <v>Oct</v>
      </c>
      <c r="E23" s="519">
        <f t="shared" ca="1" si="3"/>
        <v>1</v>
      </c>
      <c r="F23" s="519">
        <f t="shared" ca="1" si="44"/>
        <v>13</v>
      </c>
      <c r="G23" s="514">
        <f t="shared" ca="1" si="45"/>
        <v>14476.8</v>
      </c>
      <c r="H23" s="514">
        <f t="shared" ca="1" si="46"/>
        <v>14713</v>
      </c>
      <c r="I23" s="514">
        <f t="shared" ca="1" si="47"/>
        <v>16000</v>
      </c>
      <c r="J23" s="514">
        <f t="shared" ca="1" si="48"/>
        <v>15879</v>
      </c>
      <c r="K23" s="514">
        <f t="shared" ca="1" si="49"/>
        <v>30476.799999999999</v>
      </c>
      <c r="L23" s="514">
        <f t="shared" ca="1" si="50"/>
        <v>30592</v>
      </c>
      <c r="M23" s="514">
        <f t="shared" ca="1" si="51"/>
        <v>1000</v>
      </c>
      <c r="N23" s="514">
        <f t="shared" ca="1" si="52"/>
        <v>7011</v>
      </c>
      <c r="O23" s="514">
        <f t="shared" ca="1" si="53"/>
        <v>650</v>
      </c>
      <c r="P23" s="514">
        <f t="shared" ca="1" si="54"/>
        <v>749</v>
      </c>
      <c r="Q23" s="514">
        <f t="shared" ca="1" si="55"/>
        <v>36232</v>
      </c>
      <c r="R23" s="514">
        <f t="shared" ca="1" si="56"/>
        <v>173269</v>
      </c>
      <c r="S23" s="514">
        <f t="shared" ca="1" si="57"/>
        <v>1100</v>
      </c>
      <c r="T23" s="514">
        <f t="shared" ca="1" si="58"/>
        <v>0</v>
      </c>
      <c r="U23" s="514">
        <f t="shared" ca="1" si="59"/>
        <v>12500</v>
      </c>
      <c r="V23" s="514">
        <f t="shared" ca="1" si="60"/>
        <v>14195</v>
      </c>
      <c r="W23" s="514">
        <f t="shared" ca="1" si="61"/>
        <v>12000</v>
      </c>
      <c r="X23" s="514">
        <f t="shared" ca="1" si="62"/>
        <v>1220</v>
      </c>
      <c r="Y23" s="514">
        <f t="shared" ca="1" si="63"/>
        <v>33500</v>
      </c>
      <c r="Z23" s="514">
        <f t="shared" ca="1" si="64"/>
        <v>100000</v>
      </c>
      <c r="AA23" s="514">
        <f t="shared" ca="1" si="65"/>
        <v>127458.8</v>
      </c>
      <c r="AB23" s="514">
        <f t="shared" ca="1" si="66"/>
        <v>327036</v>
      </c>
      <c r="AC23" s="514">
        <f t="shared" ca="1" si="67"/>
        <v>114958.8</v>
      </c>
      <c r="AD23" s="514">
        <f t="shared" ca="1" si="68"/>
        <v>312841</v>
      </c>
      <c r="AE23" s="514">
        <f t="shared" ca="1" si="69"/>
        <v>12</v>
      </c>
      <c r="AF23" s="514">
        <f t="shared" ca="1" si="70"/>
        <v>27</v>
      </c>
      <c r="AG23" s="514">
        <f t="shared" ca="1" si="71"/>
        <v>312</v>
      </c>
      <c r="AH23" s="514">
        <f t="shared" ca="1" si="72"/>
        <v>423</v>
      </c>
      <c r="AI23" s="514">
        <f t="shared" ca="1" si="73"/>
        <v>40</v>
      </c>
      <c r="AJ23" s="514">
        <f t="shared" ca="1" si="74"/>
        <v>69</v>
      </c>
      <c r="AK23" s="514">
        <f t="shared" ca="1" si="75"/>
        <v>952</v>
      </c>
      <c r="AL23" s="514">
        <f t="shared" ca="1" si="76"/>
        <v>1493</v>
      </c>
      <c r="AM23" s="514">
        <f t="shared" ca="1" si="77"/>
        <v>30476.799999999999</v>
      </c>
      <c r="AN23" s="514">
        <f t="shared" ca="1" si="78"/>
        <v>30592</v>
      </c>
      <c r="AO23" s="519">
        <f t="shared" ca="1" si="38"/>
        <v>0</v>
      </c>
      <c r="AP23" s="519">
        <f t="shared" ca="1" si="79"/>
        <v>27632</v>
      </c>
      <c r="AQ23" s="519">
        <f t="shared" ca="1" si="80"/>
        <v>227036</v>
      </c>
      <c r="AR23" s="519">
        <f t="shared" ca="1" si="41"/>
        <v>337690</v>
      </c>
      <c r="AS23" s="519">
        <f t="shared" ca="1" si="42"/>
        <v>16978</v>
      </c>
    </row>
    <row r="24" spans="1:45">
      <c r="A24" s="516" t="s">
        <v>428</v>
      </c>
      <c r="B24" s="514" t="str">
        <f t="shared" ca="1" si="0"/>
        <v>JAPAN</v>
      </c>
      <c r="C24" s="519">
        <f t="shared" ca="1" si="1"/>
        <v>2018</v>
      </c>
      <c r="D24" s="514" t="str">
        <f t="shared" ca="1" si="2"/>
        <v>Nov</v>
      </c>
      <c r="E24" s="519">
        <f t="shared" ca="1" si="3"/>
        <v>1</v>
      </c>
      <c r="F24" s="519">
        <f t="shared" ca="1" si="44"/>
        <v>10</v>
      </c>
      <c r="G24" s="514">
        <f t="shared" ca="1" si="45"/>
        <v>14894.4</v>
      </c>
      <c r="H24" s="514">
        <f t="shared" ca="1" si="46"/>
        <v>15235</v>
      </c>
      <c r="I24" s="514">
        <f t="shared" ca="1" si="47"/>
        <v>16640</v>
      </c>
      <c r="J24" s="514">
        <f t="shared" ca="1" si="48"/>
        <v>16575</v>
      </c>
      <c r="K24" s="514">
        <f t="shared" ca="1" si="49"/>
        <v>31534.400000000001</v>
      </c>
      <c r="L24" s="514">
        <f t="shared" ca="1" si="50"/>
        <v>31810</v>
      </c>
      <c r="M24" s="514">
        <f t="shared" ca="1" si="51"/>
        <v>1000</v>
      </c>
      <c r="N24" s="514">
        <f t="shared" ca="1" si="52"/>
        <v>9478</v>
      </c>
      <c r="O24" s="514">
        <f t="shared" ca="1" si="53"/>
        <v>650</v>
      </c>
      <c r="P24" s="514">
        <f t="shared" ca="1" si="54"/>
        <v>452</v>
      </c>
      <c r="Q24" s="514">
        <f t="shared" ca="1" si="55"/>
        <v>36232</v>
      </c>
      <c r="R24" s="514">
        <f t="shared" ca="1" si="56"/>
        <v>0</v>
      </c>
      <c r="S24" s="514">
        <f t="shared" ca="1" si="57"/>
        <v>1100</v>
      </c>
      <c r="T24" s="514">
        <f t="shared" ca="1" si="58"/>
        <v>0</v>
      </c>
      <c r="U24" s="514">
        <f t="shared" ca="1" si="59"/>
        <v>12500</v>
      </c>
      <c r="V24" s="514">
        <f t="shared" ca="1" si="60"/>
        <v>15832</v>
      </c>
      <c r="W24" s="514">
        <f t="shared" ca="1" si="61"/>
        <v>16000</v>
      </c>
      <c r="X24" s="514">
        <f t="shared" ca="1" si="62"/>
        <v>321</v>
      </c>
      <c r="Y24" s="514">
        <f t="shared" ca="1" si="63"/>
        <v>33500</v>
      </c>
      <c r="Z24" s="514">
        <f t="shared" ca="1" si="64"/>
        <v>0</v>
      </c>
      <c r="AA24" s="514">
        <f t="shared" ca="1" si="65"/>
        <v>132516.4</v>
      </c>
      <c r="AB24" s="514">
        <f t="shared" ca="1" si="66"/>
        <v>57893</v>
      </c>
      <c r="AC24" s="514">
        <f t="shared" ca="1" si="67"/>
        <v>120016.4</v>
      </c>
      <c r="AD24" s="514">
        <f t="shared" ca="1" si="68"/>
        <v>42061</v>
      </c>
      <c r="AE24" s="514">
        <f t="shared" ca="1" si="69"/>
        <v>12</v>
      </c>
      <c r="AF24" s="514">
        <f t="shared" ca="1" si="70"/>
        <v>37</v>
      </c>
      <c r="AG24" s="514">
        <f t="shared" ca="1" si="71"/>
        <v>312</v>
      </c>
      <c r="AH24" s="514">
        <f t="shared" ca="1" si="72"/>
        <v>438</v>
      </c>
      <c r="AI24" s="514">
        <f t="shared" ca="1" si="73"/>
        <v>40</v>
      </c>
      <c r="AJ24" s="514">
        <f t="shared" ca="1" si="74"/>
        <v>66</v>
      </c>
      <c r="AK24" s="514">
        <f t="shared" ca="1" si="75"/>
        <v>952</v>
      </c>
      <c r="AL24" s="514">
        <f t="shared" ca="1" si="76"/>
        <v>1561</v>
      </c>
      <c r="AM24" s="514">
        <f t="shared" ca="1" si="77"/>
        <v>31534.400000000001</v>
      </c>
      <c r="AN24" s="514">
        <f t="shared" ca="1" si="78"/>
        <v>31810</v>
      </c>
      <c r="AO24" s="519">
        <f t="shared" ca="1" si="38"/>
        <v>0</v>
      </c>
      <c r="AP24" s="519">
        <f t="shared" ca="1" si="79"/>
        <v>16978</v>
      </c>
      <c r="AQ24" s="519">
        <f t="shared" ca="1" si="80"/>
        <v>57893</v>
      </c>
      <c r="AR24" s="519">
        <f t="shared" ca="1" si="41"/>
        <v>72452</v>
      </c>
      <c r="AS24" s="519">
        <f t="shared" ca="1" si="42"/>
        <v>2419</v>
      </c>
    </row>
    <row r="25" spans="1:45">
      <c r="A25" s="516" t="s">
        <v>429</v>
      </c>
      <c r="B25" s="514" t="str">
        <f t="shared" ca="1" si="0"/>
        <v>JAPAN</v>
      </c>
      <c r="C25" s="519">
        <f t="shared" ca="1" si="1"/>
        <v>2018</v>
      </c>
      <c r="D25" s="514" t="str">
        <f t="shared" ca="1" si="2"/>
        <v>Dec</v>
      </c>
      <c r="E25" s="519">
        <f t="shared" ca="1" si="3"/>
        <v>1</v>
      </c>
      <c r="F25" s="519">
        <f t="shared" ca="1" si="44"/>
        <v>10</v>
      </c>
      <c r="G25" s="514">
        <f t="shared" ca="1" si="45"/>
        <v>15312</v>
      </c>
      <c r="H25" s="514">
        <f t="shared" ca="1" si="46"/>
        <v>15791</v>
      </c>
      <c r="I25" s="514">
        <f t="shared" ca="1" si="47"/>
        <v>17280</v>
      </c>
      <c r="J25" s="514">
        <f t="shared" ca="1" si="48"/>
        <v>17983</v>
      </c>
      <c r="K25" s="514">
        <f t="shared" ca="1" si="49"/>
        <v>32592</v>
      </c>
      <c r="L25" s="514">
        <f t="shared" ca="1" si="50"/>
        <v>33774</v>
      </c>
      <c r="M25" s="514">
        <f t="shared" ca="1" si="51"/>
        <v>1000</v>
      </c>
      <c r="N25" s="514">
        <f t="shared" ca="1" si="52"/>
        <v>13045</v>
      </c>
      <c r="O25" s="514">
        <f t="shared" ca="1" si="53"/>
        <v>5100</v>
      </c>
      <c r="P25" s="514">
        <f t="shared" ca="1" si="54"/>
        <v>786</v>
      </c>
      <c r="Q25" s="514">
        <f t="shared" ca="1" si="55"/>
        <v>36232</v>
      </c>
      <c r="R25" s="514">
        <f t="shared" ca="1" si="56"/>
        <v>0</v>
      </c>
      <c r="S25" s="514">
        <f t="shared" ca="1" si="57"/>
        <v>1100</v>
      </c>
      <c r="T25" s="514">
        <f t="shared" ca="1" si="58"/>
        <v>0</v>
      </c>
      <c r="U25" s="514">
        <f t="shared" ca="1" si="59"/>
        <v>12500</v>
      </c>
      <c r="V25" s="514">
        <f t="shared" ca="1" si="60"/>
        <v>26909</v>
      </c>
      <c r="W25" s="514">
        <f t="shared" ca="1" si="61"/>
        <v>20000</v>
      </c>
      <c r="X25" s="514">
        <f t="shared" ca="1" si="62"/>
        <v>451</v>
      </c>
      <c r="Y25" s="514">
        <f t="shared" ca="1" si="63"/>
        <v>31500</v>
      </c>
      <c r="Z25" s="514">
        <f t="shared" ca="1" si="64"/>
        <v>0</v>
      </c>
      <c r="AA25" s="514">
        <f t="shared" ca="1" si="65"/>
        <v>140024</v>
      </c>
      <c r="AB25" s="514">
        <f t="shared" ca="1" si="66"/>
        <v>74965</v>
      </c>
      <c r="AC25" s="514">
        <f t="shared" ca="1" si="67"/>
        <v>127524</v>
      </c>
      <c r="AD25" s="514">
        <f t="shared" ca="1" si="68"/>
        <v>48056</v>
      </c>
      <c r="AE25" s="514">
        <f t="shared" ca="1" si="69"/>
        <v>12</v>
      </c>
      <c r="AF25" s="514">
        <f t="shared" ca="1" si="70"/>
        <v>31</v>
      </c>
      <c r="AG25" s="514">
        <f t="shared" ca="1" si="71"/>
        <v>312</v>
      </c>
      <c r="AH25" s="514">
        <f t="shared" ca="1" si="72"/>
        <v>454</v>
      </c>
      <c r="AI25" s="514">
        <f t="shared" ca="1" si="73"/>
        <v>40</v>
      </c>
      <c r="AJ25" s="514">
        <f t="shared" ca="1" si="74"/>
        <v>121</v>
      </c>
      <c r="AK25" s="514">
        <f t="shared" ca="1" si="75"/>
        <v>952</v>
      </c>
      <c r="AL25" s="514">
        <f t="shared" ca="1" si="76"/>
        <v>1685</v>
      </c>
      <c r="AM25" s="514">
        <f t="shared" ca="1" si="77"/>
        <v>32592</v>
      </c>
      <c r="AN25" s="514">
        <f t="shared" ca="1" si="78"/>
        <v>33774</v>
      </c>
      <c r="AO25" s="519">
        <f t="shared" ca="1" si="38"/>
        <v>0</v>
      </c>
      <c r="AP25" s="519">
        <f t="shared" ca="1" si="79"/>
        <v>2419</v>
      </c>
      <c r="AQ25" s="519">
        <f t="shared" ca="1" si="80"/>
        <v>74965</v>
      </c>
      <c r="AR25" s="519">
        <f t="shared" ca="1" si="41"/>
        <v>74452</v>
      </c>
      <c r="AS25" s="519">
        <f t="shared" ca="1" si="42"/>
        <v>2932</v>
      </c>
    </row>
    <row r="26" spans="1:45">
      <c r="A26" s="516" t="s">
        <v>430</v>
      </c>
      <c r="B26" s="514" t="str">
        <f t="shared" ca="1" si="0"/>
        <v>JAPAN</v>
      </c>
      <c r="C26" s="519">
        <f t="shared" ca="1" si="1"/>
        <v>2018</v>
      </c>
      <c r="D26" s="514" t="str">
        <f t="shared" ca="1" si="2"/>
        <v>Jan</v>
      </c>
      <c r="E26" s="519">
        <f t="shared" ca="1" si="3"/>
        <v>1</v>
      </c>
      <c r="F26" s="519">
        <f t="shared" ca="1" si="44"/>
        <v>10</v>
      </c>
      <c r="G26" s="514">
        <f t="shared" ca="1" si="45"/>
        <v>17017</v>
      </c>
      <c r="H26" s="514">
        <f t="shared" ca="1" si="46"/>
        <v>16000</v>
      </c>
      <c r="I26" s="514">
        <f t="shared" ca="1" si="47"/>
        <v>18923</v>
      </c>
      <c r="J26" s="514">
        <f t="shared" ca="1" si="48"/>
        <v>18388</v>
      </c>
      <c r="K26" s="514">
        <f t="shared" ca="1" si="49"/>
        <v>35940</v>
      </c>
      <c r="L26" s="514">
        <f t="shared" ca="1" si="50"/>
        <v>34388</v>
      </c>
      <c r="M26" s="514">
        <f t="shared" ca="1" si="51"/>
        <v>2900</v>
      </c>
      <c r="N26" s="514">
        <f t="shared" ca="1" si="52"/>
        <v>7883</v>
      </c>
      <c r="O26" s="514">
        <f t="shared" ca="1" si="53"/>
        <v>0</v>
      </c>
      <c r="P26" s="514">
        <f t="shared" ca="1" si="54"/>
        <v>757</v>
      </c>
      <c r="Q26" s="514">
        <f t="shared" ca="1" si="55"/>
        <v>36232</v>
      </c>
      <c r="R26" s="514">
        <f t="shared" ca="1" si="56"/>
        <v>0</v>
      </c>
      <c r="S26" s="514">
        <f t="shared" ca="1" si="57"/>
        <v>0</v>
      </c>
      <c r="T26" s="514">
        <f t="shared" ca="1" si="58"/>
        <v>11478</v>
      </c>
      <c r="U26" s="514">
        <f t="shared" ca="1" si="59"/>
        <v>12500</v>
      </c>
      <c r="V26" s="514">
        <f t="shared" ca="1" si="60"/>
        <v>10209</v>
      </c>
      <c r="W26" s="514">
        <f t="shared" ca="1" si="61"/>
        <v>2000</v>
      </c>
      <c r="X26" s="514">
        <f t="shared" ca="1" si="62"/>
        <v>451</v>
      </c>
      <c r="Y26" s="514">
        <f t="shared" ca="1" si="63"/>
        <v>40000</v>
      </c>
      <c r="Z26" s="514">
        <f t="shared" ca="1" si="64"/>
        <v>0</v>
      </c>
      <c r="AA26" s="514">
        <f t="shared" ca="1" si="65"/>
        <v>129572</v>
      </c>
      <c r="AB26" s="514">
        <f t="shared" ca="1" si="66"/>
        <v>65166</v>
      </c>
      <c r="AC26" s="514">
        <f t="shared" ca="1" si="67"/>
        <v>117072</v>
      </c>
      <c r="AD26" s="514">
        <f t="shared" ca="1" si="68"/>
        <v>54957</v>
      </c>
      <c r="AE26" s="514">
        <f t="shared" ca="1" si="69"/>
        <v>20</v>
      </c>
      <c r="AF26" s="514">
        <f t="shared" ca="1" si="70"/>
        <v>14</v>
      </c>
      <c r="AG26" s="514">
        <f t="shared" ca="1" si="71"/>
        <v>489</v>
      </c>
      <c r="AH26" s="514">
        <f t="shared" ca="1" si="72"/>
        <v>460</v>
      </c>
      <c r="AI26" s="514">
        <f t="shared" ca="1" si="73"/>
        <v>83</v>
      </c>
      <c r="AJ26" s="514">
        <f t="shared" ca="1" si="74"/>
        <v>47</v>
      </c>
      <c r="AK26" s="514">
        <f t="shared" ca="1" si="75"/>
        <v>1759</v>
      </c>
      <c r="AL26" s="514">
        <f t="shared" ca="1" si="76"/>
        <v>1721</v>
      </c>
      <c r="AM26" s="514">
        <f t="shared" ca="1" si="77"/>
        <v>35940</v>
      </c>
      <c r="AN26" s="514">
        <f t="shared" ca="1" si="78"/>
        <v>34388</v>
      </c>
      <c r="AO26" s="519">
        <f t="shared" ca="1" si="38"/>
        <v>0</v>
      </c>
      <c r="AP26" s="519">
        <f t="shared" ca="1" si="79"/>
        <v>0</v>
      </c>
      <c r="AQ26" s="519">
        <f t="shared" ca="1" si="80"/>
        <v>65166</v>
      </c>
      <c r="AR26" s="519">
        <f t="shared" ca="1" si="41"/>
        <v>135747</v>
      </c>
      <c r="AS26" s="519">
        <f t="shared" ca="1" si="42"/>
        <v>-70581</v>
      </c>
    </row>
    <row r="27" spans="1:45">
      <c r="A27" s="516" t="s">
        <v>431</v>
      </c>
      <c r="B27" s="514" t="str">
        <f t="shared" ca="1" si="0"/>
        <v>JAPAN</v>
      </c>
      <c r="C27" s="519">
        <f t="shared" ca="1" si="1"/>
        <v>2018</v>
      </c>
      <c r="D27" s="514" t="str">
        <f t="shared" ca="1" si="2"/>
        <v>Feb</v>
      </c>
      <c r="E27" s="519">
        <f t="shared" ca="1" si="3"/>
        <v>2</v>
      </c>
      <c r="F27" s="519">
        <f t="shared" ca="1" si="44"/>
        <v>10</v>
      </c>
      <c r="G27" s="514">
        <f t="shared" ca="1" si="45"/>
        <v>17468</v>
      </c>
      <c r="H27" s="514">
        <f t="shared" ca="1" si="46"/>
        <v>16243</v>
      </c>
      <c r="I27" s="514">
        <f t="shared" ca="1" si="47"/>
        <v>19894</v>
      </c>
      <c r="J27" s="514">
        <f t="shared" ca="1" si="48"/>
        <v>18470</v>
      </c>
      <c r="K27" s="514">
        <f t="shared" ca="1" si="49"/>
        <v>37362</v>
      </c>
      <c r="L27" s="514">
        <f t="shared" ca="1" si="50"/>
        <v>34713</v>
      </c>
      <c r="M27" s="514">
        <f t="shared" ca="1" si="51"/>
        <v>2900</v>
      </c>
      <c r="N27" s="514">
        <f t="shared" ca="1" si="52"/>
        <v>3585</v>
      </c>
      <c r="O27" s="514">
        <f t="shared" ca="1" si="53"/>
        <v>0</v>
      </c>
      <c r="P27" s="514">
        <f t="shared" ca="1" si="54"/>
        <v>452</v>
      </c>
      <c r="Q27" s="514">
        <f t="shared" ca="1" si="55"/>
        <v>36232</v>
      </c>
      <c r="R27" s="514">
        <f t="shared" ca="1" si="56"/>
        <v>0</v>
      </c>
      <c r="S27" s="514">
        <f t="shared" ca="1" si="57"/>
        <v>0</v>
      </c>
      <c r="T27" s="514">
        <f t="shared" ca="1" si="58"/>
        <v>3739</v>
      </c>
      <c r="U27" s="514">
        <f t="shared" ca="1" si="59"/>
        <v>12500</v>
      </c>
      <c r="V27" s="514">
        <f t="shared" ca="1" si="60"/>
        <v>32709</v>
      </c>
      <c r="W27" s="514">
        <f t="shared" ca="1" si="61"/>
        <v>2000</v>
      </c>
      <c r="X27" s="514">
        <f t="shared" ca="1" si="62"/>
        <v>0</v>
      </c>
      <c r="Y27" s="514">
        <f t="shared" ca="1" si="63"/>
        <v>40000</v>
      </c>
      <c r="Z27" s="514">
        <f t="shared" ca="1" si="64"/>
        <v>120000</v>
      </c>
      <c r="AA27" s="514">
        <f t="shared" ca="1" si="65"/>
        <v>130994</v>
      </c>
      <c r="AB27" s="514">
        <f t="shared" ca="1" si="66"/>
        <v>195198</v>
      </c>
      <c r="AC27" s="514">
        <f t="shared" ca="1" si="67"/>
        <v>118494</v>
      </c>
      <c r="AD27" s="514">
        <f t="shared" ca="1" si="68"/>
        <v>162489</v>
      </c>
      <c r="AE27" s="514">
        <f t="shared" ca="1" si="69"/>
        <v>20</v>
      </c>
      <c r="AF27" s="514">
        <f t="shared" ca="1" si="70"/>
        <v>8</v>
      </c>
      <c r="AG27" s="514">
        <f t="shared" ca="1" si="71"/>
        <v>482</v>
      </c>
      <c r="AH27" s="514">
        <f t="shared" ca="1" si="72"/>
        <v>467</v>
      </c>
      <c r="AI27" s="514">
        <f t="shared" ca="1" si="73"/>
        <v>83</v>
      </c>
      <c r="AJ27" s="514">
        <f t="shared" ca="1" si="74"/>
        <v>29</v>
      </c>
      <c r="AK27" s="514">
        <f t="shared" ca="1" si="75"/>
        <v>1734</v>
      </c>
      <c r="AL27" s="514">
        <f t="shared" ca="1" si="76"/>
        <v>1739</v>
      </c>
      <c r="AM27" s="514">
        <f t="shared" ca="1" si="77"/>
        <v>37362</v>
      </c>
      <c r="AN27" s="514">
        <f t="shared" ca="1" si="78"/>
        <v>34713</v>
      </c>
      <c r="AO27" s="519">
        <f t="shared" ca="1" si="38"/>
        <v>0</v>
      </c>
      <c r="AP27" s="519">
        <f t="shared" ca="1" si="79"/>
        <v>-70581</v>
      </c>
      <c r="AQ27" s="519">
        <f t="shared" ca="1" si="80"/>
        <v>75198</v>
      </c>
      <c r="AR27" s="519">
        <f t="shared" ca="1" si="41"/>
        <v>133773</v>
      </c>
      <c r="AS27" s="519">
        <f t="shared" ca="1" si="42"/>
        <v>-9156</v>
      </c>
    </row>
    <row r="28" spans="1:45">
      <c r="A28" s="516" t="s">
        <v>432</v>
      </c>
      <c r="B28" s="514" t="str">
        <f t="shared" ca="1" si="0"/>
        <v>JAPAN</v>
      </c>
      <c r="C28" s="519">
        <f t="shared" ca="1" si="1"/>
        <v>2018</v>
      </c>
      <c r="D28" s="514" t="str">
        <f t="shared" ca="1" si="2"/>
        <v>March</v>
      </c>
      <c r="E28" s="519">
        <f t="shared" ca="1" si="3"/>
        <v>2</v>
      </c>
      <c r="F28" s="519">
        <f t="shared" ca="1" si="44"/>
        <v>11</v>
      </c>
      <c r="G28" s="514">
        <f t="shared" ca="1" si="45"/>
        <v>17923</v>
      </c>
      <c r="H28" s="514">
        <f t="shared" ca="1" si="46"/>
        <v>16800</v>
      </c>
      <c r="I28" s="514">
        <f t="shared" ca="1" si="47"/>
        <v>20870</v>
      </c>
      <c r="J28" s="514">
        <f t="shared" ca="1" si="48"/>
        <v>19366</v>
      </c>
      <c r="K28" s="514">
        <f t="shared" ca="1" si="49"/>
        <v>38793</v>
      </c>
      <c r="L28" s="514">
        <f t="shared" ca="1" si="50"/>
        <v>36166</v>
      </c>
      <c r="M28" s="514">
        <f t="shared" ca="1" si="51"/>
        <v>2900</v>
      </c>
      <c r="N28" s="514">
        <f t="shared" ca="1" si="52"/>
        <v>4282</v>
      </c>
      <c r="O28" s="514">
        <f t="shared" ca="1" si="53"/>
        <v>0</v>
      </c>
      <c r="P28" s="514">
        <f t="shared" ca="1" si="54"/>
        <v>3335</v>
      </c>
      <c r="Q28" s="514">
        <f t="shared" ca="1" si="55"/>
        <v>36232</v>
      </c>
      <c r="R28" s="514">
        <f t="shared" ca="1" si="56"/>
        <v>0</v>
      </c>
      <c r="S28" s="514">
        <f t="shared" ca="1" si="57"/>
        <v>0</v>
      </c>
      <c r="T28" s="514">
        <f t="shared" ca="1" si="58"/>
        <v>0</v>
      </c>
      <c r="U28" s="514">
        <f t="shared" ca="1" si="59"/>
        <v>12500</v>
      </c>
      <c r="V28" s="514">
        <f t="shared" ca="1" si="60"/>
        <v>5955</v>
      </c>
      <c r="W28" s="514">
        <f t="shared" ca="1" si="61"/>
        <v>2000</v>
      </c>
      <c r="X28" s="514">
        <f t="shared" ca="1" si="62"/>
        <v>0</v>
      </c>
      <c r="Y28" s="514">
        <f t="shared" ca="1" si="63"/>
        <v>40000</v>
      </c>
      <c r="Z28" s="514">
        <f t="shared" ca="1" si="64"/>
        <v>0</v>
      </c>
      <c r="AA28" s="514">
        <f t="shared" ca="1" si="65"/>
        <v>132425</v>
      </c>
      <c r="AB28" s="514">
        <f t="shared" ca="1" si="66"/>
        <v>49738</v>
      </c>
      <c r="AC28" s="514">
        <f t="shared" ca="1" si="67"/>
        <v>119925</v>
      </c>
      <c r="AD28" s="514">
        <f t="shared" ca="1" si="68"/>
        <v>43783</v>
      </c>
      <c r="AE28" s="514">
        <f t="shared" ca="1" si="69"/>
        <v>20</v>
      </c>
      <c r="AF28" s="514">
        <f t="shared" ca="1" si="70"/>
        <v>18</v>
      </c>
      <c r="AG28" s="514">
        <f t="shared" ca="1" si="71"/>
        <v>475</v>
      </c>
      <c r="AH28" s="514">
        <f t="shared" ca="1" si="72"/>
        <v>483</v>
      </c>
      <c r="AI28" s="514">
        <f t="shared" ca="1" si="73"/>
        <v>83</v>
      </c>
      <c r="AJ28" s="514">
        <f t="shared" ca="1" si="74"/>
        <v>97</v>
      </c>
      <c r="AK28" s="514">
        <f t="shared" ca="1" si="75"/>
        <v>1710</v>
      </c>
      <c r="AL28" s="514">
        <f t="shared" ca="1" si="76"/>
        <v>1822</v>
      </c>
      <c r="AM28" s="514">
        <f t="shared" ca="1" si="77"/>
        <v>38793</v>
      </c>
      <c r="AN28" s="514">
        <f t="shared" ca="1" si="78"/>
        <v>36166</v>
      </c>
      <c r="AO28" s="519">
        <f t="shared" ca="1" si="38"/>
        <v>0</v>
      </c>
      <c r="AP28" s="519">
        <f t="shared" ca="1" si="79"/>
        <v>-9156</v>
      </c>
      <c r="AQ28" s="519">
        <f t="shared" ca="1" si="80"/>
        <v>49738</v>
      </c>
      <c r="AR28" s="519">
        <f t="shared" ca="1" si="41"/>
        <v>133773</v>
      </c>
      <c r="AS28" s="519">
        <f t="shared" ca="1" si="42"/>
        <v>-93191</v>
      </c>
    </row>
    <row r="29" spans="1:45">
      <c r="A29" s="516" t="s">
        <v>433</v>
      </c>
      <c r="B29" s="514" t="str">
        <f t="shared" ca="1" si="0"/>
        <v>JAPAN</v>
      </c>
      <c r="C29" s="519">
        <f t="shared" ca="1" si="1"/>
        <v>2019</v>
      </c>
      <c r="D29" s="514" t="str">
        <f t="shared" ca="1" si="2"/>
        <v>April</v>
      </c>
      <c r="E29" s="519">
        <f t="shared" ca="1" si="3"/>
        <v>2</v>
      </c>
      <c r="F29" s="519">
        <f t="shared" ca="1" si="44"/>
        <v>11</v>
      </c>
      <c r="G29" s="514">
        <f t="shared" ca="1" si="45"/>
        <v>18382</v>
      </c>
      <c r="H29" s="514">
        <f t="shared" ca="1" si="46"/>
        <v>17357</v>
      </c>
      <c r="I29" s="514">
        <f t="shared" ca="1" si="47"/>
        <v>21849</v>
      </c>
      <c r="J29" s="514">
        <f t="shared" ca="1" si="48"/>
        <v>20257</v>
      </c>
      <c r="K29" s="514">
        <f t="shared" ca="1" si="49"/>
        <v>40231</v>
      </c>
      <c r="L29" s="514">
        <f t="shared" ca="1" si="50"/>
        <v>37614</v>
      </c>
      <c r="M29" s="514">
        <f t="shared" ca="1" si="51"/>
        <v>2900</v>
      </c>
      <c r="N29" s="514">
        <f t="shared" ca="1" si="52"/>
        <v>4287</v>
      </c>
      <c r="O29" s="514">
        <f t="shared" ca="1" si="53"/>
        <v>0</v>
      </c>
      <c r="P29" s="514">
        <f t="shared" ca="1" si="54"/>
        <v>696</v>
      </c>
      <c r="Q29" s="514">
        <f t="shared" ca="1" si="55"/>
        <v>36232</v>
      </c>
      <c r="R29" s="514">
        <f t="shared" ca="1" si="56"/>
        <v>170351</v>
      </c>
      <c r="S29" s="514">
        <f t="shared" ca="1" si="57"/>
        <v>0</v>
      </c>
      <c r="T29" s="514">
        <f t="shared" ca="1" si="58"/>
        <v>0</v>
      </c>
      <c r="U29" s="514">
        <f t="shared" ca="1" si="59"/>
        <v>13000</v>
      </c>
      <c r="V29" s="514">
        <f t="shared" ca="1" si="60"/>
        <v>14106</v>
      </c>
      <c r="W29" s="514">
        <f t="shared" ca="1" si="61"/>
        <v>2000</v>
      </c>
      <c r="X29" s="514">
        <f t="shared" ca="1" si="62"/>
        <v>0</v>
      </c>
      <c r="Y29" s="514">
        <f t="shared" ca="1" si="63"/>
        <v>40000</v>
      </c>
      <c r="Z29" s="514">
        <f t="shared" ca="1" si="64"/>
        <v>120000</v>
      </c>
      <c r="AA29" s="514">
        <f t="shared" ca="1" si="65"/>
        <v>134363</v>
      </c>
      <c r="AB29" s="514">
        <f t="shared" ca="1" si="66"/>
        <v>347054</v>
      </c>
      <c r="AC29" s="514">
        <f t="shared" ca="1" si="67"/>
        <v>121363</v>
      </c>
      <c r="AD29" s="514">
        <f t="shared" ca="1" si="68"/>
        <v>332948</v>
      </c>
      <c r="AE29" s="514">
        <f t="shared" ca="1" si="69"/>
        <v>20</v>
      </c>
      <c r="AF29" s="514">
        <f t="shared" ca="1" si="70"/>
        <v>27</v>
      </c>
      <c r="AG29" s="514">
        <f t="shared" ca="1" si="71"/>
        <v>468</v>
      </c>
      <c r="AH29" s="514">
        <f t="shared" ca="1" si="72"/>
        <v>499</v>
      </c>
      <c r="AI29" s="514">
        <f t="shared" ca="1" si="73"/>
        <v>83</v>
      </c>
      <c r="AJ29" s="514">
        <f t="shared" ca="1" si="74"/>
        <v>65</v>
      </c>
      <c r="AK29" s="514">
        <f t="shared" ca="1" si="75"/>
        <v>1685</v>
      </c>
      <c r="AL29" s="514">
        <f t="shared" ca="1" si="76"/>
        <v>1894</v>
      </c>
      <c r="AM29" s="514">
        <f t="shared" ca="1" si="77"/>
        <v>40231</v>
      </c>
      <c r="AN29" s="514">
        <f t="shared" ca="1" si="78"/>
        <v>37614</v>
      </c>
      <c r="AO29" s="519">
        <f t="shared" ca="1" si="38"/>
        <v>0</v>
      </c>
      <c r="AP29" s="519">
        <f t="shared" ca="1" si="79"/>
        <v>-93191</v>
      </c>
      <c r="AQ29" s="519">
        <f t="shared" ca="1" si="80"/>
        <v>227054</v>
      </c>
      <c r="AR29" s="519">
        <f t="shared" ca="1" si="41"/>
        <v>133773</v>
      </c>
      <c r="AS29" s="519">
        <f t="shared" ca="1" si="42"/>
        <v>90</v>
      </c>
    </row>
    <row r="30" spans="1:45">
      <c r="A30" s="516" t="s">
        <v>434</v>
      </c>
      <c r="B30" s="514" t="str">
        <f t="shared" ca="1" si="0"/>
        <v>JAPAN</v>
      </c>
      <c r="C30" s="519">
        <f t="shared" ca="1" si="1"/>
        <v>2019</v>
      </c>
      <c r="D30" s="514" t="str">
        <f t="shared" ca="1" si="2"/>
        <v>May</v>
      </c>
      <c r="E30" s="519">
        <f t="shared" ca="1" si="3"/>
        <v>2</v>
      </c>
      <c r="F30" s="519">
        <f t="shared" ca="1" si="44"/>
        <v>11</v>
      </c>
      <c r="G30" s="514">
        <f t="shared" ca="1" si="45"/>
        <v>18844</v>
      </c>
      <c r="H30" s="514">
        <f t="shared" ca="1" si="46"/>
        <v>18122</v>
      </c>
      <c r="I30" s="514">
        <f t="shared" ca="1" si="47"/>
        <v>22832</v>
      </c>
      <c r="J30" s="514">
        <f t="shared" ca="1" si="48"/>
        <v>20701</v>
      </c>
      <c r="K30" s="514">
        <f t="shared" ca="1" si="49"/>
        <v>41676</v>
      </c>
      <c r="L30" s="514">
        <f t="shared" ca="1" si="50"/>
        <v>38823</v>
      </c>
      <c r="M30" s="514">
        <f t="shared" ca="1" si="51"/>
        <v>2900</v>
      </c>
      <c r="N30" s="514">
        <f t="shared" ca="1" si="52"/>
        <v>2982</v>
      </c>
      <c r="O30" s="514">
        <f t="shared" ca="1" si="53"/>
        <v>0</v>
      </c>
      <c r="P30" s="514">
        <f t="shared" ca="1" si="54"/>
        <v>2865</v>
      </c>
      <c r="Q30" s="514">
        <f t="shared" ca="1" si="55"/>
        <v>36232</v>
      </c>
      <c r="R30" s="514">
        <f t="shared" ca="1" si="56"/>
        <v>0</v>
      </c>
      <c r="S30" s="514">
        <f t="shared" ca="1" si="57"/>
        <v>0</v>
      </c>
      <c r="T30" s="514">
        <f t="shared" ca="1" si="58"/>
        <v>0</v>
      </c>
      <c r="U30" s="514">
        <f t="shared" ca="1" si="59"/>
        <v>13000</v>
      </c>
      <c r="V30" s="514">
        <f t="shared" ca="1" si="60"/>
        <v>20773</v>
      </c>
      <c r="W30" s="514">
        <f t="shared" ca="1" si="61"/>
        <v>2000</v>
      </c>
      <c r="X30" s="514">
        <f t="shared" ca="1" si="62"/>
        <v>0</v>
      </c>
      <c r="Y30" s="514">
        <f t="shared" ca="1" si="63"/>
        <v>40000</v>
      </c>
      <c r="Z30" s="514">
        <f t="shared" ca="1" si="64"/>
        <v>0</v>
      </c>
      <c r="AA30" s="514">
        <f t="shared" ca="1" si="65"/>
        <v>135808</v>
      </c>
      <c r="AB30" s="514">
        <f t="shared" ca="1" si="66"/>
        <v>65443</v>
      </c>
      <c r="AC30" s="514">
        <f t="shared" ca="1" si="67"/>
        <v>122808</v>
      </c>
      <c r="AD30" s="514">
        <f t="shared" ca="1" si="68"/>
        <v>44670</v>
      </c>
      <c r="AE30" s="514">
        <f t="shared" ca="1" si="69"/>
        <v>20</v>
      </c>
      <c r="AF30" s="514">
        <f t="shared" ca="1" si="70"/>
        <v>29</v>
      </c>
      <c r="AG30" s="514">
        <f t="shared" ca="1" si="71"/>
        <v>461</v>
      </c>
      <c r="AH30" s="514">
        <f t="shared" ca="1" si="72"/>
        <v>521</v>
      </c>
      <c r="AI30" s="514">
        <f t="shared" ca="1" si="73"/>
        <v>83</v>
      </c>
      <c r="AJ30" s="514">
        <f t="shared" ca="1" si="74"/>
        <v>59</v>
      </c>
      <c r="AK30" s="514">
        <f t="shared" ca="1" si="75"/>
        <v>1661</v>
      </c>
      <c r="AL30" s="514">
        <f t="shared" ca="1" si="76"/>
        <v>1958</v>
      </c>
      <c r="AM30" s="514">
        <f t="shared" ca="1" si="77"/>
        <v>41677</v>
      </c>
      <c r="AN30" s="514">
        <f t="shared" ca="1" si="78"/>
        <v>38823</v>
      </c>
      <c r="AO30" s="519">
        <f t="shared" ca="1" si="38"/>
        <v>0</v>
      </c>
      <c r="AP30" s="519">
        <f t="shared" ca="1" si="79"/>
        <v>90</v>
      </c>
      <c r="AQ30" s="519">
        <f t="shared" ca="1" si="80"/>
        <v>65443</v>
      </c>
      <c r="AR30" s="519">
        <f t="shared" ca="1" si="41"/>
        <v>100000</v>
      </c>
      <c r="AS30" s="519">
        <f t="shared" ca="1" si="42"/>
        <v>-34467</v>
      </c>
    </row>
    <row r="31" spans="1:45">
      <c r="A31" s="816" t="s">
        <v>445</v>
      </c>
      <c r="B31" s="514" t="str">
        <f t="shared" ca="1" si="0"/>
        <v>JAPAN</v>
      </c>
      <c r="C31" s="519">
        <f t="shared" ca="1" si="1"/>
        <v>2019</v>
      </c>
      <c r="D31" s="514" t="str">
        <f t="shared" ca="1" si="2"/>
        <v>June</v>
      </c>
      <c r="E31" s="519">
        <f t="shared" ca="1" si="3"/>
        <v>2</v>
      </c>
      <c r="F31" s="519">
        <f t="shared" ca="1" si="44"/>
        <v>11</v>
      </c>
      <c r="G31" s="514">
        <f t="shared" ca="1" si="45"/>
        <v>19309</v>
      </c>
      <c r="H31" s="514">
        <f t="shared" ca="1" si="46"/>
        <v>18296</v>
      </c>
      <c r="I31" s="514">
        <f t="shared" ca="1" si="47"/>
        <v>23819</v>
      </c>
      <c r="J31" s="514">
        <f t="shared" ca="1" si="48"/>
        <v>21018</v>
      </c>
      <c r="K31" s="514">
        <f t="shared" ca="1" si="49"/>
        <v>43128</v>
      </c>
      <c r="L31" s="514">
        <f t="shared" ca="1" si="50"/>
        <v>39314</v>
      </c>
      <c r="M31" s="514">
        <f t="shared" ca="1" si="51"/>
        <v>2900</v>
      </c>
      <c r="N31" s="514">
        <f t="shared" ca="1" si="52"/>
        <v>5143</v>
      </c>
      <c r="O31" s="514">
        <f t="shared" ca="1" si="53"/>
        <v>0</v>
      </c>
      <c r="P31" s="514">
        <f t="shared" ca="1" si="54"/>
        <v>1247</v>
      </c>
      <c r="Q31" s="514">
        <f t="shared" ca="1" si="55"/>
        <v>36232</v>
      </c>
      <c r="R31" s="514">
        <f t="shared" ca="1" si="56"/>
        <v>394782</v>
      </c>
      <c r="S31" s="514">
        <f t="shared" ca="1" si="57"/>
        <v>0</v>
      </c>
      <c r="T31" s="514">
        <f t="shared" ca="1" si="58"/>
        <v>0</v>
      </c>
      <c r="U31" s="514">
        <f t="shared" ca="1" si="59"/>
        <v>13000</v>
      </c>
      <c r="V31" s="514">
        <f t="shared" ca="1" si="60"/>
        <v>5104</v>
      </c>
      <c r="W31" s="514">
        <f t="shared" ca="1" si="61"/>
        <v>2000</v>
      </c>
      <c r="X31" s="514">
        <f t="shared" ca="1" si="62"/>
        <v>0</v>
      </c>
      <c r="Y31" s="514">
        <f t="shared" ca="1" si="63"/>
        <v>40000</v>
      </c>
      <c r="Z31" s="514">
        <f t="shared" ca="1" si="64"/>
        <v>0</v>
      </c>
      <c r="AA31" s="514">
        <f t="shared" ca="1" si="65"/>
        <v>137260</v>
      </c>
      <c r="AB31" s="514">
        <f t="shared" ca="1" si="66"/>
        <v>445590</v>
      </c>
      <c r="AC31" s="514">
        <f t="shared" ca="1" si="67"/>
        <v>124260</v>
      </c>
      <c r="AD31" s="514">
        <f t="shared" ca="1" si="68"/>
        <v>440486</v>
      </c>
      <c r="AE31" s="514">
        <f t="shared" ca="1" si="69"/>
        <v>20</v>
      </c>
      <c r="AF31" s="514">
        <f t="shared" ca="1" si="70"/>
        <v>14</v>
      </c>
      <c r="AG31" s="514">
        <f t="shared" ca="1" si="71"/>
        <v>455</v>
      </c>
      <c r="AH31" s="514">
        <f t="shared" ca="1" si="72"/>
        <v>526</v>
      </c>
      <c r="AI31" s="514">
        <f t="shared" ca="1" si="73"/>
        <v>83</v>
      </c>
      <c r="AJ31" s="514">
        <f t="shared" ca="1" si="74"/>
        <v>40</v>
      </c>
      <c r="AK31" s="514">
        <f t="shared" ca="1" si="75"/>
        <v>1639</v>
      </c>
      <c r="AL31" s="514">
        <f t="shared" ca="1" si="76"/>
        <v>1990</v>
      </c>
      <c r="AM31" s="514">
        <f t="shared" ca="1" si="77"/>
        <v>43128</v>
      </c>
      <c r="AN31" s="514">
        <f t="shared" ca="1" si="78"/>
        <v>39314</v>
      </c>
      <c r="AO31" s="514">
        <f t="shared" ca="1" si="38"/>
        <v>0</v>
      </c>
      <c r="AP31" s="514">
        <f t="shared" ca="1" si="79"/>
        <v>-34467</v>
      </c>
      <c r="AQ31" s="514">
        <f t="shared" ca="1" si="80"/>
        <v>445590</v>
      </c>
      <c r="AR31" s="514">
        <f t="shared" ca="1" si="41"/>
        <v>400000</v>
      </c>
      <c r="AS31" s="514">
        <f t="shared" ca="1" si="42"/>
        <v>11123</v>
      </c>
    </row>
    <row r="32" spans="1:45">
      <c r="A32" s="517"/>
      <c r="B32" s="514" t="str">
        <f t="shared" ca="1" si="0"/>
        <v/>
      </c>
    </row>
    <row r="33" spans="1:2">
      <c r="A33" s="516"/>
      <c r="B33" s="514" t="str">
        <f t="shared" ca="1" si="0"/>
        <v/>
      </c>
    </row>
    <row r="34" spans="1:2">
      <c r="A34" s="516"/>
      <c r="B34" s="514" t="str">
        <f t="shared" ca="1" si="0"/>
        <v/>
      </c>
    </row>
    <row r="35" spans="1:2">
      <c r="A35" s="516"/>
      <c r="B35" s="514" t="str">
        <f t="shared" ca="1" si="0"/>
        <v/>
      </c>
    </row>
    <row r="36" spans="1:2">
      <c r="A36" s="516"/>
      <c r="B36" s="514" t="str">
        <f t="shared" ca="1" si="0"/>
        <v/>
      </c>
    </row>
    <row r="37" spans="1:2">
      <c r="A37" s="516"/>
      <c r="B37" s="514" t="str">
        <f t="shared" ca="1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Button 1">
              <controlPr defaultSize="0" print="0" autoFill="0" autoPict="0" macro="[0]!PlugData" altText="Button_4">
                <anchor moveWithCells="1" sizeWithCells="1">
                  <from>
                    <xdr:col>0</xdr:col>
                    <xdr:colOff>0</xdr:colOff>
                    <xdr:row>38</xdr:row>
                    <xdr:rowOff>38100</xdr:rowOff>
                  </from>
                  <to>
                    <xdr:col>0</xdr:col>
                    <xdr:colOff>1524000</xdr:colOff>
                    <xdr:row>40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E66FE-FADE-A047-A928-5B9462CBBEF1}">
  <sheetPr codeName="Sheet2">
    <pageSetUpPr fitToPage="1"/>
  </sheetPr>
  <dimension ref="A1:N150"/>
  <sheetViews>
    <sheetView view="pageBreakPreview" topLeftCell="A47" zoomScale="161" zoomScaleNormal="100" zoomScaleSheetLayoutView="95" workbookViewId="0">
      <selection activeCell="D77" sqref="D77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140</v>
      </c>
      <c r="H1" s="2">
        <v>2017</v>
      </c>
      <c r="I1" s="491"/>
      <c r="J1" s="491"/>
      <c r="K1" s="491"/>
      <c r="L1" s="491"/>
      <c r="M1" s="491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4</v>
      </c>
      <c r="M6" s="525"/>
    </row>
    <row r="7" spans="1:13">
      <c r="J7" s="525" t="s">
        <v>6</v>
      </c>
      <c r="K7" s="525"/>
      <c r="L7" s="535">
        <v>42789</v>
      </c>
      <c r="M7" s="525"/>
    </row>
    <row r="8" spans="1:13" ht="15" thickBot="1">
      <c r="A8" s="127" t="s">
        <v>7</v>
      </c>
    </row>
    <row r="9" spans="1:13" ht="28">
      <c r="A9" s="531" t="s">
        <v>8</v>
      </c>
      <c r="B9" s="533"/>
      <c r="C9" s="470" t="s">
        <v>305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79" t="s">
        <v>306</v>
      </c>
      <c r="C10" s="61">
        <v>5</v>
      </c>
      <c r="D10" s="490">
        <v>2</v>
      </c>
      <c r="E10" s="538" t="s">
        <v>307</v>
      </c>
      <c r="F10" s="538"/>
      <c r="G10" s="538"/>
      <c r="H10" s="538"/>
      <c r="I10" s="539"/>
    </row>
    <row r="11" spans="1:13">
      <c r="A11" s="537"/>
      <c r="B11" s="479" t="s">
        <v>12</v>
      </c>
      <c r="C11" s="61">
        <v>0</v>
      </c>
      <c r="D11" s="490">
        <v>1</v>
      </c>
      <c r="E11" s="540" t="s">
        <v>308</v>
      </c>
      <c r="F11" s="541"/>
      <c r="G11" s="541"/>
      <c r="H11" s="541"/>
      <c r="I11" s="542"/>
    </row>
    <row r="12" spans="1:13">
      <c r="A12" s="537"/>
      <c r="B12" s="479" t="s">
        <v>309</v>
      </c>
      <c r="C12" s="61">
        <v>1</v>
      </c>
      <c r="D12" s="490">
        <v>1</v>
      </c>
      <c r="E12" s="538" t="s">
        <v>130</v>
      </c>
      <c r="F12" s="538"/>
      <c r="G12" s="538"/>
      <c r="H12" s="538"/>
      <c r="I12" s="539"/>
    </row>
    <row r="13" spans="1:13">
      <c r="A13" s="537"/>
      <c r="B13" s="479" t="s">
        <v>13</v>
      </c>
      <c r="C13" s="61">
        <v>5</v>
      </c>
      <c r="D13" s="490">
        <v>1</v>
      </c>
      <c r="E13" s="538" t="s">
        <v>310</v>
      </c>
      <c r="F13" s="538"/>
      <c r="G13" s="538"/>
      <c r="H13" s="538"/>
      <c r="I13" s="539"/>
    </row>
    <row r="14" spans="1:13" s="8" customFormat="1" ht="14" thickBot="1">
      <c r="A14" s="526" t="s">
        <v>14</v>
      </c>
      <c r="B14" s="527"/>
      <c r="C14" s="7">
        <f>SUM(C10:C13)</f>
        <v>11</v>
      </c>
      <c r="D14" s="7">
        <f>SUM(D10:D13)</f>
        <v>5</v>
      </c>
      <c r="E14" s="528" t="s">
        <v>15</v>
      </c>
      <c r="F14" s="529"/>
      <c r="G14" s="529"/>
      <c r="H14" s="529"/>
      <c r="I14" s="530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31" t="s">
        <v>18</v>
      </c>
      <c r="B18" s="533" t="s">
        <v>19</v>
      </c>
      <c r="C18" s="533"/>
      <c r="D18" s="533" t="s">
        <v>20</v>
      </c>
      <c r="E18" s="533"/>
      <c r="F18" s="533"/>
      <c r="G18" s="533" t="s">
        <v>21</v>
      </c>
      <c r="H18" s="533"/>
      <c r="I18" s="533"/>
      <c r="J18" s="533" t="s">
        <v>22</v>
      </c>
      <c r="K18" s="533"/>
      <c r="L18" s="533"/>
      <c r="M18" s="536"/>
    </row>
    <row r="19" spans="1:13">
      <c r="A19" s="532"/>
      <c r="B19" s="534"/>
      <c r="C19" s="534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534"/>
      <c r="K19" s="534"/>
      <c r="L19" s="534"/>
      <c r="M19" s="543"/>
    </row>
    <row r="20" spans="1:13">
      <c r="A20" s="544" t="s">
        <v>26</v>
      </c>
      <c r="B20" s="545"/>
      <c r="C20" s="545"/>
      <c r="D20" s="545"/>
      <c r="E20" s="545"/>
      <c r="F20" s="545"/>
      <c r="G20" s="545"/>
      <c r="H20" s="545"/>
      <c r="I20" s="545"/>
      <c r="J20" s="545"/>
      <c r="K20" s="545"/>
      <c r="L20" s="545"/>
      <c r="M20" s="546"/>
    </row>
    <row r="21" spans="1:13">
      <c r="A21" s="547" t="s">
        <v>27</v>
      </c>
      <c r="B21" s="550" t="s">
        <v>28</v>
      </c>
      <c r="C21" s="128" t="s">
        <v>29</v>
      </c>
      <c r="D21" s="61">
        <v>13890</v>
      </c>
      <c r="E21" s="490">
        <v>11683</v>
      </c>
      <c r="F21" s="14">
        <f t="shared" ref="F21:F26" si="0">E21/D21</f>
        <v>0.84110871130309572</v>
      </c>
      <c r="G21" s="479">
        <f>D21</f>
        <v>13890</v>
      </c>
      <c r="H21" s="479">
        <f>E21</f>
        <v>11683</v>
      </c>
      <c r="I21" s="14">
        <f t="shared" ref="I21:I26" si="1">H21/G21</f>
        <v>0.84110871130309572</v>
      </c>
      <c r="J21" s="525"/>
      <c r="K21" s="525"/>
      <c r="L21" s="525"/>
      <c r="M21" s="552"/>
    </row>
    <row r="22" spans="1:13" ht="13.5" customHeight="1">
      <c r="A22" s="548"/>
      <c r="B22" s="551"/>
      <c r="C22" s="15" t="s">
        <v>30</v>
      </c>
      <c r="D22" s="487">
        <f>SUM(D21:D21)</f>
        <v>13890</v>
      </c>
      <c r="E22" s="487">
        <f>SUM(E21:E21)</f>
        <v>11683</v>
      </c>
      <c r="F22" s="16">
        <f t="shared" si="0"/>
        <v>0.84110871130309572</v>
      </c>
      <c r="G22" s="487">
        <f>SUM(G21:G21)</f>
        <v>13890</v>
      </c>
      <c r="H22" s="487">
        <f>SUM(H21:H21)</f>
        <v>11683</v>
      </c>
      <c r="I22" s="16">
        <f t="shared" si="1"/>
        <v>0.84110871130309572</v>
      </c>
      <c r="J22" s="553"/>
      <c r="K22" s="553"/>
      <c r="L22" s="553"/>
      <c r="M22" s="554"/>
    </row>
    <row r="23" spans="1:13" ht="13.5" customHeight="1">
      <c r="A23" s="548"/>
      <c r="B23" s="555" t="s">
        <v>31</v>
      </c>
      <c r="C23" s="128" t="s">
        <v>29</v>
      </c>
      <c r="D23" s="61">
        <v>4715</v>
      </c>
      <c r="E23" s="490">
        <v>4222</v>
      </c>
      <c r="F23" s="14">
        <f t="shared" si="0"/>
        <v>0.89544008483563098</v>
      </c>
      <c r="G23" s="479">
        <f>D23</f>
        <v>4715</v>
      </c>
      <c r="H23" s="479">
        <f>E23</f>
        <v>4222</v>
      </c>
      <c r="I23" s="14">
        <f t="shared" si="1"/>
        <v>0.89544008483563098</v>
      </c>
      <c r="J23" s="525"/>
      <c r="K23" s="525"/>
      <c r="L23" s="525"/>
      <c r="M23" s="552"/>
    </row>
    <row r="24" spans="1:13" ht="13.5" customHeight="1">
      <c r="A24" s="548"/>
      <c r="B24" s="555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525"/>
      <c r="K24" s="525"/>
      <c r="L24" s="525"/>
      <c r="M24" s="552"/>
    </row>
    <row r="25" spans="1:13" ht="13.5" customHeight="1">
      <c r="A25" s="548"/>
      <c r="B25" s="555"/>
      <c r="C25" s="15" t="s">
        <v>30</v>
      </c>
      <c r="D25" s="487">
        <f>SUM(D23:D24)</f>
        <v>4715</v>
      </c>
      <c r="E25" s="487">
        <f>SUM(E23:E24)</f>
        <v>4222</v>
      </c>
      <c r="F25" s="16">
        <f t="shared" si="0"/>
        <v>0.89544008483563098</v>
      </c>
      <c r="G25" s="487">
        <f>SUM(G23:G24)</f>
        <v>4715</v>
      </c>
      <c r="H25" s="487">
        <f>SUM(H23:H24)</f>
        <v>4222</v>
      </c>
      <c r="I25" s="16">
        <f t="shared" si="1"/>
        <v>0.89544008483563098</v>
      </c>
      <c r="J25" s="553"/>
      <c r="K25" s="553"/>
      <c r="L25" s="553"/>
      <c r="M25" s="554"/>
    </row>
    <row r="26" spans="1:13" s="8" customFormat="1" ht="14.25" customHeight="1" thickBot="1">
      <c r="A26" s="549"/>
      <c r="B26" s="556" t="s">
        <v>30</v>
      </c>
      <c r="C26" s="556"/>
      <c r="D26" s="489">
        <f>SUM(D22,D25)</f>
        <v>18605</v>
      </c>
      <c r="E26" s="489">
        <f>SUM(E22,E25)</f>
        <v>15905</v>
      </c>
      <c r="F26" s="17">
        <f t="shared" si="0"/>
        <v>0.85487772104273041</v>
      </c>
      <c r="G26" s="489">
        <f>SUM(G22,G25)</f>
        <v>18605</v>
      </c>
      <c r="H26" s="489">
        <f>SUM(H22,H25)</f>
        <v>15905</v>
      </c>
      <c r="I26" s="17">
        <f t="shared" si="1"/>
        <v>0.85487772104273041</v>
      </c>
      <c r="J26" s="556"/>
      <c r="K26" s="556"/>
      <c r="L26" s="556"/>
      <c r="M26" s="557"/>
    </row>
    <row r="27" spans="1:13">
      <c r="A27" s="558" t="s">
        <v>33</v>
      </c>
      <c r="B27" s="559"/>
      <c r="C27" s="559"/>
      <c r="D27" s="559"/>
      <c r="E27" s="559"/>
      <c r="F27" s="559"/>
      <c r="G27" s="559"/>
      <c r="H27" s="559"/>
      <c r="I27" s="559"/>
      <c r="J27" s="559"/>
      <c r="K27" s="559"/>
      <c r="L27" s="559"/>
      <c r="M27" s="560"/>
    </row>
    <row r="28" spans="1:13" ht="12.75" customHeight="1">
      <c r="A28" s="561" t="s">
        <v>34</v>
      </c>
      <c r="B28" s="564" t="s">
        <v>35</v>
      </c>
      <c r="C28" s="128" t="s">
        <v>29</v>
      </c>
      <c r="D28" s="61">
        <v>200</v>
      </c>
      <c r="E28" s="490">
        <v>2472</v>
      </c>
      <c r="F28" s="14">
        <f>E28/D28</f>
        <v>12.36</v>
      </c>
      <c r="G28" s="479">
        <f>D28</f>
        <v>200</v>
      </c>
      <c r="H28" s="479">
        <f>E28</f>
        <v>2472</v>
      </c>
      <c r="I28" s="14">
        <f>H28/G28</f>
        <v>12.36</v>
      </c>
      <c r="J28" s="525"/>
      <c r="K28" s="525"/>
      <c r="L28" s="525"/>
      <c r="M28" s="552"/>
    </row>
    <row r="29" spans="1:13">
      <c r="A29" s="562"/>
      <c r="B29" s="565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525"/>
      <c r="K29" s="525"/>
      <c r="L29" s="525"/>
      <c r="M29" s="552"/>
    </row>
    <row r="30" spans="1:13">
      <c r="A30" s="562"/>
      <c r="B30" s="566"/>
      <c r="C30" s="15" t="s">
        <v>30</v>
      </c>
      <c r="D30" s="487">
        <f>SUM(D28:D29)</f>
        <v>200</v>
      </c>
      <c r="E30" s="487">
        <f>SUM(E28:E29)</f>
        <v>2472</v>
      </c>
      <c r="F30" s="14">
        <f t="shared" si="2"/>
        <v>12.36</v>
      </c>
      <c r="G30" s="487">
        <f>SUM(G28:G29)</f>
        <v>200</v>
      </c>
      <c r="H30" s="487">
        <f>SUM(H28:H29)</f>
        <v>2472</v>
      </c>
      <c r="I30" s="14">
        <f t="shared" si="3"/>
        <v>12.36</v>
      </c>
      <c r="J30" s="553"/>
      <c r="K30" s="553"/>
      <c r="L30" s="553"/>
      <c r="M30" s="554"/>
    </row>
    <row r="31" spans="1:13" ht="12.75" customHeight="1">
      <c r="A31" s="562"/>
      <c r="B31" s="567" t="s">
        <v>36</v>
      </c>
      <c r="C31" s="568"/>
      <c r="D31" s="61">
        <v>1200</v>
      </c>
      <c r="E31" s="490">
        <v>2754</v>
      </c>
      <c r="F31" s="14">
        <f t="shared" si="2"/>
        <v>2.2949999999999999</v>
      </c>
      <c r="G31" s="479">
        <f>D31</f>
        <v>1200</v>
      </c>
      <c r="H31" s="479">
        <f>E31</f>
        <v>2754</v>
      </c>
      <c r="I31" s="14">
        <f t="shared" si="3"/>
        <v>2.2949999999999999</v>
      </c>
      <c r="J31" s="525"/>
      <c r="K31" s="525"/>
      <c r="L31" s="525"/>
      <c r="M31" s="552"/>
    </row>
    <row r="32" spans="1:13" s="8" customFormat="1">
      <c r="A32" s="563"/>
      <c r="B32" s="534" t="s">
        <v>30</v>
      </c>
      <c r="C32" s="534"/>
      <c r="D32" s="485">
        <f>SUM(D30,D31)</f>
        <v>1400</v>
      </c>
      <c r="E32" s="485">
        <f>SUM(E30,E31)</f>
        <v>5226</v>
      </c>
      <c r="F32" s="14">
        <f t="shared" si="2"/>
        <v>3.7328571428571427</v>
      </c>
      <c r="G32" s="485">
        <f>SUM(G30,G31)</f>
        <v>1400</v>
      </c>
      <c r="H32" s="485">
        <f>SUM(H30,H31)</f>
        <v>5226</v>
      </c>
      <c r="I32" s="14">
        <f t="shared" si="3"/>
        <v>3.7328571428571427</v>
      </c>
      <c r="J32" s="534"/>
      <c r="K32" s="534"/>
      <c r="L32" s="534"/>
      <c r="M32" s="543"/>
    </row>
    <row r="33" spans="1:13">
      <c r="A33" s="573" t="s">
        <v>37</v>
      </c>
      <c r="B33" s="555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</f>
        <v>35000</v>
      </c>
      <c r="H33" s="479">
        <f>E33</f>
        <v>0</v>
      </c>
      <c r="I33" s="14">
        <f t="shared" si="3"/>
        <v>0</v>
      </c>
      <c r="J33" s="525"/>
      <c r="K33" s="525"/>
      <c r="L33" s="525"/>
      <c r="M33" s="552"/>
    </row>
    <row r="34" spans="1:13">
      <c r="A34" s="573"/>
      <c r="B34" s="555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525"/>
      <c r="K34" s="525"/>
      <c r="L34" s="525"/>
      <c r="M34" s="552"/>
    </row>
    <row r="35" spans="1:13">
      <c r="A35" s="573"/>
      <c r="B35" s="555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35000</v>
      </c>
      <c r="H35" s="487">
        <f>SUM(H33:H34)</f>
        <v>0</v>
      </c>
      <c r="I35" s="16">
        <f t="shared" si="3"/>
        <v>0</v>
      </c>
      <c r="J35" s="553"/>
      <c r="K35" s="553"/>
      <c r="L35" s="553"/>
      <c r="M35" s="554"/>
    </row>
    <row r="36" spans="1:13" ht="12" customHeight="1">
      <c r="A36" s="573"/>
      <c r="B36" s="574" t="s">
        <v>41</v>
      </c>
      <c r="C36" s="128" t="s">
        <v>40</v>
      </c>
      <c r="D36" s="479"/>
      <c r="E36" s="479"/>
      <c r="F36" s="14" t="e">
        <f t="shared" si="2"/>
        <v>#DIV/0!</v>
      </c>
      <c r="G36" s="479"/>
      <c r="H36" s="479"/>
      <c r="I36" s="14" t="e">
        <f t="shared" si="3"/>
        <v>#DIV/0!</v>
      </c>
      <c r="J36" s="525"/>
      <c r="K36" s="525"/>
      <c r="L36" s="525"/>
      <c r="M36" s="552"/>
    </row>
    <row r="37" spans="1:13" ht="12" customHeight="1">
      <c r="A37" s="573"/>
      <c r="B37" s="574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525"/>
      <c r="K37" s="525"/>
      <c r="L37" s="525"/>
      <c r="M37" s="552"/>
    </row>
    <row r="38" spans="1:13" ht="12" customHeight="1">
      <c r="A38" s="573"/>
      <c r="B38" s="574"/>
      <c r="C38" s="15" t="s">
        <v>30</v>
      </c>
      <c r="D38" s="487">
        <f>SUM(D36:D37)</f>
        <v>0</v>
      </c>
      <c r="E38" s="487">
        <f>SUM(E36:E37)</f>
        <v>0</v>
      </c>
      <c r="F38" s="16" t="e">
        <f t="shared" si="2"/>
        <v>#DIV/0!</v>
      </c>
      <c r="G38" s="487">
        <f>SUM(G36:G37)</f>
        <v>0</v>
      </c>
      <c r="H38" s="487">
        <f>SUM(H36:H37)</f>
        <v>0</v>
      </c>
      <c r="I38" s="16" t="e">
        <f t="shared" si="3"/>
        <v>#DIV/0!</v>
      </c>
      <c r="J38" s="553"/>
      <c r="K38" s="553"/>
      <c r="L38" s="553"/>
      <c r="M38" s="554"/>
    </row>
    <row r="39" spans="1:13" s="8" customFormat="1" ht="12" customHeight="1">
      <c r="A39" s="573"/>
      <c r="B39" s="534" t="s">
        <v>30</v>
      </c>
      <c r="C39" s="534"/>
      <c r="D39" s="485">
        <f>SUM(D35,D38)</f>
        <v>35000</v>
      </c>
      <c r="E39" s="485">
        <f>SUM(E35,E38)</f>
        <v>0</v>
      </c>
      <c r="F39" s="19">
        <f t="shared" si="2"/>
        <v>0</v>
      </c>
      <c r="G39" s="485">
        <f>SUM(G35,G38)</f>
        <v>35000</v>
      </c>
      <c r="H39" s="485">
        <f>SUM(H35,H38)</f>
        <v>0</v>
      </c>
      <c r="I39" s="19">
        <f t="shared" si="3"/>
        <v>0</v>
      </c>
      <c r="J39" s="534"/>
      <c r="K39" s="534"/>
      <c r="L39" s="534"/>
      <c r="M39" s="543"/>
    </row>
    <row r="40" spans="1:13" s="8" customFormat="1">
      <c r="A40" s="569" t="s">
        <v>42</v>
      </c>
      <c r="B40" s="570"/>
      <c r="C40" s="570"/>
      <c r="D40" s="483">
        <v>300</v>
      </c>
      <c r="E40" s="20">
        <v>550</v>
      </c>
      <c r="F40" s="21">
        <f t="shared" si="2"/>
        <v>1.8333333333333333</v>
      </c>
      <c r="G40" s="483">
        <f t="shared" ref="G40:H42" si="4">D40</f>
        <v>300</v>
      </c>
      <c r="H40" s="483">
        <f t="shared" si="4"/>
        <v>550</v>
      </c>
      <c r="I40" s="21">
        <f t="shared" si="3"/>
        <v>1.8333333333333333</v>
      </c>
      <c r="J40" s="570"/>
      <c r="K40" s="570"/>
      <c r="L40" s="570"/>
      <c r="M40" s="571"/>
    </row>
    <row r="41" spans="1:13" s="8" customFormat="1">
      <c r="A41" s="569" t="s">
        <v>43</v>
      </c>
      <c r="B41" s="570"/>
      <c r="C41" s="570"/>
      <c r="D41" s="483">
        <v>2250</v>
      </c>
      <c r="E41" s="483">
        <v>0</v>
      </c>
      <c r="F41" s="21">
        <f t="shared" si="2"/>
        <v>0</v>
      </c>
      <c r="G41" s="483">
        <f t="shared" si="4"/>
        <v>2250</v>
      </c>
      <c r="H41" s="483">
        <f t="shared" si="4"/>
        <v>0</v>
      </c>
      <c r="I41" s="21">
        <f t="shared" si="3"/>
        <v>0</v>
      </c>
      <c r="J41" s="572" t="s">
        <v>44</v>
      </c>
      <c r="K41" s="570"/>
      <c r="L41" s="570"/>
      <c r="M41" s="571"/>
    </row>
    <row r="42" spans="1:13" s="8" customFormat="1">
      <c r="A42" s="569" t="s">
        <v>45</v>
      </c>
      <c r="B42" s="570"/>
      <c r="C42" s="570"/>
      <c r="D42" s="483">
        <v>17000</v>
      </c>
      <c r="E42" s="483">
        <v>0</v>
      </c>
      <c r="F42" s="21">
        <f t="shared" si="2"/>
        <v>0</v>
      </c>
      <c r="G42" s="483">
        <f t="shared" si="4"/>
        <v>17000</v>
      </c>
      <c r="H42" s="483">
        <f t="shared" si="4"/>
        <v>0</v>
      </c>
      <c r="I42" s="21">
        <f t="shared" si="3"/>
        <v>0</v>
      </c>
      <c r="J42" s="570"/>
      <c r="K42" s="570"/>
      <c r="L42" s="570"/>
      <c r="M42" s="571"/>
    </row>
    <row r="43" spans="1:13" s="8" customFormat="1">
      <c r="A43" s="587" t="s">
        <v>46</v>
      </c>
      <c r="B43" s="588"/>
      <c r="C43" s="589"/>
      <c r="D43" s="484">
        <f>SUM(D26,D32,D39,D40:D42)</f>
        <v>74555</v>
      </c>
      <c r="E43" s="484">
        <f>SUM(E26,E32,E39,E40:E42)</f>
        <v>21681</v>
      </c>
      <c r="F43" s="22">
        <f t="shared" si="2"/>
        <v>0.29080544564415534</v>
      </c>
      <c r="G43" s="484">
        <f>SUM(G26,G32,G39,G40:G42)</f>
        <v>74555</v>
      </c>
      <c r="H43" s="484">
        <f>SUM(H26,H32,H39,H40:H42)</f>
        <v>21681</v>
      </c>
      <c r="I43" s="22">
        <f t="shared" si="3"/>
        <v>0.29080544564415534</v>
      </c>
      <c r="J43" s="590" t="s">
        <v>15</v>
      </c>
      <c r="K43" s="591"/>
      <c r="L43" s="591"/>
      <c r="M43" s="592"/>
    </row>
    <row r="44" spans="1:13" s="8" customFormat="1">
      <c r="A44" s="587" t="s">
        <v>47</v>
      </c>
      <c r="B44" s="588"/>
      <c r="C44" s="589"/>
      <c r="D44" s="484">
        <f>D43-D40</f>
        <v>74255</v>
      </c>
      <c r="E44" s="484">
        <f>E43-E40</f>
        <v>21131</v>
      </c>
      <c r="F44" s="22">
        <f t="shared" si="2"/>
        <v>0.28457342939869368</v>
      </c>
      <c r="G44" s="484">
        <f>G43-G40</f>
        <v>74255</v>
      </c>
      <c r="H44" s="484">
        <f>H43-H40</f>
        <v>21131</v>
      </c>
      <c r="I44" s="22">
        <f t="shared" si="3"/>
        <v>0.28457342939869368</v>
      </c>
      <c r="J44" s="590" t="s">
        <v>15</v>
      </c>
      <c r="K44" s="591"/>
      <c r="L44" s="591"/>
      <c r="M44" s="592"/>
    </row>
    <row r="45" spans="1:13" s="8" customFormat="1" ht="14" thickBot="1">
      <c r="A45" s="575" t="s">
        <v>48</v>
      </c>
      <c r="B45" s="576"/>
      <c r="C45" s="577"/>
      <c r="D45" s="482">
        <f>D44-D42</f>
        <v>57255</v>
      </c>
      <c r="E45" s="482">
        <f>E44-E42</f>
        <v>21131</v>
      </c>
      <c r="F45" s="23">
        <f t="shared" si="2"/>
        <v>0.36906820365033621</v>
      </c>
      <c r="G45" s="482">
        <f>G44-G42</f>
        <v>57255</v>
      </c>
      <c r="H45" s="482">
        <f>H44-H42</f>
        <v>21131</v>
      </c>
      <c r="I45" s="23">
        <f t="shared" si="3"/>
        <v>0.36906820365033621</v>
      </c>
      <c r="J45" s="578" t="s">
        <v>15</v>
      </c>
      <c r="K45" s="579"/>
      <c r="L45" s="579"/>
      <c r="M45" s="580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581" t="s">
        <v>50</v>
      </c>
      <c r="B49" s="582"/>
      <c r="C49" s="582"/>
      <c r="D49" s="582" t="s">
        <v>20</v>
      </c>
      <c r="E49" s="582"/>
      <c r="F49" s="582"/>
      <c r="G49" s="582" t="s">
        <v>21</v>
      </c>
      <c r="H49" s="582"/>
      <c r="I49" s="582"/>
      <c r="J49" s="582" t="s">
        <v>10</v>
      </c>
      <c r="K49" s="582"/>
      <c r="L49" s="582"/>
      <c r="M49" s="585"/>
    </row>
    <row r="50" spans="1:13">
      <c r="A50" s="583"/>
      <c r="B50" s="584"/>
      <c r="C50" s="584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584"/>
      <c r="K50" s="584"/>
      <c r="L50" s="584"/>
      <c r="M50" s="586"/>
    </row>
    <row r="51" spans="1:13" ht="13.5" customHeight="1">
      <c r="A51" s="593" t="s">
        <v>51</v>
      </c>
      <c r="B51" s="525" t="s">
        <v>29</v>
      </c>
      <c r="C51" s="27" t="s">
        <v>52</v>
      </c>
      <c r="D51" s="61">
        <v>5</v>
      </c>
      <c r="E51" s="490">
        <v>2</v>
      </c>
      <c r="F51" s="28">
        <f t="shared" ref="F51:F77" si="5">E51/D51</f>
        <v>0.4</v>
      </c>
      <c r="G51" s="479">
        <f>D51</f>
        <v>5</v>
      </c>
      <c r="H51" s="479">
        <f>E51</f>
        <v>2</v>
      </c>
      <c r="I51" s="28">
        <f t="shared" ref="I51:I77" si="6">H51/G51</f>
        <v>0.4</v>
      </c>
      <c r="J51" s="596"/>
      <c r="K51" s="597"/>
      <c r="L51" s="597"/>
      <c r="M51" s="598"/>
    </row>
    <row r="52" spans="1:13">
      <c r="A52" s="594"/>
      <c r="B52" s="525"/>
      <c r="C52" s="27" t="s">
        <v>53</v>
      </c>
      <c r="D52" s="61">
        <v>420</v>
      </c>
      <c r="E52" s="490">
        <v>410</v>
      </c>
      <c r="F52" s="28">
        <f t="shared" si="5"/>
        <v>0.97619047619047616</v>
      </c>
      <c r="G52" s="479">
        <f>D52</f>
        <v>420</v>
      </c>
      <c r="H52" s="479">
        <f>E52</f>
        <v>410</v>
      </c>
      <c r="I52" s="28">
        <f t="shared" si="6"/>
        <v>0.97619047619047616</v>
      </c>
      <c r="J52" s="596"/>
      <c r="K52" s="597"/>
      <c r="L52" s="597"/>
      <c r="M52" s="598"/>
    </row>
    <row r="53" spans="1:13">
      <c r="A53" s="595"/>
      <c r="B53" s="525"/>
      <c r="C53" s="29" t="s">
        <v>54</v>
      </c>
      <c r="D53" s="487">
        <f>SUM(D51:D52)</f>
        <v>425</v>
      </c>
      <c r="E53" s="487">
        <f>SUM(E51:E52)</f>
        <v>412</v>
      </c>
      <c r="F53" s="30">
        <f t="shared" si="5"/>
        <v>0.96941176470588231</v>
      </c>
      <c r="G53" s="487">
        <f>SUM(G51:G52)</f>
        <v>425</v>
      </c>
      <c r="H53" s="487">
        <f>SUM(H51:H52)</f>
        <v>412</v>
      </c>
      <c r="I53" s="30">
        <f t="shared" si="6"/>
        <v>0.96941176470588231</v>
      </c>
      <c r="J53" s="599"/>
      <c r="K53" s="600"/>
      <c r="L53" s="600"/>
      <c r="M53" s="601"/>
    </row>
    <row r="54" spans="1:13">
      <c r="A54" s="602" t="s">
        <v>55</v>
      </c>
      <c r="B54" s="525" t="s">
        <v>52</v>
      </c>
      <c r="C54" s="525"/>
      <c r="D54" s="61">
        <v>2</v>
      </c>
      <c r="E54" s="490">
        <v>0</v>
      </c>
      <c r="F54" s="28">
        <f t="shared" si="5"/>
        <v>0</v>
      </c>
      <c r="G54" s="479">
        <f>D54</f>
        <v>2</v>
      </c>
      <c r="H54" s="479">
        <f>E54</f>
        <v>0</v>
      </c>
      <c r="I54" s="28">
        <f t="shared" si="6"/>
        <v>0</v>
      </c>
      <c r="J54" s="596"/>
      <c r="K54" s="597"/>
      <c r="L54" s="597"/>
      <c r="M54" s="598"/>
    </row>
    <row r="55" spans="1:13">
      <c r="A55" s="602"/>
      <c r="B55" s="525" t="s">
        <v>53</v>
      </c>
      <c r="C55" s="525"/>
      <c r="D55" s="61">
        <v>313</v>
      </c>
      <c r="E55" s="490">
        <v>361</v>
      </c>
      <c r="F55" s="28">
        <f t="shared" si="5"/>
        <v>1.1533546325878594</v>
      </c>
      <c r="G55" s="479">
        <f>D55</f>
        <v>313</v>
      </c>
      <c r="H55" s="479">
        <f>E55</f>
        <v>361</v>
      </c>
      <c r="I55" s="28">
        <f t="shared" si="6"/>
        <v>1.1533546325878594</v>
      </c>
      <c r="J55" s="596"/>
      <c r="K55" s="597"/>
      <c r="L55" s="597"/>
      <c r="M55" s="598"/>
    </row>
    <row r="56" spans="1:13">
      <c r="A56" s="602"/>
      <c r="B56" s="603" t="s">
        <v>30</v>
      </c>
      <c r="C56" s="603"/>
      <c r="D56" s="474">
        <f>SUM(D54:D55)</f>
        <v>315</v>
      </c>
      <c r="E56" s="474">
        <f>SUM(E54:E55)</f>
        <v>361</v>
      </c>
      <c r="F56" s="28">
        <f t="shared" si="5"/>
        <v>1.146031746031746</v>
      </c>
      <c r="G56" s="474">
        <f>SUM(G54:G55)</f>
        <v>315</v>
      </c>
      <c r="H56" s="474">
        <f>SUM(H54:H55)</f>
        <v>361</v>
      </c>
      <c r="I56" s="31">
        <f t="shared" si="6"/>
        <v>1.146031746031746</v>
      </c>
      <c r="J56" s="604"/>
      <c r="K56" s="605"/>
      <c r="L56" s="605"/>
      <c r="M56" s="606"/>
    </row>
    <row r="57" spans="1:13" s="8" customFormat="1">
      <c r="A57" s="607" t="s">
        <v>46</v>
      </c>
      <c r="B57" s="609" t="s">
        <v>52</v>
      </c>
      <c r="C57" s="609"/>
      <c r="D57" s="473">
        <f>SUM(D51,D54)</f>
        <v>7</v>
      </c>
      <c r="E57" s="473">
        <f>SUM(E51,E54)</f>
        <v>2</v>
      </c>
      <c r="F57" s="32">
        <f t="shared" si="5"/>
        <v>0.2857142857142857</v>
      </c>
      <c r="G57" s="473">
        <f>SUM(G51,G54)</f>
        <v>7</v>
      </c>
      <c r="H57" s="473">
        <f>SUM(H51,H54)</f>
        <v>2</v>
      </c>
      <c r="I57" s="32">
        <f t="shared" si="6"/>
        <v>0.2857142857142857</v>
      </c>
      <c r="J57" s="610"/>
      <c r="K57" s="611"/>
      <c r="L57" s="611"/>
      <c r="M57" s="612"/>
    </row>
    <row r="58" spans="1:13" s="8" customFormat="1">
      <c r="A58" s="607"/>
      <c r="B58" s="609" t="s">
        <v>53</v>
      </c>
      <c r="C58" s="609"/>
      <c r="D58" s="473">
        <f>SUM(D52,D55)</f>
        <v>733</v>
      </c>
      <c r="E58" s="473">
        <f>SUM(E52,E55)</f>
        <v>771</v>
      </c>
      <c r="F58" s="32">
        <f t="shared" si="5"/>
        <v>1.0518417462482947</v>
      </c>
      <c r="G58" s="473">
        <f>SUM(G52,G55)</f>
        <v>733</v>
      </c>
      <c r="H58" s="473">
        <f>SUM(H52,H55)</f>
        <v>771</v>
      </c>
      <c r="I58" s="32">
        <f t="shared" si="6"/>
        <v>1.0518417462482947</v>
      </c>
      <c r="J58" s="610"/>
      <c r="K58" s="611"/>
      <c r="L58" s="611"/>
      <c r="M58" s="612"/>
    </row>
    <row r="59" spans="1:13" s="8" customFormat="1" ht="17.25" customHeight="1" thickBot="1">
      <c r="A59" s="608"/>
      <c r="B59" s="613" t="s">
        <v>56</v>
      </c>
      <c r="C59" s="613"/>
      <c r="D59" s="481">
        <f>SUM(D57:D58)</f>
        <v>740</v>
      </c>
      <c r="E59" s="481">
        <f>SUM(E57:E58)</f>
        <v>773</v>
      </c>
      <c r="F59" s="33">
        <f t="shared" si="5"/>
        <v>1.0445945945945947</v>
      </c>
      <c r="G59" s="481">
        <f>SUM(G57:G58)</f>
        <v>740</v>
      </c>
      <c r="H59" s="481">
        <f>SUM(H57:H58)</f>
        <v>773</v>
      </c>
      <c r="I59" s="33">
        <f t="shared" si="6"/>
        <v>1.0445945945945947</v>
      </c>
      <c r="J59" s="614"/>
      <c r="K59" s="615"/>
      <c r="L59" s="615"/>
      <c r="M59" s="616"/>
    </row>
    <row r="60" spans="1:13">
      <c r="A60" s="593" t="s">
        <v>57</v>
      </c>
      <c r="B60" s="525" t="s">
        <v>29</v>
      </c>
      <c r="C60" s="27" t="s">
        <v>52</v>
      </c>
      <c r="D60" s="61">
        <v>16</v>
      </c>
      <c r="E60" s="479">
        <f>E69/10</f>
        <v>4.3</v>
      </c>
      <c r="F60" s="28">
        <f t="shared" si="5"/>
        <v>0.26874999999999999</v>
      </c>
      <c r="G60" s="479">
        <f>D60</f>
        <v>16</v>
      </c>
      <c r="H60" s="479">
        <f>E60</f>
        <v>4.3</v>
      </c>
      <c r="I60" s="28">
        <f t="shared" si="6"/>
        <v>0.26874999999999999</v>
      </c>
      <c r="J60" s="596"/>
      <c r="K60" s="597"/>
      <c r="L60" s="597"/>
      <c r="M60" s="598"/>
    </row>
    <row r="61" spans="1:13">
      <c r="A61" s="594"/>
      <c r="B61" s="525"/>
      <c r="C61" s="27" t="s">
        <v>53</v>
      </c>
      <c r="D61" s="61">
        <v>1373</v>
      </c>
      <c r="E61" s="479">
        <f>E70/10</f>
        <v>1164</v>
      </c>
      <c r="F61" s="28">
        <f t="shared" si="5"/>
        <v>0.84777858703568831</v>
      </c>
      <c r="G61" s="479">
        <f>D61</f>
        <v>1373</v>
      </c>
      <c r="H61" s="479">
        <f>E61</f>
        <v>1164</v>
      </c>
      <c r="I61" s="28">
        <f t="shared" si="6"/>
        <v>0.84777858703568831</v>
      </c>
      <c r="J61" s="596"/>
      <c r="K61" s="597"/>
      <c r="L61" s="597"/>
      <c r="M61" s="598"/>
    </row>
    <row r="62" spans="1:13">
      <c r="A62" s="595"/>
      <c r="B62" s="525"/>
      <c r="C62" s="29" t="s">
        <v>54</v>
      </c>
      <c r="D62" s="61">
        <f>SUM(D60:D61)</f>
        <v>1389</v>
      </c>
      <c r="E62" s="487">
        <f>SUM(E60:E61)</f>
        <v>1168.3</v>
      </c>
      <c r="F62" s="30">
        <f t="shared" si="5"/>
        <v>0.84110871130309572</v>
      </c>
      <c r="G62" s="487">
        <f>SUM(G60:G61)</f>
        <v>1389</v>
      </c>
      <c r="H62" s="487">
        <f>SUM(H60:H61)</f>
        <v>1168.3</v>
      </c>
      <c r="I62" s="30">
        <f t="shared" si="6"/>
        <v>0.84110871130309572</v>
      </c>
      <c r="J62" s="599"/>
      <c r="K62" s="600"/>
      <c r="L62" s="600"/>
      <c r="M62" s="601"/>
    </row>
    <row r="63" spans="1:13">
      <c r="A63" s="602" t="s">
        <v>58</v>
      </c>
      <c r="B63" s="525" t="s">
        <v>52</v>
      </c>
      <c r="C63" s="525"/>
      <c r="D63" s="61">
        <v>2</v>
      </c>
      <c r="E63" s="479">
        <f>E72/10</f>
        <v>0</v>
      </c>
      <c r="F63" s="28">
        <f t="shared" si="5"/>
        <v>0</v>
      </c>
      <c r="G63" s="479">
        <f>D63</f>
        <v>2</v>
      </c>
      <c r="H63" s="479">
        <f>E63</f>
        <v>0</v>
      </c>
      <c r="I63" s="28">
        <f t="shared" si="6"/>
        <v>0</v>
      </c>
      <c r="J63" s="596"/>
      <c r="K63" s="597"/>
      <c r="L63" s="597"/>
      <c r="M63" s="598"/>
    </row>
    <row r="64" spans="1:13">
      <c r="A64" s="602"/>
      <c r="B64" s="525" t="s">
        <v>53</v>
      </c>
      <c r="C64" s="525"/>
      <c r="D64" s="61">
        <v>470</v>
      </c>
      <c r="E64" s="479">
        <f>E73/10</f>
        <v>422.2</v>
      </c>
      <c r="F64" s="28">
        <f t="shared" si="5"/>
        <v>0.89829787234042546</v>
      </c>
      <c r="G64" s="479">
        <f>D64</f>
        <v>470</v>
      </c>
      <c r="H64" s="479">
        <f>E64</f>
        <v>422.2</v>
      </c>
      <c r="I64" s="28">
        <f t="shared" si="6"/>
        <v>0.89829787234042546</v>
      </c>
      <c r="J64" s="596"/>
      <c r="K64" s="597"/>
      <c r="L64" s="597"/>
      <c r="M64" s="598"/>
    </row>
    <row r="65" spans="1:14">
      <c r="A65" s="602"/>
      <c r="B65" s="603" t="s">
        <v>30</v>
      </c>
      <c r="C65" s="603"/>
      <c r="D65" s="474">
        <f>SUM(D63:D64)</f>
        <v>472</v>
      </c>
      <c r="E65" s="474">
        <f>SUM(E63:E64)</f>
        <v>422.2</v>
      </c>
      <c r="F65" s="31">
        <f t="shared" si="5"/>
        <v>0.89449152542372878</v>
      </c>
      <c r="G65" s="474">
        <f>SUM(G63:G64)</f>
        <v>472</v>
      </c>
      <c r="H65" s="474">
        <f>SUM(H63:H64)</f>
        <v>422.2</v>
      </c>
      <c r="I65" s="31">
        <f t="shared" si="6"/>
        <v>0.89449152542372878</v>
      </c>
      <c r="J65" s="604"/>
      <c r="K65" s="605"/>
      <c r="L65" s="605"/>
      <c r="M65" s="606"/>
    </row>
    <row r="66" spans="1:14" s="8" customFormat="1">
      <c r="A66" s="607" t="s">
        <v>46</v>
      </c>
      <c r="B66" s="609" t="s">
        <v>52</v>
      </c>
      <c r="C66" s="609"/>
      <c r="D66" s="473">
        <f>SUM(D60,D63)</f>
        <v>18</v>
      </c>
      <c r="E66" s="473">
        <f>SUM(E60,E63)</f>
        <v>4.3</v>
      </c>
      <c r="F66" s="32">
        <f t="shared" si="5"/>
        <v>0.23888888888888887</v>
      </c>
      <c r="G66" s="473">
        <f>SUM(G60,G63)</f>
        <v>18</v>
      </c>
      <c r="H66" s="473">
        <f>SUM(H60,H63)</f>
        <v>4.3</v>
      </c>
      <c r="I66" s="32">
        <f t="shared" si="6"/>
        <v>0.23888888888888887</v>
      </c>
      <c r="J66" s="610"/>
      <c r="K66" s="611"/>
      <c r="L66" s="611"/>
      <c r="M66" s="612"/>
    </row>
    <row r="67" spans="1:14" s="8" customFormat="1">
      <c r="A67" s="607"/>
      <c r="B67" s="609" t="s">
        <v>53</v>
      </c>
      <c r="C67" s="609"/>
      <c r="D67" s="473">
        <f>SUM(D61,D64)</f>
        <v>1843</v>
      </c>
      <c r="E67" s="473">
        <f>SUM(E61,E64)</f>
        <v>1586.2</v>
      </c>
      <c r="F67" s="32">
        <f t="shared" si="5"/>
        <v>0.86066196418882257</v>
      </c>
      <c r="G67" s="473">
        <f>SUM(G61,G64)</f>
        <v>1843</v>
      </c>
      <c r="H67" s="473">
        <f>SUM(H61,H64)</f>
        <v>1586.2</v>
      </c>
      <c r="I67" s="32">
        <f t="shared" si="6"/>
        <v>0.86066196418882257</v>
      </c>
      <c r="J67" s="610"/>
      <c r="K67" s="611"/>
      <c r="L67" s="611"/>
      <c r="M67" s="612"/>
    </row>
    <row r="68" spans="1:14" s="8" customFormat="1" ht="14" thickBot="1">
      <c r="A68" s="608"/>
      <c r="B68" s="613" t="s">
        <v>59</v>
      </c>
      <c r="C68" s="613"/>
      <c r="D68" s="481">
        <f>SUM(D66:D67)</f>
        <v>1861</v>
      </c>
      <c r="E68" s="481">
        <f>SUM(E66:E67)</f>
        <v>1590.5</v>
      </c>
      <c r="F68" s="34">
        <f t="shared" si="5"/>
        <v>0.85464803868887695</v>
      </c>
      <c r="G68" s="481">
        <f>SUM(G66:G67)</f>
        <v>1861</v>
      </c>
      <c r="H68" s="481">
        <f>SUM(H66:H67)</f>
        <v>1590.5</v>
      </c>
      <c r="I68" s="34">
        <f t="shared" si="6"/>
        <v>0.85464803868887695</v>
      </c>
      <c r="J68" s="614"/>
      <c r="K68" s="615"/>
      <c r="L68" s="615"/>
      <c r="M68" s="616"/>
    </row>
    <row r="69" spans="1:14">
      <c r="A69" s="593" t="s">
        <v>60</v>
      </c>
      <c r="B69" s="525" t="s">
        <v>29</v>
      </c>
      <c r="C69" s="27" t="s">
        <v>52</v>
      </c>
      <c r="D69" s="479">
        <v>155</v>
      </c>
      <c r="E69" s="490">
        <v>43</v>
      </c>
      <c r="F69" s="28">
        <f t="shared" si="5"/>
        <v>0.27741935483870966</v>
      </c>
      <c r="G69" s="479">
        <f>D69</f>
        <v>155</v>
      </c>
      <c r="H69" s="479">
        <f>E69</f>
        <v>43</v>
      </c>
      <c r="I69" s="28">
        <f t="shared" si="6"/>
        <v>0.27741935483870966</v>
      </c>
      <c r="J69" s="596"/>
      <c r="K69" s="597"/>
      <c r="L69" s="597"/>
      <c r="M69" s="598"/>
    </row>
    <row r="70" spans="1:14">
      <c r="A70" s="594"/>
      <c r="B70" s="525"/>
      <c r="C70" s="27" t="s">
        <v>53</v>
      </c>
      <c r="D70" s="479">
        <v>13735</v>
      </c>
      <c r="E70" s="479">
        <f>E21-E69</f>
        <v>11640</v>
      </c>
      <c r="F70" s="28">
        <f t="shared" si="5"/>
        <v>0.84746996723698576</v>
      </c>
      <c r="G70" s="479">
        <f>D70</f>
        <v>13735</v>
      </c>
      <c r="H70" s="479">
        <f>E70</f>
        <v>11640</v>
      </c>
      <c r="I70" s="28">
        <f t="shared" si="6"/>
        <v>0.84746996723698576</v>
      </c>
      <c r="J70" s="596"/>
      <c r="K70" s="597"/>
      <c r="L70" s="597"/>
      <c r="M70" s="598"/>
    </row>
    <row r="71" spans="1:14">
      <c r="A71" s="595"/>
      <c r="B71" s="525"/>
      <c r="C71" s="29" t="s">
        <v>54</v>
      </c>
      <c r="D71" s="487">
        <f>SUM(D69:D70)</f>
        <v>13890</v>
      </c>
      <c r="E71" s="487">
        <f>SUM(E69:E70)</f>
        <v>11683</v>
      </c>
      <c r="F71" s="30">
        <f t="shared" si="5"/>
        <v>0.84110871130309572</v>
      </c>
      <c r="G71" s="487">
        <f>SUM(G69:G70)</f>
        <v>13890</v>
      </c>
      <c r="H71" s="487">
        <f>SUM(H69:H70)</f>
        <v>11683</v>
      </c>
      <c r="I71" s="30">
        <f t="shared" si="6"/>
        <v>0.84110871130309572</v>
      </c>
      <c r="J71" s="599"/>
      <c r="K71" s="600"/>
      <c r="L71" s="600"/>
      <c r="M71" s="601"/>
    </row>
    <row r="72" spans="1:14">
      <c r="A72" s="602" t="s">
        <v>61</v>
      </c>
      <c r="B72" s="525" t="s">
        <v>52</v>
      </c>
      <c r="C72" s="525"/>
      <c r="D72" s="479">
        <v>20</v>
      </c>
      <c r="E72" s="490">
        <v>0</v>
      </c>
      <c r="F72" s="28">
        <f t="shared" si="5"/>
        <v>0</v>
      </c>
      <c r="G72" s="479">
        <f>D72</f>
        <v>20</v>
      </c>
      <c r="H72" s="479">
        <f>E72</f>
        <v>0</v>
      </c>
      <c r="I72" s="28">
        <f t="shared" si="6"/>
        <v>0</v>
      </c>
      <c r="J72" s="596"/>
      <c r="K72" s="597"/>
      <c r="L72" s="597"/>
      <c r="M72" s="598"/>
    </row>
    <row r="73" spans="1:14">
      <c r="A73" s="602"/>
      <c r="B73" s="525" t="s">
        <v>53</v>
      </c>
      <c r="C73" s="525"/>
      <c r="D73" s="479">
        <v>4695</v>
      </c>
      <c r="E73" s="479">
        <f>E23-E72</f>
        <v>4222</v>
      </c>
      <c r="F73" s="28">
        <f t="shared" si="5"/>
        <v>0.89925452609158685</v>
      </c>
      <c r="G73" s="479">
        <f>D73</f>
        <v>4695</v>
      </c>
      <c r="H73" s="479">
        <f>E73</f>
        <v>4222</v>
      </c>
      <c r="I73" s="28">
        <f t="shared" si="6"/>
        <v>0.89925452609158685</v>
      </c>
      <c r="J73" s="596"/>
      <c r="K73" s="597"/>
      <c r="L73" s="597"/>
      <c r="M73" s="598"/>
    </row>
    <row r="74" spans="1:14">
      <c r="A74" s="602"/>
      <c r="B74" s="603" t="s">
        <v>30</v>
      </c>
      <c r="C74" s="603"/>
      <c r="D74" s="474">
        <f>SUM(D72:D73)</f>
        <v>4715</v>
      </c>
      <c r="E74" s="474">
        <f>SUM(E72:E73)</f>
        <v>4222</v>
      </c>
      <c r="F74" s="31">
        <f t="shared" si="5"/>
        <v>0.89544008483563098</v>
      </c>
      <c r="G74" s="474">
        <f>SUM(G72:G73)</f>
        <v>4715</v>
      </c>
      <c r="H74" s="474">
        <f>SUM(H72:H73)</f>
        <v>4222</v>
      </c>
      <c r="I74" s="31">
        <f t="shared" si="6"/>
        <v>0.89544008483563098</v>
      </c>
      <c r="J74" s="604"/>
      <c r="K74" s="605"/>
      <c r="L74" s="605"/>
      <c r="M74" s="606"/>
    </row>
    <row r="75" spans="1:14" s="8" customFormat="1">
      <c r="A75" s="607" t="s">
        <v>46</v>
      </c>
      <c r="B75" s="609" t="s">
        <v>52</v>
      </c>
      <c r="C75" s="609"/>
      <c r="D75" s="473">
        <f>SUM(D69,D72)</f>
        <v>175</v>
      </c>
      <c r="E75" s="473">
        <f>SUM(E69,E72)</f>
        <v>43</v>
      </c>
      <c r="F75" s="32">
        <f t="shared" si="5"/>
        <v>0.24571428571428572</v>
      </c>
      <c r="G75" s="473">
        <f>SUM(G69,G72)</f>
        <v>175</v>
      </c>
      <c r="H75" s="473">
        <f>SUM(H69,H72)</f>
        <v>43</v>
      </c>
      <c r="I75" s="32">
        <f t="shared" si="6"/>
        <v>0.24571428571428572</v>
      </c>
      <c r="J75" s="610"/>
      <c r="K75" s="611"/>
      <c r="L75" s="611"/>
      <c r="M75" s="612"/>
    </row>
    <row r="76" spans="1:14" s="8" customFormat="1">
      <c r="A76" s="607"/>
      <c r="B76" s="609" t="s">
        <v>53</v>
      </c>
      <c r="C76" s="609"/>
      <c r="D76" s="473">
        <f>SUM(D70,D73)</f>
        <v>18430</v>
      </c>
      <c r="E76" s="473">
        <f>SUM(E70,E73)</f>
        <v>15862</v>
      </c>
      <c r="F76" s="32">
        <f t="shared" si="5"/>
        <v>0.86066196418882257</v>
      </c>
      <c r="G76" s="473">
        <f>SUM(G70,G73)</f>
        <v>18430</v>
      </c>
      <c r="H76" s="473">
        <f>SUM(H70,H73)</f>
        <v>15862</v>
      </c>
      <c r="I76" s="32">
        <f t="shared" si="6"/>
        <v>0.86066196418882257</v>
      </c>
      <c r="J76" s="610"/>
      <c r="K76" s="611"/>
      <c r="L76" s="611"/>
      <c r="M76" s="612"/>
    </row>
    <row r="77" spans="1:14" s="8" customFormat="1" ht="14" thickBot="1">
      <c r="A77" s="608"/>
      <c r="B77" s="613" t="s">
        <v>62</v>
      </c>
      <c r="C77" s="613"/>
      <c r="D77" s="481">
        <f>SUM(D75:D76)</f>
        <v>18605</v>
      </c>
      <c r="E77" s="481">
        <f>SUM(E75:E76)</f>
        <v>15905</v>
      </c>
      <c r="F77" s="34">
        <f t="shared" si="5"/>
        <v>0.85487772104273041</v>
      </c>
      <c r="G77" s="481">
        <f>SUM(G75:G76)</f>
        <v>18605</v>
      </c>
      <c r="H77" s="481">
        <f>SUM(H75:H76)</f>
        <v>15905</v>
      </c>
      <c r="I77" s="34">
        <f t="shared" si="6"/>
        <v>0.85487772104273041</v>
      </c>
      <c r="J77" s="614"/>
      <c r="K77" s="615"/>
      <c r="L77" s="615"/>
      <c r="M77" s="616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581" t="s">
        <v>65</v>
      </c>
      <c r="B82" s="582" t="s">
        <v>66</v>
      </c>
      <c r="C82" s="582" t="s">
        <v>50</v>
      </c>
      <c r="D82" s="582" t="s">
        <v>20</v>
      </c>
      <c r="E82" s="582"/>
      <c r="F82" s="582"/>
      <c r="G82" s="582" t="s">
        <v>21</v>
      </c>
      <c r="H82" s="582"/>
      <c r="I82" s="582"/>
      <c r="J82" s="582" t="s">
        <v>10</v>
      </c>
      <c r="K82" s="582"/>
      <c r="L82" s="582"/>
      <c r="M82" s="585"/>
    </row>
    <row r="83" spans="1:13">
      <c r="A83" s="583"/>
      <c r="B83" s="584"/>
      <c r="C83" s="584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584"/>
      <c r="K83" s="584"/>
      <c r="L83" s="584"/>
      <c r="M83" s="586"/>
    </row>
    <row r="84" spans="1:13">
      <c r="A84" s="573" t="s">
        <v>67</v>
      </c>
      <c r="B84" s="525" t="s">
        <v>68</v>
      </c>
      <c r="C84" s="27" t="s">
        <v>69</v>
      </c>
      <c r="D84" s="479">
        <v>2</v>
      </c>
      <c r="E84" s="490">
        <v>0</v>
      </c>
      <c r="F84" s="498">
        <f>E84/D84</f>
        <v>0</v>
      </c>
      <c r="G84" s="479">
        <f>D84</f>
        <v>2</v>
      </c>
      <c r="H84" s="479">
        <f>E84</f>
        <v>0</v>
      </c>
      <c r="I84" s="498">
        <f>H84/G84</f>
        <v>0</v>
      </c>
      <c r="J84" s="596"/>
      <c r="K84" s="597"/>
      <c r="L84" s="597"/>
      <c r="M84" s="598"/>
    </row>
    <row r="85" spans="1:13">
      <c r="A85" s="573"/>
      <c r="B85" s="525"/>
      <c r="C85" s="27" t="s">
        <v>70</v>
      </c>
      <c r="D85" s="479">
        <v>83</v>
      </c>
      <c r="E85" s="490">
        <v>69</v>
      </c>
      <c r="F85" s="28">
        <f t="shared" ref="F85:F98" si="7">E85/D85</f>
        <v>0.83132530120481929</v>
      </c>
      <c r="G85" s="479">
        <f>D85</f>
        <v>83</v>
      </c>
      <c r="H85" s="479">
        <f>E85</f>
        <v>69</v>
      </c>
      <c r="I85" s="28">
        <f t="shared" ref="I85:I98" si="8">H85/G85</f>
        <v>0.83132530120481929</v>
      </c>
      <c r="J85" s="596"/>
      <c r="K85" s="597"/>
      <c r="L85" s="597"/>
      <c r="M85" s="598"/>
    </row>
    <row r="86" spans="1:13">
      <c r="A86" s="573"/>
      <c r="B86" s="525"/>
      <c r="C86" s="38" t="s">
        <v>71</v>
      </c>
      <c r="D86" s="487">
        <f>SUM(D84:D85)</f>
        <v>85</v>
      </c>
      <c r="E86" s="487">
        <f>SUM(E84:E85)</f>
        <v>69</v>
      </c>
      <c r="F86" s="30">
        <f t="shared" si="7"/>
        <v>0.81176470588235294</v>
      </c>
      <c r="G86" s="487">
        <f>SUM(G84:G85)</f>
        <v>85</v>
      </c>
      <c r="H86" s="487">
        <f>SUM(H84:H85)</f>
        <v>69</v>
      </c>
      <c r="I86" s="30">
        <f t="shared" si="8"/>
        <v>0.81176470588235294</v>
      </c>
      <c r="J86" s="599"/>
      <c r="K86" s="600"/>
      <c r="L86" s="600"/>
      <c r="M86" s="601"/>
    </row>
    <row r="87" spans="1:13">
      <c r="A87" s="573"/>
      <c r="B87" s="525" t="s">
        <v>72</v>
      </c>
      <c r="C87" s="27" t="s">
        <v>69</v>
      </c>
      <c r="D87" s="479">
        <v>1</v>
      </c>
      <c r="E87" s="490">
        <v>0</v>
      </c>
      <c r="F87" s="28">
        <f t="shared" si="7"/>
        <v>0</v>
      </c>
      <c r="G87" s="479">
        <f>D87</f>
        <v>1</v>
      </c>
      <c r="H87" s="479">
        <f>E87</f>
        <v>0</v>
      </c>
      <c r="I87" s="28">
        <f t="shared" si="8"/>
        <v>0</v>
      </c>
      <c r="J87" s="596"/>
      <c r="K87" s="597"/>
      <c r="L87" s="597"/>
      <c r="M87" s="598"/>
    </row>
    <row r="88" spans="1:13">
      <c r="A88" s="573"/>
      <c r="B88" s="525"/>
      <c r="C88" s="27" t="s">
        <v>70</v>
      </c>
      <c r="D88" s="479">
        <v>19</v>
      </c>
      <c r="E88" s="490">
        <v>17.5</v>
      </c>
      <c r="F88" s="28">
        <f t="shared" si="7"/>
        <v>0.92105263157894735</v>
      </c>
      <c r="G88" s="479">
        <f>D88</f>
        <v>19</v>
      </c>
      <c r="H88" s="479">
        <f>E88</f>
        <v>17.5</v>
      </c>
      <c r="I88" s="28">
        <f t="shared" si="8"/>
        <v>0.92105263157894735</v>
      </c>
      <c r="J88" s="596"/>
      <c r="K88" s="597"/>
      <c r="L88" s="597"/>
      <c r="M88" s="598"/>
    </row>
    <row r="89" spans="1:13">
      <c r="A89" s="573"/>
      <c r="B89" s="525"/>
      <c r="C89" s="38" t="s">
        <v>71</v>
      </c>
      <c r="D89" s="487">
        <f>SUM(D87:D88)</f>
        <v>20</v>
      </c>
      <c r="E89" s="487">
        <f>SUM(E87:E88)</f>
        <v>17.5</v>
      </c>
      <c r="F89" s="30">
        <f t="shared" si="7"/>
        <v>0.875</v>
      </c>
      <c r="G89" s="487">
        <f>SUM(G87:G88)</f>
        <v>20</v>
      </c>
      <c r="H89" s="487">
        <f>SUM(H87:H88)</f>
        <v>17.5</v>
      </c>
      <c r="I89" s="30">
        <f t="shared" si="8"/>
        <v>0.875</v>
      </c>
      <c r="J89" s="599"/>
      <c r="K89" s="600"/>
      <c r="L89" s="600"/>
      <c r="M89" s="601"/>
    </row>
    <row r="90" spans="1:13">
      <c r="A90" s="573"/>
      <c r="B90" s="525" t="s">
        <v>73</v>
      </c>
      <c r="C90" s="27" t="s">
        <v>69</v>
      </c>
      <c r="D90" s="479">
        <v>1</v>
      </c>
      <c r="E90" s="490">
        <v>0</v>
      </c>
      <c r="F90" s="28">
        <f t="shared" si="7"/>
        <v>0</v>
      </c>
      <c r="G90" s="479">
        <f>D90</f>
        <v>1</v>
      </c>
      <c r="H90" s="479">
        <f>E90</f>
        <v>0</v>
      </c>
      <c r="I90" s="28">
        <f t="shared" si="8"/>
        <v>0</v>
      </c>
      <c r="J90" s="596"/>
      <c r="K90" s="597"/>
      <c r="L90" s="597"/>
      <c r="M90" s="598"/>
    </row>
    <row r="91" spans="1:13">
      <c r="A91" s="573"/>
      <c r="B91" s="525"/>
      <c r="C91" s="27" t="s">
        <v>70</v>
      </c>
      <c r="D91" s="479">
        <v>49</v>
      </c>
      <c r="E91" s="490">
        <v>46</v>
      </c>
      <c r="F91" s="28">
        <f t="shared" si="7"/>
        <v>0.93877551020408168</v>
      </c>
      <c r="G91" s="479">
        <f>D91</f>
        <v>49</v>
      </c>
      <c r="H91" s="479">
        <f>E91</f>
        <v>46</v>
      </c>
      <c r="I91" s="28">
        <f t="shared" si="8"/>
        <v>0.93877551020408168</v>
      </c>
      <c r="J91" s="596"/>
      <c r="K91" s="597"/>
      <c r="L91" s="597"/>
      <c r="M91" s="598"/>
    </row>
    <row r="92" spans="1:13">
      <c r="A92" s="573"/>
      <c r="B92" s="525"/>
      <c r="C92" s="38" t="s">
        <v>71</v>
      </c>
      <c r="D92" s="487">
        <f>SUM(D90:D91)</f>
        <v>50</v>
      </c>
      <c r="E92" s="487">
        <f>SUM(E90:E91)</f>
        <v>46</v>
      </c>
      <c r="F92" s="30">
        <f t="shared" si="7"/>
        <v>0.92</v>
      </c>
      <c r="G92" s="487">
        <f>SUM(G90:G91)</f>
        <v>50</v>
      </c>
      <c r="H92" s="487">
        <f>SUM(H90:H91)</f>
        <v>46</v>
      </c>
      <c r="I92" s="30">
        <f t="shared" si="8"/>
        <v>0.92</v>
      </c>
      <c r="J92" s="599"/>
      <c r="K92" s="600"/>
      <c r="L92" s="600"/>
      <c r="M92" s="601"/>
    </row>
    <row r="93" spans="1:13">
      <c r="A93" s="573"/>
      <c r="B93" s="525" t="s">
        <v>74</v>
      </c>
      <c r="C93" s="27" t="s">
        <v>69</v>
      </c>
      <c r="D93" s="479">
        <v>3</v>
      </c>
      <c r="E93" s="490">
        <v>1</v>
      </c>
      <c r="F93" s="28">
        <f t="shared" si="7"/>
        <v>0.33333333333333331</v>
      </c>
      <c r="G93" s="479">
        <f>D93</f>
        <v>3</v>
      </c>
      <c r="H93" s="479">
        <f>E93</f>
        <v>1</v>
      </c>
      <c r="I93" s="28">
        <f t="shared" si="8"/>
        <v>0.33333333333333331</v>
      </c>
      <c r="J93" s="596"/>
      <c r="K93" s="597"/>
      <c r="L93" s="597"/>
      <c r="M93" s="598"/>
    </row>
    <row r="94" spans="1:13">
      <c r="A94" s="573"/>
      <c r="B94" s="525"/>
      <c r="C94" s="27" t="s">
        <v>70</v>
      </c>
      <c r="D94" s="479">
        <v>89</v>
      </c>
      <c r="E94" s="490">
        <v>83.5</v>
      </c>
      <c r="F94" s="28">
        <f t="shared" si="7"/>
        <v>0.9382022471910112</v>
      </c>
      <c r="G94" s="479">
        <f>D94</f>
        <v>89</v>
      </c>
      <c r="H94" s="479">
        <f>E94</f>
        <v>83.5</v>
      </c>
      <c r="I94" s="28">
        <f t="shared" si="8"/>
        <v>0.9382022471910112</v>
      </c>
      <c r="J94" s="596"/>
      <c r="K94" s="597"/>
      <c r="L94" s="597"/>
      <c r="M94" s="598"/>
    </row>
    <row r="95" spans="1:13">
      <c r="A95" s="573"/>
      <c r="B95" s="525"/>
      <c r="C95" s="38" t="s">
        <v>71</v>
      </c>
      <c r="D95" s="487">
        <f>SUM(D93:D94)</f>
        <v>92</v>
      </c>
      <c r="E95" s="487">
        <f>SUM(E93:E94)</f>
        <v>84.5</v>
      </c>
      <c r="F95" s="30">
        <f t="shared" si="7"/>
        <v>0.91847826086956519</v>
      </c>
      <c r="G95" s="487">
        <f>SUM(G93:G94)</f>
        <v>92</v>
      </c>
      <c r="H95" s="487">
        <f>SUM(H93:H94)</f>
        <v>84.5</v>
      </c>
      <c r="I95" s="30">
        <f t="shared" si="8"/>
        <v>0.91847826086956519</v>
      </c>
      <c r="J95" s="599"/>
      <c r="K95" s="600"/>
      <c r="L95" s="600"/>
      <c r="M95" s="601"/>
    </row>
    <row r="96" spans="1:13">
      <c r="A96" s="573"/>
      <c r="B96" s="603" t="s">
        <v>46</v>
      </c>
      <c r="C96" s="39" t="s">
        <v>69</v>
      </c>
      <c r="D96" s="474">
        <f>SUM(D84,D87,D90,D93)</f>
        <v>7</v>
      </c>
      <c r="E96" s="474">
        <f>SUM(E84,E87,E90,E93)</f>
        <v>1</v>
      </c>
      <c r="F96" s="31">
        <f t="shared" si="7"/>
        <v>0.14285714285714285</v>
      </c>
      <c r="G96" s="474">
        <f>SUM(G84,G87,G90,G93)</f>
        <v>7</v>
      </c>
      <c r="H96" s="474">
        <f>SUM(H84,H87,H90,H93)</f>
        <v>1</v>
      </c>
      <c r="I96" s="31">
        <f t="shared" si="8"/>
        <v>0.14285714285714285</v>
      </c>
      <c r="J96" s="604"/>
      <c r="K96" s="605"/>
      <c r="L96" s="605"/>
      <c r="M96" s="606"/>
    </row>
    <row r="97" spans="1:13">
      <c r="A97" s="573"/>
      <c r="B97" s="603"/>
      <c r="C97" s="39" t="s">
        <v>70</v>
      </c>
      <c r="D97" s="474">
        <f>SUM(D85,D88,D91,D94)</f>
        <v>240</v>
      </c>
      <c r="E97" s="474">
        <f>SUM(E85,E88,E91,E94)</f>
        <v>216</v>
      </c>
      <c r="F97" s="31">
        <f t="shared" si="7"/>
        <v>0.9</v>
      </c>
      <c r="G97" s="474">
        <f>SUM(G85,G88,G91,G94)</f>
        <v>240</v>
      </c>
      <c r="H97" s="474">
        <f>SUM(H85,H88,H91,H94)</f>
        <v>216</v>
      </c>
      <c r="I97" s="31">
        <f t="shared" si="8"/>
        <v>0.9</v>
      </c>
      <c r="J97" s="604"/>
      <c r="K97" s="605"/>
      <c r="L97" s="605"/>
      <c r="M97" s="606"/>
    </row>
    <row r="98" spans="1:13" ht="14" thickBot="1">
      <c r="A98" s="623"/>
      <c r="B98" s="624"/>
      <c r="C98" s="40" t="s">
        <v>46</v>
      </c>
      <c r="D98" s="475">
        <f>SUM(D96:D97)</f>
        <v>247</v>
      </c>
      <c r="E98" s="475">
        <f>SUM(E96:E97)</f>
        <v>217</v>
      </c>
      <c r="F98" s="41">
        <f t="shared" si="7"/>
        <v>0.87854251012145745</v>
      </c>
      <c r="G98" s="475">
        <f>SUM(G96:G97)</f>
        <v>247</v>
      </c>
      <c r="H98" s="475">
        <f>SUM(H96:H97)</f>
        <v>217</v>
      </c>
      <c r="I98" s="41">
        <f t="shared" si="8"/>
        <v>0.87854251012145745</v>
      </c>
      <c r="J98" s="625"/>
      <c r="K98" s="626"/>
      <c r="L98" s="626"/>
      <c r="M98" s="627"/>
    </row>
    <row r="99" spans="1:13">
      <c r="A99" s="617" t="s">
        <v>75</v>
      </c>
      <c r="B99" s="619" t="s">
        <v>76</v>
      </c>
      <c r="C99" s="42" t="s">
        <v>69</v>
      </c>
      <c r="D99" s="478">
        <v>2</v>
      </c>
      <c r="E99" s="64">
        <v>0</v>
      </c>
      <c r="F99" s="499">
        <f>E99/D99</f>
        <v>0</v>
      </c>
      <c r="G99" s="500">
        <f>D99</f>
        <v>2</v>
      </c>
      <c r="H99" s="478">
        <f>E99</f>
        <v>0</v>
      </c>
      <c r="I99" s="499">
        <f>H99/G99</f>
        <v>0</v>
      </c>
      <c r="J99" s="620"/>
      <c r="K99" s="621"/>
      <c r="L99" s="621"/>
      <c r="M99" s="622"/>
    </row>
    <row r="100" spans="1:13" ht="13.5" customHeight="1">
      <c r="A100" s="562"/>
      <c r="B100" s="525"/>
      <c r="C100" s="27" t="s">
        <v>70</v>
      </c>
      <c r="D100" s="479">
        <v>73</v>
      </c>
      <c r="E100" s="490">
        <v>59</v>
      </c>
      <c r="F100" s="28">
        <f t="shared" ref="F100:F109" si="9">E100/D100</f>
        <v>0.80821917808219179</v>
      </c>
      <c r="G100" s="479">
        <f>D100</f>
        <v>73</v>
      </c>
      <c r="H100" s="479">
        <f>E100</f>
        <v>59</v>
      </c>
      <c r="I100" s="28">
        <f t="shared" ref="I100:I109" si="10">H100/G100</f>
        <v>0.80821917808219179</v>
      </c>
      <c r="J100" s="596"/>
      <c r="K100" s="597"/>
      <c r="L100" s="597"/>
      <c r="M100" s="598"/>
    </row>
    <row r="101" spans="1:13" ht="13.5" customHeight="1">
      <c r="A101" s="562"/>
      <c r="B101" s="525"/>
      <c r="C101" s="38" t="s">
        <v>71</v>
      </c>
      <c r="D101" s="487">
        <f>SUM(D99:D100)</f>
        <v>75</v>
      </c>
      <c r="E101" s="487">
        <f>SUM(E99:E100)</f>
        <v>59</v>
      </c>
      <c r="F101" s="30">
        <f t="shared" si="9"/>
        <v>0.78666666666666663</v>
      </c>
      <c r="G101" s="487">
        <f>SUM(G99:G100)</f>
        <v>75</v>
      </c>
      <c r="H101" s="487">
        <f>SUM(H99:H100)</f>
        <v>59</v>
      </c>
      <c r="I101" s="30">
        <f t="shared" si="10"/>
        <v>0.78666666666666663</v>
      </c>
      <c r="J101" s="599"/>
      <c r="K101" s="600"/>
      <c r="L101" s="600"/>
      <c r="M101" s="601"/>
    </row>
    <row r="102" spans="1:13" ht="13.5" customHeight="1">
      <c r="A102" s="562"/>
      <c r="B102" s="525" t="s">
        <v>77</v>
      </c>
      <c r="C102" s="27" t="s">
        <v>69</v>
      </c>
      <c r="D102" s="479">
        <v>2</v>
      </c>
      <c r="E102" s="490">
        <v>0</v>
      </c>
      <c r="F102" s="28">
        <f t="shared" si="9"/>
        <v>0</v>
      </c>
      <c r="G102" s="479">
        <f>D102</f>
        <v>2</v>
      </c>
      <c r="H102" s="479">
        <f>E102</f>
        <v>0</v>
      </c>
      <c r="I102" s="28">
        <f t="shared" si="10"/>
        <v>0</v>
      </c>
      <c r="J102" s="596"/>
      <c r="K102" s="597"/>
      <c r="L102" s="597"/>
      <c r="M102" s="598"/>
    </row>
    <row r="103" spans="1:13" ht="13.5" customHeight="1">
      <c r="A103" s="562"/>
      <c r="B103" s="525"/>
      <c r="C103" s="27" t="s">
        <v>70</v>
      </c>
      <c r="D103" s="479">
        <v>39</v>
      </c>
      <c r="E103" s="490">
        <v>36.5</v>
      </c>
      <c r="F103" s="28">
        <f t="shared" si="9"/>
        <v>0.9358974358974359</v>
      </c>
      <c r="G103" s="479">
        <f>D103</f>
        <v>39</v>
      </c>
      <c r="H103" s="479">
        <f>E103</f>
        <v>36.5</v>
      </c>
      <c r="I103" s="28">
        <f t="shared" si="10"/>
        <v>0.9358974358974359</v>
      </c>
      <c r="J103" s="596"/>
      <c r="K103" s="597"/>
      <c r="L103" s="597"/>
      <c r="M103" s="598"/>
    </row>
    <row r="104" spans="1:13" ht="13.5" customHeight="1">
      <c r="A104" s="562"/>
      <c r="B104" s="525"/>
      <c r="C104" s="38" t="s">
        <v>71</v>
      </c>
      <c r="D104" s="487">
        <f>SUM(D102:D103)</f>
        <v>41</v>
      </c>
      <c r="E104" s="487">
        <f>SUM(E102:E103)</f>
        <v>36.5</v>
      </c>
      <c r="F104" s="30">
        <f t="shared" si="9"/>
        <v>0.8902439024390244</v>
      </c>
      <c r="G104" s="487">
        <f>SUM(G102:G103)</f>
        <v>41</v>
      </c>
      <c r="H104" s="487">
        <f>SUM(H102:H103)</f>
        <v>36.5</v>
      </c>
      <c r="I104" s="30">
        <f t="shared" si="10"/>
        <v>0.8902439024390244</v>
      </c>
      <c r="J104" s="599"/>
      <c r="K104" s="600"/>
      <c r="L104" s="600"/>
      <c r="M104" s="601"/>
    </row>
    <row r="105" spans="1:13" ht="13.5" customHeight="1">
      <c r="A105" s="562"/>
      <c r="B105" s="603" t="s">
        <v>46</v>
      </c>
      <c r="C105" s="39" t="s">
        <v>69</v>
      </c>
      <c r="D105" s="474">
        <f>SUM(D99,D102)</f>
        <v>4</v>
      </c>
      <c r="E105" s="474">
        <f>SUM(E99,E102)</f>
        <v>0</v>
      </c>
      <c r="F105" s="30">
        <f t="shared" si="9"/>
        <v>0</v>
      </c>
      <c r="G105" s="474">
        <f>SUM(G99,G102)</f>
        <v>4</v>
      </c>
      <c r="H105" s="474">
        <f>SUM(H99,H102)</f>
        <v>0</v>
      </c>
      <c r="I105" s="30">
        <f t="shared" si="10"/>
        <v>0</v>
      </c>
      <c r="J105" s="604"/>
      <c r="K105" s="605"/>
      <c r="L105" s="605"/>
      <c r="M105" s="606"/>
    </row>
    <row r="106" spans="1:13" ht="13.5" customHeight="1">
      <c r="A106" s="562"/>
      <c r="B106" s="603"/>
      <c r="C106" s="39" t="s">
        <v>70</v>
      </c>
      <c r="D106" s="474">
        <f>SUM(D100,D103)</f>
        <v>112</v>
      </c>
      <c r="E106" s="474">
        <f>SUM(E100,E103)</f>
        <v>95.5</v>
      </c>
      <c r="F106" s="30">
        <f t="shared" si="9"/>
        <v>0.8526785714285714</v>
      </c>
      <c r="G106" s="474">
        <f>SUM(G100,G103)</f>
        <v>112</v>
      </c>
      <c r="H106" s="474">
        <f>SUM(H100,H103)</f>
        <v>95.5</v>
      </c>
      <c r="I106" s="30">
        <f t="shared" si="10"/>
        <v>0.8526785714285714</v>
      </c>
      <c r="J106" s="604"/>
      <c r="K106" s="605"/>
      <c r="L106" s="605"/>
      <c r="M106" s="606"/>
    </row>
    <row r="107" spans="1:13" ht="14.25" customHeight="1" thickBot="1">
      <c r="A107" s="618"/>
      <c r="B107" s="624"/>
      <c r="C107" s="40" t="s">
        <v>46</v>
      </c>
      <c r="D107" s="475">
        <f>SUM(D105:D106)</f>
        <v>116</v>
      </c>
      <c r="E107" s="475">
        <f>SUM(E105:E106)</f>
        <v>95.5</v>
      </c>
      <c r="F107" s="41">
        <f t="shared" si="9"/>
        <v>0.82327586206896552</v>
      </c>
      <c r="G107" s="475">
        <f>SUM(G105:G106)</f>
        <v>116</v>
      </c>
      <c r="H107" s="475">
        <f>SUM(H105:H106)</f>
        <v>95.5</v>
      </c>
      <c r="I107" s="41">
        <f t="shared" si="10"/>
        <v>0.82327586206896552</v>
      </c>
      <c r="J107" s="625"/>
      <c r="K107" s="626"/>
      <c r="L107" s="626"/>
      <c r="M107" s="627"/>
    </row>
    <row r="108" spans="1:13">
      <c r="A108" s="635" t="s">
        <v>46</v>
      </c>
      <c r="B108" s="635"/>
      <c r="C108" s="44" t="s">
        <v>69</v>
      </c>
      <c r="D108" s="472">
        <f>SUM(D96,D105)</f>
        <v>11</v>
      </c>
      <c r="E108" s="472">
        <f>SUM(E96,E105)</f>
        <v>1</v>
      </c>
      <c r="F108" s="45">
        <f t="shared" si="9"/>
        <v>9.0909090909090912E-2</v>
      </c>
      <c r="G108" s="46">
        <f>SUM(G96,G105)</f>
        <v>11</v>
      </c>
      <c r="H108" s="46">
        <f>SUM(H96,H105)</f>
        <v>1</v>
      </c>
      <c r="I108" s="45">
        <f t="shared" si="10"/>
        <v>9.0909090909090912E-2</v>
      </c>
      <c r="J108" s="636"/>
      <c r="K108" s="637"/>
      <c r="L108" s="637"/>
      <c r="M108" s="638"/>
    </row>
    <row r="109" spans="1:13">
      <c r="A109" s="609"/>
      <c r="B109" s="609"/>
      <c r="C109" s="47" t="s">
        <v>70</v>
      </c>
      <c r="D109" s="473">
        <f>SUM(D97,D106)</f>
        <v>352</v>
      </c>
      <c r="E109" s="473">
        <f>SUM(E97,E106)</f>
        <v>311.5</v>
      </c>
      <c r="F109" s="32">
        <f t="shared" si="9"/>
        <v>0.88494318181818177</v>
      </c>
      <c r="G109" s="473">
        <f>SUM(G97,G106)</f>
        <v>352</v>
      </c>
      <c r="H109" s="473">
        <f>SUM(H97,H106)</f>
        <v>311.5</v>
      </c>
      <c r="I109" s="32">
        <f t="shared" si="10"/>
        <v>0.88494318181818177</v>
      </c>
      <c r="J109" s="639"/>
      <c r="K109" s="640"/>
      <c r="L109" s="640"/>
      <c r="M109" s="641"/>
    </row>
    <row r="110" spans="1:13">
      <c r="A110" s="609"/>
      <c r="B110" s="609"/>
      <c r="C110" s="48" t="s">
        <v>46</v>
      </c>
      <c r="D110" s="473">
        <f>SUM(D108:D109)</f>
        <v>363</v>
      </c>
      <c r="E110" s="473">
        <f>SUM(E108:E109)</f>
        <v>312.5</v>
      </c>
      <c r="F110" s="49">
        <f>E110/D110</f>
        <v>0.8608815426997245</v>
      </c>
      <c r="G110" s="472">
        <f>SUM(G108:G109)</f>
        <v>363</v>
      </c>
      <c r="H110" s="472">
        <f>SUM(H108:H109)</f>
        <v>312.5</v>
      </c>
      <c r="I110" s="49">
        <f>H110/G110</f>
        <v>0.8608815426997245</v>
      </c>
      <c r="J110" s="639"/>
      <c r="K110" s="640"/>
      <c r="L110" s="640"/>
      <c r="M110" s="641"/>
    </row>
    <row r="113" spans="1:13" ht="15" thickBot="1">
      <c r="A113" s="127" t="s">
        <v>78</v>
      </c>
    </row>
    <row r="114" spans="1:13">
      <c r="A114" s="642" t="s">
        <v>79</v>
      </c>
      <c r="B114" s="643"/>
      <c r="C114" s="644" t="s">
        <v>80</v>
      </c>
      <c r="D114" s="645"/>
      <c r="E114" s="644" t="s">
        <v>81</v>
      </c>
      <c r="F114" s="645"/>
      <c r="G114" s="646"/>
      <c r="H114" s="647"/>
      <c r="I114" s="646"/>
      <c r="J114" s="647"/>
      <c r="K114" s="646"/>
      <c r="L114" s="648"/>
    </row>
    <row r="115" spans="1:13">
      <c r="A115" s="628" t="s">
        <v>82</v>
      </c>
      <c r="B115" s="629"/>
      <c r="C115" s="630" t="s">
        <v>83</v>
      </c>
      <c r="D115" s="631"/>
      <c r="E115" s="630" t="s">
        <v>84</v>
      </c>
      <c r="F115" s="631"/>
      <c r="G115" s="632"/>
      <c r="H115" s="633"/>
      <c r="I115" s="632"/>
      <c r="J115" s="633"/>
      <c r="K115" s="632"/>
      <c r="L115" s="634"/>
    </row>
    <row r="116" spans="1:13">
      <c r="A116" s="628" t="s">
        <v>85</v>
      </c>
      <c r="B116" s="629"/>
      <c r="C116" s="630" t="s">
        <v>86</v>
      </c>
      <c r="D116" s="631"/>
      <c r="E116" s="630" t="s">
        <v>87</v>
      </c>
      <c r="F116" s="631"/>
      <c r="G116" s="632"/>
      <c r="H116" s="633"/>
      <c r="I116" s="632"/>
      <c r="J116" s="633"/>
      <c r="K116" s="632"/>
      <c r="L116" s="634"/>
    </row>
    <row r="117" spans="1:13">
      <c r="A117" s="628" t="s">
        <v>88</v>
      </c>
      <c r="B117" s="629"/>
      <c r="C117" s="630" t="s">
        <v>89</v>
      </c>
      <c r="D117" s="631"/>
      <c r="E117" s="630" t="s">
        <v>90</v>
      </c>
      <c r="F117" s="631"/>
      <c r="G117" s="632"/>
      <c r="H117" s="633"/>
      <c r="I117" s="632"/>
      <c r="J117" s="633"/>
      <c r="K117" s="632"/>
      <c r="L117" s="634"/>
    </row>
    <row r="118" spans="1:13">
      <c r="A118" s="628" t="s">
        <v>91</v>
      </c>
      <c r="B118" s="629"/>
      <c r="C118" s="649">
        <v>433</v>
      </c>
      <c r="D118" s="650"/>
      <c r="E118" s="649">
        <v>6</v>
      </c>
      <c r="F118" s="650"/>
      <c r="G118" s="632"/>
      <c r="H118" s="633"/>
      <c r="I118" s="632"/>
      <c r="J118" s="633"/>
      <c r="K118" s="632"/>
      <c r="L118" s="634"/>
    </row>
    <row r="119" spans="1:13">
      <c r="A119" s="628" t="s">
        <v>92</v>
      </c>
      <c r="B119" s="629"/>
      <c r="C119" s="630" t="s">
        <v>93</v>
      </c>
      <c r="D119" s="631"/>
      <c r="E119" s="630" t="s">
        <v>94</v>
      </c>
      <c r="F119" s="631"/>
      <c r="G119" s="632"/>
      <c r="H119" s="633"/>
      <c r="I119" s="632"/>
      <c r="J119" s="633"/>
      <c r="K119" s="632"/>
      <c r="L119" s="634"/>
    </row>
    <row r="120" spans="1:13">
      <c r="A120" s="628" t="s">
        <v>311</v>
      </c>
      <c r="B120" s="471" t="s">
        <v>96</v>
      </c>
      <c r="C120" s="630">
        <v>0</v>
      </c>
      <c r="D120" s="631"/>
      <c r="E120" s="630">
        <v>0</v>
      </c>
      <c r="F120" s="631"/>
      <c r="G120" s="632"/>
      <c r="H120" s="633"/>
      <c r="I120" s="632"/>
      <c r="J120" s="633"/>
      <c r="K120" s="632"/>
      <c r="L120" s="634"/>
    </row>
    <row r="121" spans="1:13">
      <c r="A121" s="628"/>
      <c r="B121" s="471" t="s">
        <v>97</v>
      </c>
      <c r="C121" s="630">
        <v>0</v>
      </c>
      <c r="D121" s="631"/>
      <c r="E121" s="630">
        <v>0</v>
      </c>
      <c r="F121" s="631"/>
      <c r="G121" s="632"/>
      <c r="H121" s="633"/>
      <c r="I121" s="632"/>
      <c r="J121" s="633"/>
      <c r="K121" s="632"/>
      <c r="L121" s="634"/>
    </row>
    <row r="122" spans="1:13">
      <c r="A122" s="628"/>
      <c r="B122" s="471" t="s">
        <v>98</v>
      </c>
      <c r="C122" s="651">
        <v>0</v>
      </c>
      <c r="D122" s="652"/>
      <c r="E122" s="651">
        <v>0</v>
      </c>
      <c r="F122" s="652"/>
      <c r="G122" s="653"/>
      <c r="H122" s="654"/>
      <c r="I122" s="653"/>
      <c r="J122" s="654"/>
      <c r="K122" s="653"/>
      <c r="L122" s="655"/>
    </row>
    <row r="123" spans="1:13">
      <c r="A123" s="628"/>
      <c r="B123" s="471" t="s">
        <v>99</v>
      </c>
      <c r="C123" s="656">
        <v>400</v>
      </c>
      <c r="D123" s="656"/>
      <c r="E123" s="656">
        <v>150</v>
      </c>
      <c r="F123" s="656"/>
      <c r="G123" s="653"/>
      <c r="H123" s="654"/>
      <c r="I123" s="653"/>
      <c r="J123" s="654"/>
      <c r="K123" s="653"/>
      <c r="L123" s="655"/>
    </row>
    <row r="124" spans="1:13" ht="13.5" customHeight="1" thickBot="1">
      <c r="A124" s="673" t="s">
        <v>10</v>
      </c>
      <c r="B124" s="674"/>
      <c r="C124" s="675"/>
      <c r="D124" s="676"/>
      <c r="E124" s="675"/>
      <c r="F124" s="676"/>
      <c r="G124" s="660"/>
      <c r="H124" s="677"/>
      <c r="I124" s="660"/>
      <c r="J124" s="677"/>
      <c r="K124" s="660"/>
      <c r="L124" s="661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31" t="s">
        <v>101</v>
      </c>
      <c r="B128" s="533"/>
      <c r="C128" s="662" t="s">
        <v>312</v>
      </c>
      <c r="D128" s="663"/>
      <c r="E128" s="664"/>
      <c r="F128" s="662" t="s">
        <v>102</v>
      </c>
      <c r="G128" s="663"/>
      <c r="H128" s="663"/>
      <c r="I128" s="664"/>
      <c r="J128" s="662" t="s">
        <v>133</v>
      </c>
      <c r="K128" s="663"/>
      <c r="L128" s="663"/>
      <c r="M128" s="665"/>
    </row>
    <row r="129" spans="1:13" ht="35.25" customHeight="1">
      <c r="A129" s="573" t="s">
        <v>103</v>
      </c>
      <c r="B129" s="555"/>
      <c r="C129" s="596"/>
      <c r="D129" s="597"/>
      <c r="E129" s="666"/>
      <c r="F129" s="667" t="s">
        <v>313</v>
      </c>
      <c r="G129" s="668"/>
      <c r="H129" s="668"/>
      <c r="I129" s="669"/>
      <c r="J129" s="670"/>
      <c r="K129" s="671"/>
      <c r="L129" s="671"/>
      <c r="M129" s="672"/>
    </row>
    <row r="130" spans="1:13" ht="35.25" customHeight="1">
      <c r="A130" s="573" t="s">
        <v>104</v>
      </c>
      <c r="B130" s="555"/>
      <c r="C130" s="678" t="s">
        <v>314</v>
      </c>
      <c r="D130" s="597"/>
      <c r="E130" s="666"/>
      <c r="F130" s="596"/>
      <c r="G130" s="597"/>
      <c r="H130" s="597"/>
      <c r="I130" s="666"/>
      <c r="J130" s="596"/>
      <c r="K130" s="597"/>
      <c r="L130" s="597"/>
      <c r="M130" s="598"/>
    </row>
    <row r="131" spans="1:13" ht="67.5" customHeight="1">
      <c r="A131" s="573" t="s">
        <v>105</v>
      </c>
      <c r="B131" s="555"/>
      <c r="C131" s="657" t="s">
        <v>315</v>
      </c>
      <c r="D131" s="658"/>
      <c r="E131" s="659"/>
      <c r="F131" s="657" t="s">
        <v>316</v>
      </c>
      <c r="G131" s="658"/>
      <c r="H131" s="658"/>
      <c r="I131" s="659"/>
      <c r="J131" s="657" t="s">
        <v>316</v>
      </c>
      <c r="K131" s="658"/>
      <c r="L131" s="658"/>
      <c r="M131" s="659"/>
    </row>
    <row r="132" spans="1:13" ht="35.25" customHeight="1" thickBot="1">
      <c r="A132" s="623" t="s">
        <v>106</v>
      </c>
      <c r="B132" s="693"/>
      <c r="C132" s="694" t="s">
        <v>317</v>
      </c>
      <c r="D132" s="695"/>
      <c r="E132" s="696"/>
      <c r="F132" s="697" t="s">
        <v>318</v>
      </c>
      <c r="G132" s="698"/>
      <c r="H132" s="698"/>
      <c r="I132" s="699"/>
      <c r="J132" s="697" t="s">
        <v>319</v>
      </c>
      <c r="K132" s="698"/>
      <c r="L132" s="698"/>
      <c r="M132" s="700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443</v>
      </c>
      <c r="B137" s="469" t="s">
        <v>442</v>
      </c>
      <c r="C137" s="469" t="s">
        <v>110</v>
      </c>
      <c r="D137" s="469" t="s">
        <v>111</v>
      </c>
      <c r="E137" s="701" t="s">
        <v>112</v>
      </c>
      <c r="F137" s="701"/>
      <c r="G137" s="701"/>
      <c r="H137" s="54" t="s">
        <v>113</v>
      </c>
    </row>
    <row r="138" spans="1:13" ht="40.5" customHeight="1" thickBot="1">
      <c r="A138" s="62">
        <f>E42</f>
        <v>0</v>
      </c>
      <c r="B138" s="63">
        <v>0</v>
      </c>
      <c r="C138" s="63">
        <f>E43-E42</f>
        <v>21681</v>
      </c>
      <c r="D138" s="504">
        <v>37911</v>
      </c>
      <c r="E138" s="681" t="s">
        <v>114</v>
      </c>
      <c r="F138" s="681"/>
      <c r="G138" s="681"/>
      <c r="H138" s="505">
        <f>C138+A138+B138-D138</f>
        <v>-16230</v>
      </c>
    </row>
    <row r="139" spans="1:13" ht="14" thickBot="1">
      <c r="A139" s="8" t="s">
        <v>115</v>
      </c>
    </row>
    <row r="140" spans="1:13" ht="17.25" customHeight="1">
      <c r="A140" s="55" t="s">
        <v>116</v>
      </c>
      <c r="B140" s="679" t="s">
        <v>117</v>
      </c>
      <c r="C140" s="679"/>
      <c r="D140" s="679"/>
      <c r="E140" s="679"/>
      <c r="F140" s="679"/>
      <c r="G140" s="680"/>
    </row>
    <row r="141" spans="1:13" ht="45" customHeight="1" thickBot="1">
      <c r="A141" s="56">
        <v>17000</v>
      </c>
      <c r="B141" s="681" t="s">
        <v>114</v>
      </c>
      <c r="C141" s="681"/>
      <c r="D141" s="681"/>
      <c r="E141" s="681"/>
      <c r="F141" s="681"/>
      <c r="G141" s="682"/>
    </row>
    <row r="143" spans="1:13" ht="14">
      <c r="A143" s="127" t="s">
        <v>118</v>
      </c>
    </row>
    <row r="144" spans="1:13">
      <c r="A144" s="629" t="s">
        <v>50</v>
      </c>
      <c r="B144" s="629"/>
      <c r="C144" s="629"/>
      <c r="D144" s="629"/>
      <c r="E144" s="629"/>
      <c r="F144" s="629"/>
      <c r="G144" s="486" t="s">
        <v>119</v>
      </c>
      <c r="H144" s="683" t="s">
        <v>10</v>
      </c>
      <c r="I144" s="684"/>
      <c r="J144" s="684"/>
      <c r="K144" s="685"/>
    </row>
    <row r="145" spans="1:11">
      <c r="A145" s="574" t="s">
        <v>120</v>
      </c>
      <c r="B145" s="686" t="s">
        <v>121</v>
      </c>
      <c r="C145" s="686"/>
      <c r="D145" s="686"/>
      <c r="E145" s="686"/>
      <c r="F145" s="686"/>
      <c r="G145" s="506">
        <v>10</v>
      </c>
      <c r="H145" s="687"/>
      <c r="I145" s="688"/>
      <c r="J145" s="688"/>
      <c r="K145" s="689"/>
    </row>
    <row r="146" spans="1:11">
      <c r="A146" s="574"/>
      <c r="B146" s="686" t="s">
        <v>122</v>
      </c>
      <c r="C146" s="686"/>
      <c r="D146" s="686"/>
      <c r="E146" s="686"/>
      <c r="F146" s="686"/>
      <c r="G146" s="507">
        <v>10981</v>
      </c>
      <c r="H146" s="690"/>
      <c r="I146" s="691"/>
      <c r="J146" s="691"/>
      <c r="K146" s="692"/>
    </row>
    <row r="147" spans="1:11">
      <c r="A147" s="574" t="s">
        <v>123</v>
      </c>
      <c r="B147" s="686" t="s">
        <v>124</v>
      </c>
      <c r="C147" s="686"/>
      <c r="D147" s="686"/>
      <c r="E147" s="686"/>
      <c r="F147" s="686"/>
      <c r="G147" s="479">
        <v>10</v>
      </c>
      <c r="H147" s="670"/>
      <c r="I147" s="671"/>
      <c r="J147" s="671"/>
      <c r="K147" s="672"/>
    </row>
    <row r="148" spans="1:11">
      <c r="A148" s="574"/>
      <c r="B148" s="686" t="s">
        <v>125</v>
      </c>
      <c r="C148" s="686"/>
      <c r="D148" s="686"/>
      <c r="E148" s="686"/>
      <c r="F148" s="686"/>
      <c r="G148" s="508">
        <v>15646</v>
      </c>
      <c r="H148" s="670"/>
      <c r="I148" s="671"/>
      <c r="J148" s="671"/>
      <c r="K148" s="672"/>
    </row>
    <row r="149" spans="1:11" ht="14">
      <c r="A149" s="488" t="s">
        <v>126</v>
      </c>
      <c r="B149" s="686" t="s">
        <v>127</v>
      </c>
      <c r="C149" s="686"/>
      <c r="D149" s="686"/>
      <c r="E149" s="686"/>
      <c r="F149" s="686"/>
      <c r="G149" s="509">
        <v>1865</v>
      </c>
      <c r="H149" s="670"/>
      <c r="I149" s="671"/>
      <c r="J149" s="671"/>
      <c r="K149" s="672"/>
    </row>
    <row r="150" spans="1:11" ht="14">
      <c r="A150" s="488" t="s">
        <v>128</v>
      </c>
      <c r="B150" s="686" t="s">
        <v>129</v>
      </c>
      <c r="C150" s="686"/>
      <c r="D150" s="686"/>
      <c r="E150" s="686"/>
      <c r="F150" s="686"/>
      <c r="G150" s="479"/>
      <c r="H150" s="670"/>
      <c r="I150" s="671"/>
      <c r="J150" s="671"/>
      <c r="K150" s="672"/>
    </row>
  </sheetData>
  <dataConsolidate/>
  <mergeCells count="274"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1:F1"/>
    <mergeCell ref="J3:K3"/>
    <mergeCell ref="L3:M3"/>
    <mergeCell ref="J5:K5"/>
    <mergeCell ref="L5:M5"/>
    <mergeCell ref="J6:K6"/>
    <mergeCell ref="L6:M6"/>
    <mergeCell ref="A14:B14"/>
    <mergeCell ref="E14:I14"/>
  </mergeCells>
  <dataValidations count="2">
    <dataValidation type="list" allowBlank="1" showInputMessage="1" showErrorMessage="1" sqref="L3" xr:uid="{289D230B-75F8-054F-9AA4-99CF83E614CB}">
      <formula1>"USA, JAPAN"</formula1>
    </dataValidation>
    <dataValidation type="list" allowBlank="1" showInputMessage="1" showErrorMessage="1" sqref="G1" xr:uid="{D4EF6958-190D-B146-94C8-55096FA3AF4F}">
      <formula1>"Jan, Feb, March, April, May, June, July, Aug, Sep, Oct, Nov, Dec"</formula1>
    </dataValidation>
  </dataValidations>
  <pageMargins left="0" right="0" top="0" bottom="0" header="0" footer="0"/>
  <pageSetup paperSize="9" scale="61" fitToHeight="0" orientation="portrait" r:id="rId1"/>
  <rowBreaks count="1" manualBreakCount="1">
    <brk id="133" max="12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3E92C-AAA1-C842-AEB1-079677314A97}">
  <sheetPr codeName="Sheet3">
    <pageSetUpPr fitToPage="1"/>
  </sheetPr>
  <dimension ref="A1:N150"/>
  <sheetViews>
    <sheetView zoomScale="75" zoomScaleNormal="75" zoomScaleSheetLayoutView="85" workbookViewId="0">
      <selection activeCell="O5" sqref="O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131</v>
      </c>
      <c r="H1" s="2">
        <v>2017</v>
      </c>
      <c r="I1" s="491"/>
      <c r="J1" s="491"/>
      <c r="K1" s="491"/>
      <c r="L1" s="491"/>
      <c r="M1" s="491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4</v>
      </c>
      <c r="M6" s="525"/>
    </row>
    <row r="7" spans="1:13">
      <c r="J7" s="525" t="s">
        <v>6</v>
      </c>
      <c r="K7" s="525"/>
      <c r="L7" s="702">
        <v>42815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470" t="s">
        <v>305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79" t="s">
        <v>306</v>
      </c>
      <c r="C10" s="61">
        <v>5</v>
      </c>
      <c r="D10" s="490">
        <v>3</v>
      </c>
      <c r="E10" s="538" t="s">
        <v>320</v>
      </c>
      <c r="F10" s="538"/>
      <c r="G10" s="538"/>
      <c r="H10" s="538"/>
      <c r="I10" s="539"/>
    </row>
    <row r="11" spans="1:13">
      <c r="A11" s="537"/>
      <c r="B11" s="479" t="s">
        <v>12</v>
      </c>
      <c r="C11" s="61">
        <v>0</v>
      </c>
      <c r="D11" s="490">
        <v>1</v>
      </c>
      <c r="E11" s="540" t="s">
        <v>308</v>
      </c>
      <c r="F11" s="541"/>
      <c r="G11" s="541"/>
      <c r="H11" s="541"/>
      <c r="I11" s="542"/>
    </row>
    <row r="12" spans="1:13">
      <c r="A12" s="537"/>
      <c r="B12" s="479" t="s">
        <v>309</v>
      </c>
      <c r="C12" s="61">
        <v>1</v>
      </c>
      <c r="D12" s="490">
        <v>1</v>
      </c>
      <c r="E12" s="538" t="s">
        <v>130</v>
      </c>
      <c r="F12" s="538"/>
      <c r="G12" s="538"/>
      <c r="H12" s="538"/>
      <c r="I12" s="539"/>
    </row>
    <row r="13" spans="1:13">
      <c r="A13" s="537"/>
      <c r="B13" s="479" t="s">
        <v>13</v>
      </c>
      <c r="C13" s="61">
        <v>5</v>
      </c>
      <c r="D13" s="490">
        <v>1</v>
      </c>
      <c r="E13" s="538" t="s">
        <v>310</v>
      </c>
      <c r="F13" s="538"/>
      <c r="G13" s="538"/>
      <c r="H13" s="538"/>
      <c r="I13" s="539"/>
    </row>
    <row r="14" spans="1:13" s="8" customFormat="1" ht="14" thickBot="1">
      <c r="A14" s="526" t="s">
        <v>14</v>
      </c>
      <c r="B14" s="527"/>
      <c r="C14" s="7">
        <f>SUM(C10:C13)</f>
        <v>11</v>
      </c>
      <c r="D14" s="7">
        <f>SUM(D10:D13)</f>
        <v>6</v>
      </c>
      <c r="E14" s="528" t="s">
        <v>15</v>
      </c>
      <c r="F14" s="529"/>
      <c r="G14" s="529"/>
      <c r="H14" s="529"/>
      <c r="I14" s="530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31" t="s">
        <v>18</v>
      </c>
      <c r="B18" s="533" t="s">
        <v>19</v>
      </c>
      <c r="C18" s="533"/>
      <c r="D18" s="533" t="s">
        <v>20</v>
      </c>
      <c r="E18" s="533"/>
      <c r="F18" s="533"/>
      <c r="G18" s="533" t="s">
        <v>21</v>
      </c>
      <c r="H18" s="533"/>
      <c r="I18" s="533"/>
      <c r="J18" s="533" t="s">
        <v>22</v>
      </c>
      <c r="K18" s="533"/>
      <c r="L18" s="533"/>
      <c r="M18" s="536"/>
    </row>
    <row r="19" spans="1:13">
      <c r="A19" s="532"/>
      <c r="B19" s="534"/>
      <c r="C19" s="534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534"/>
      <c r="K19" s="534"/>
      <c r="L19" s="534"/>
      <c r="M19" s="543"/>
    </row>
    <row r="20" spans="1:13">
      <c r="A20" s="544" t="s">
        <v>26</v>
      </c>
      <c r="B20" s="545"/>
      <c r="C20" s="545"/>
      <c r="D20" s="545"/>
      <c r="E20" s="545"/>
      <c r="F20" s="545"/>
      <c r="G20" s="545"/>
      <c r="H20" s="545"/>
      <c r="I20" s="545"/>
      <c r="J20" s="545"/>
      <c r="K20" s="545"/>
      <c r="L20" s="545"/>
      <c r="M20" s="546"/>
    </row>
    <row r="21" spans="1:13">
      <c r="A21" s="547" t="s">
        <v>27</v>
      </c>
      <c r="B21" s="550" t="s">
        <v>28</v>
      </c>
      <c r="C21" s="128" t="s">
        <v>29</v>
      </c>
      <c r="D21" s="61">
        <v>13938</v>
      </c>
      <c r="E21" s="490">
        <v>11557</v>
      </c>
      <c r="F21" s="14">
        <f t="shared" ref="F21:F26" si="0">E21/D21</f>
        <v>0.82917204763954655</v>
      </c>
      <c r="G21" s="479">
        <f>D21+'2017JAN'!G21</f>
        <v>27828</v>
      </c>
      <c r="H21" s="479">
        <f>E21+'2017JAN'!H21</f>
        <v>23240</v>
      </c>
      <c r="I21" s="14">
        <f t="shared" ref="I21:I26" si="1">H21/G21</f>
        <v>0.8351300848066695</v>
      </c>
      <c r="J21" s="525"/>
      <c r="K21" s="525"/>
      <c r="L21" s="525"/>
      <c r="M21" s="552"/>
    </row>
    <row r="22" spans="1:13" ht="13.5" customHeight="1">
      <c r="A22" s="548"/>
      <c r="B22" s="551"/>
      <c r="C22" s="15" t="s">
        <v>30</v>
      </c>
      <c r="D22" s="487">
        <f>SUM(D21:D21)</f>
        <v>13938</v>
      </c>
      <c r="E22" s="487">
        <f>SUM(E21:E21)</f>
        <v>11557</v>
      </c>
      <c r="F22" s="16">
        <f t="shared" si="0"/>
        <v>0.82917204763954655</v>
      </c>
      <c r="G22" s="487">
        <f>SUM(G21:G21)</f>
        <v>27828</v>
      </c>
      <c r="H22" s="487">
        <f>SUM(H21:H21)</f>
        <v>23240</v>
      </c>
      <c r="I22" s="16">
        <f t="shared" si="1"/>
        <v>0.8351300848066695</v>
      </c>
      <c r="J22" s="553"/>
      <c r="K22" s="553"/>
      <c r="L22" s="553"/>
      <c r="M22" s="554"/>
    </row>
    <row r="23" spans="1:13" ht="13.5" customHeight="1">
      <c r="A23" s="548"/>
      <c r="B23" s="555" t="s">
        <v>31</v>
      </c>
      <c r="C23" s="128" t="s">
        <v>29</v>
      </c>
      <c r="D23" s="61">
        <v>4699</v>
      </c>
      <c r="E23" s="490">
        <v>4161</v>
      </c>
      <c r="F23" s="14">
        <f t="shared" si="0"/>
        <v>0.88550755479889343</v>
      </c>
      <c r="G23" s="479">
        <f>D23+'2017JAN'!G23</f>
        <v>9414</v>
      </c>
      <c r="H23" s="479">
        <f>E23+'2017JAN'!H23</f>
        <v>8383</v>
      </c>
      <c r="I23" s="14">
        <f t="shared" si="1"/>
        <v>0.89048226046314005</v>
      </c>
      <c r="J23" s="525"/>
      <c r="K23" s="525"/>
      <c r="L23" s="525"/>
      <c r="M23" s="552"/>
    </row>
    <row r="24" spans="1:13" ht="13.5" customHeight="1">
      <c r="A24" s="548"/>
      <c r="B24" s="555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525"/>
      <c r="K24" s="525"/>
      <c r="L24" s="525"/>
      <c r="M24" s="552"/>
    </row>
    <row r="25" spans="1:13" ht="13.5" customHeight="1">
      <c r="A25" s="548"/>
      <c r="B25" s="555"/>
      <c r="C25" s="15" t="s">
        <v>30</v>
      </c>
      <c r="D25" s="487">
        <f>SUM(D23:D24)</f>
        <v>4699</v>
      </c>
      <c r="E25" s="487">
        <f>SUM(E23:E24)</f>
        <v>4161</v>
      </c>
      <c r="F25" s="16">
        <f t="shared" si="0"/>
        <v>0.88550755479889343</v>
      </c>
      <c r="G25" s="487">
        <f>SUM(G23:G24)</f>
        <v>9414</v>
      </c>
      <c r="H25" s="487">
        <f>SUM(H23:H24)</f>
        <v>8383</v>
      </c>
      <c r="I25" s="16">
        <f t="shared" si="1"/>
        <v>0.89048226046314005</v>
      </c>
      <c r="J25" s="553"/>
      <c r="K25" s="553"/>
      <c r="L25" s="553"/>
      <c r="M25" s="554"/>
    </row>
    <row r="26" spans="1:13" s="8" customFormat="1" ht="14.25" customHeight="1" thickBot="1">
      <c r="A26" s="549"/>
      <c r="B26" s="556" t="s">
        <v>30</v>
      </c>
      <c r="C26" s="556"/>
      <c r="D26" s="489">
        <f>SUM(D22,D25)</f>
        <v>18637</v>
      </c>
      <c r="E26" s="489">
        <f>SUM(E22,E25)</f>
        <v>15718</v>
      </c>
      <c r="F26" s="17">
        <f t="shared" si="0"/>
        <v>0.84337607984117613</v>
      </c>
      <c r="G26" s="489">
        <f>SUM(G22,G25)</f>
        <v>37242</v>
      </c>
      <c r="H26" s="489">
        <f>SUM(H22,H25)</f>
        <v>31623</v>
      </c>
      <c r="I26" s="17">
        <f t="shared" si="1"/>
        <v>0.84912195907845978</v>
      </c>
      <c r="J26" s="556"/>
      <c r="K26" s="556"/>
      <c r="L26" s="556"/>
      <c r="M26" s="557"/>
    </row>
    <row r="27" spans="1:13">
      <c r="A27" s="558" t="s">
        <v>33</v>
      </c>
      <c r="B27" s="559"/>
      <c r="C27" s="559"/>
      <c r="D27" s="559"/>
      <c r="E27" s="559"/>
      <c r="F27" s="559"/>
      <c r="G27" s="559"/>
      <c r="H27" s="559"/>
      <c r="I27" s="559"/>
      <c r="J27" s="559"/>
      <c r="K27" s="559"/>
      <c r="L27" s="559"/>
      <c r="M27" s="560"/>
    </row>
    <row r="28" spans="1:13" ht="12.75" customHeight="1">
      <c r="A28" s="561" t="s">
        <v>34</v>
      </c>
      <c r="B28" s="564" t="s">
        <v>35</v>
      </c>
      <c r="C28" s="128" t="s">
        <v>29</v>
      </c>
      <c r="D28" s="61">
        <v>200</v>
      </c>
      <c r="E28" s="490">
        <v>539</v>
      </c>
      <c r="F28" s="14">
        <f>E28/D28</f>
        <v>2.6949999999999998</v>
      </c>
      <c r="G28" s="479">
        <f>D28+'2017JAN'!G28</f>
        <v>400</v>
      </c>
      <c r="H28" s="479">
        <f>E28+'2017JAN'!H28</f>
        <v>3011</v>
      </c>
      <c r="I28" s="14">
        <f>H28/G28</f>
        <v>7.5274999999999999</v>
      </c>
      <c r="J28" s="525"/>
      <c r="K28" s="525"/>
      <c r="L28" s="525"/>
      <c r="M28" s="552"/>
    </row>
    <row r="29" spans="1:13">
      <c r="A29" s="562"/>
      <c r="B29" s="565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525"/>
      <c r="K29" s="525"/>
      <c r="L29" s="525"/>
      <c r="M29" s="552"/>
    </row>
    <row r="30" spans="1:13">
      <c r="A30" s="562"/>
      <c r="B30" s="566"/>
      <c r="C30" s="15" t="s">
        <v>30</v>
      </c>
      <c r="D30" s="487">
        <f>SUM(D28:D29)</f>
        <v>200</v>
      </c>
      <c r="E30" s="487">
        <f>SUM(E28:E29)</f>
        <v>539</v>
      </c>
      <c r="F30" s="14">
        <f t="shared" si="2"/>
        <v>2.6949999999999998</v>
      </c>
      <c r="G30" s="487">
        <f>SUM(G28:G29)</f>
        <v>400</v>
      </c>
      <c r="H30" s="487">
        <f>SUM(H28:H29)</f>
        <v>3011</v>
      </c>
      <c r="I30" s="14">
        <f t="shared" si="3"/>
        <v>7.5274999999999999</v>
      </c>
      <c r="J30" s="553"/>
      <c r="K30" s="553"/>
      <c r="L30" s="553"/>
      <c r="M30" s="554"/>
    </row>
    <row r="31" spans="1:13" ht="12.75" customHeight="1">
      <c r="A31" s="562"/>
      <c r="B31" s="567" t="s">
        <v>36</v>
      </c>
      <c r="C31" s="568"/>
      <c r="D31" s="61">
        <v>1700</v>
      </c>
      <c r="E31" s="490">
        <v>1177</v>
      </c>
      <c r="F31" s="14">
        <f t="shared" si="2"/>
        <v>0.69235294117647062</v>
      </c>
      <c r="G31" s="479">
        <f>D31+'2017JAN'!G31</f>
        <v>2900</v>
      </c>
      <c r="H31" s="479">
        <f>E31+'2017JAN'!H31</f>
        <v>3931</v>
      </c>
      <c r="I31" s="14">
        <f t="shared" si="3"/>
        <v>1.3555172413793104</v>
      </c>
      <c r="J31" s="525"/>
      <c r="K31" s="525"/>
      <c r="L31" s="525"/>
      <c r="M31" s="552"/>
    </row>
    <row r="32" spans="1:13" s="8" customFormat="1">
      <c r="A32" s="563"/>
      <c r="B32" s="534" t="s">
        <v>30</v>
      </c>
      <c r="C32" s="534"/>
      <c r="D32" s="485">
        <f>SUM(D30,D31)</f>
        <v>1900</v>
      </c>
      <c r="E32" s="485">
        <f>SUM(E30,E31)</f>
        <v>1716</v>
      </c>
      <c r="F32" s="14">
        <f t="shared" si="2"/>
        <v>0.90315789473684216</v>
      </c>
      <c r="G32" s="485">
        <f>SUM(G30,G31)</f>
        <v>3300</v>
      </c>
      <c r="H32" s="485">
        <f>SUM(H30,H31)</f>
        <v>6942</v>
      </c>
      <c r="I32" s="14">
        <f t="shared" si="3"/>
        <v>2.1036363636363635</v>
      </c>
      <c r="J32" s="534"/>
      <c r="K32" s="534"/>
      <c r="L32" s="534"/>
      <c r="M32" s="543"/>
    </row>
    <row r="33" spans="1:13">
      <c r="A33" s="573" t="s">
        <v>37</v>
      </c>
      <c r="B33" s="555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D33+'2017JAN'!G33</f>
        <v>70000</v>
      </c>
      <c r="H33" s="479">
        <f>E33+'2017JAN'!H33</f>
        <v>0</v>
      </c>
      <c r="I33" s="14">
        <f t="shared" si="3"/>
        <v>0</v>
      </c>
      <c r="J33" s="525"/>
      <c r="K33" s="525"/>
      <c r="L33" s="525"/>
      <c r="M33" s="552"/>
    </row>
    <row r="34" spans="1:13">
      <c r="A34" s="573"/>
      <c r="B34" s="555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525"/>
      <c r="K34" s="525"/>
      <c r="L34" s="525"/>
      <c r="M34" s="552"/>
    </row>
    <row r="35" spans="1:13">
      <c r="A35" s="573"/>
      <c r="B35" s="555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70000</v>
      </c>
      <c r="H35" s="487">
        <f>SUM(H33:H34)</f>
        <v>0</v>
      </c>
      <c r="I35" s="16">
        <f t="shared" si="3"/>
        <v>0</v>
      </c>
      <c r="J35" s="553"/>
      <c r="K35" s="553"/>
      <c r="L35" s="553"/>
      <c r="M35" s="554"/>
    </row>
    <row r="36" spans="1:13" ht="12" customHeight="1">
      <c r="A36" s="573"/>
      <c r="B36" s="574" t="s">
        <v>41</v>
      </c>
      <c r="C36" s="128" t="s">
        <v>40</v>
      </c>
      <c r="D36" s="479"/>
      <c r="E36" s="479"/>
      <c r="F36" s="14" t="e">
        <f t="shared" si="2"/>
        <v>#DIV/0!</v>
      </c>
      <c r="G36" s="479"/>
      <c r="H36" s="479"/>
      <c r="I36" s="14" t="e">
        <f t="shared" si="3"/>
        <v>#DIV/0!</v>
      </c>
      <c r="J36" s="525"/>
      <c r="K36" s="525"/>
      <c r="L36" s="525"/>
      <c r="M36" s="552"/>
    </row>
    <row r="37" spans="1:13" ht="12" customHeight="1">
      <c r="A37" s="573"/>
      <c r="B37" s="574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525"/>
      <c r="K37" s="525"/>
      <c r="L37" s="525"/>
      <c r="M37" s="552"/>
    </row>
    <row r="38" spans="1:13" ht="12" customHeight="1">
      <c r="A38" s="573"/>
      <c r="B38" s="574"/>
      <c r="C38" s="15" t="s">
        <v>30</v>
      </c>
      <c r="D38" s="487">
        <f>SUM(D36:D37)</f>
        <v>0</v>
      </c>
      <c r="E38" s="487">
        <f>SUM(E36:E37)</f>
        <v>0</v>
      </c>
      <c r="F38" s="16" t="e">
        <f t="shared" si="2"/>
        <v>#DIV/0!</v>
      </c>
      <c r="G38" s="487">
        <f>SUM(G36:G37)</f>
        <v>0</v>
      </c>
      <c r="H38" s="487">
        <f>SUM(H36:H37)</f>
        <v>0</v>
      </c>
      <c r="I38" s="16" t="e">
        <f t="shared" si="3"/>
        <v>#DIV/0!</v>
      </c>
      <c r="J38" s="553"/>
      <c r="K38" s="553"/>
      <c r="L38" s="553"/>
      <c r="M38" s="554"/>
    </row>
    <row r="39" spans="1:13" s="8" customFormat="1" ht="12" customHeight="1">
      <c r="A39" s="573"/>
      <c r="B39" s="534" t="s">
        <v>30</v>
      </c>
      <c r="C39" s="534"/>
      <c r="D39" s="485">
        <f>SUM(D35,D38)</f>
        <v>35000</v>
      </c>
      <c r="E39" s="485">
        <f>SUM(E35,E38)</f>
        <v>0</v>
      </c>
      <c r="F39" s="19">
        <f t="shared" si="2"/>
        <v>0</v>
      </c>
      <c r="G39" s="485">
        <f>SUM(G35,G38)</f>
        <v>70000</v>
      </c>
      <c r="H39" s="485">
        <f>SUM(H35,H38)</f>
        <v>0</v>
      </c>
      <c r="I39" s="19">
        <f t="shared" si="3"/>
        <v>0</v>
      </c>
      <c r="J39" s="534"/>
      <c r="K39" s="534"/>
      <c r="L39" s="534"/>
      <c r="M39" s="543"/>
    </row>
    <row r="40" spans="1:13" s="8" customFormat="1">
      <c r="A40" s="569" t="s">
        <v>42</v>
      </c>
      <c r="B40" s="570"/>
      <c r="C40" s="570"/>
      <c r="D40" s="483">
        <v>300</v>
      </c>
      <c r="E40" s="510">
        <v>998</v>
      </c>
      <c r="F40" s="21">
        <f t="shared" si="2"/>
        <v>3.3266666666666667</v>
      </c>
      <c r="G40" s="483">
        <f>D40+'2017JAN'!G40</f>
        <v>600</v>
      </c>
      <c r="H40" s="483">
        <f>E40+'2017JAN'!H40</f>
        <v>1548</v>
      </c>
      <c r="I40" s="21">
        <f t="shared" si="3"/>
        <v>2.58</v>
      </c>
      <c r="J40" s="570"/>
      <c r="K40" s="570"/>
      <c r="L40" s="570"/>
      <c r="M40" s="571"/>
    </row>
    <row r="41" spans="1:13" s="8" customFormat="1">
      <c r="A41" s="569" t="s">
        <v>43</v>
      </c>
      <c r="B41" s="570"/>
      <c r="C41" s="570"/>
      <c r="D41" s="483">
        <v>2250</v>
      </c>
      <c r="E41" s="483">
        <v>0</v>
      </c>
      <c r="F41" s="21">
        <f t="shared" si="2"/>
        <v>0</v>
      </c>
      <c r="G41" s="483">
        <f>D41+'2017JAN'!G41</f>
        <v>4500</v>
      </c>
      <c r="H41" s="483">
        <f>E41+'2017JAN'!H41</f>
        <v>0</v>
      </c>
      <c r="I41" s="21">
        <f t="shared" si="3"/>
        <v>0</v>
      </c>
      <c r="J41" s="572" t="s">
        <v>44</v>
      </c>
      <c r="K41" s="570"/>
      <c r="L41" s="570"/>
      <c r="M41" s="571"/>
    </row>
    <row r="42" spans="1:13" s="8" customFormat="1">
      <c r="A42" s="569" t="s">
        <v>45</v>
      </c>
      <c r="B42" s="570"/>
      <c r="C42" s="570"/>
      <c r="D42" s="483">
        <v>17000</v>
      </c>
      <c r="E42" s="483">
        <v>51000</v>
      </c>
      <c r="F42" s="21">
        <f t="shared" si="2"/>
        <v>3</v>
      </c>
      <c r="G42" s="483">
        <f>D42+'2017JAN'!G42</f>
        <v>34000</v>
      </c>
      <c r="H42" s="483">
        <f>E42+'2017JAN'!H42</f>
        <v>51000</v>
      </c>
      <c r="I42" s="21">
        <f t="shared" si="3"/>
        <v>1.5</v>
      </c>
      <c r="J42" s="570"/>
      <c r="K42" s="570"/>
      <c r="L42" s="570"/>
      <c r="M42" s="571"/>
    </row>
    <row r="43" spans="1:13" s="8" customFormat="1">
      <c r="A43" s="587" t="s">
        <v>46</v>
      </c>
      <c r="B43" s="588"/>
      <c r="C43" s="589"/>
      <c r="D43" s="484">
        <f>SUM(D26,D32,D39,D40:D42)</f>
        <v>75087</v>
      </c>
      <c r="E43" s="484">
        <f>SUM(E26,E32,E39,E40:E42)</f>
        <v>69432</v>
      </c>
      <c r="F43" s="22">
        <f t="shared" si="2"/>
        <v>0.92468736265931517</v>
      </c>
      <c r="G43" s="484">
        <f>SUM(G26,G32,G39,G40:G42)</f>
        <v>149642</v>
      </c>
      <c r="H43" s="484">
        <f>SUM(H26,H32,H39,H40:H42)</f>
        <v>91113</v>
      </c>
      <c r="I43" s="22">
        <f t="shared" si="3"/>
        <v>0.60887317731652879</v>
      </c>
      <c r="J43" s="590" t="s">
        <v>15</v>
      </c>
      <c r="K43" s="591"/>
      <c r="L43" s="591"/>
      <c r="M43" s="592"/>
    </row>
    <row r="44" spans="1:13" s="8" customFormat="1">
      <c r="A44" s="587" t="s">
        <v>47</v>
      </c>
      <c r="B44" s="588"/>
      <c r="C44" s="589"/>
      <c r="D44" s="484">
        <f>D43-D40</f>
        <v>74787</v>
      </c>
      <c r="E44" s="484">
        <f>E43-E40</f>
        <v>68434</v>
      </c>
      <c r="F44" s="22">
        <f t="shared" si="2"/>
        <v>0.91505208124406645</v>
      </c>
      <c r="G44" s="484">
        <f>G43-G40</f>
        <v>149042</v>
      </c>
      <c r="H44" s="484">
        <f>H43-H40</f>
        <v>89565</v>
      </c>
      <c r="I44" s="22">
        <f t="shared" si="3"/>
        <v>0.60093799063351272</v>
      </c>
      <c r="J44" s="590" t="s">
        <v>15</v>
      </c>
      <c r="K44" s="591"/>
      <c r="L44" s="591"/>
      <c r="M44" s="592"/>
    </row>
    <row r="45" spans="1:13" s="8" customFormat="1" ht="14" thickBot="1">
      <c r="A45" s="575" t="s">
        <v>48</v>
      </c>
      <c r="B45" s="576"/>
      <c r="C45" s="577"/>
      <c r="D45" s="482">
        <f>D44-D42</f>
        <v>57787</v>
      </c>
      <c r="E45" s="482">
        <f>E44-E42</f>
        <v>17434</v>
      </c>
      <c r="F45" s="23">
        <f t="shared" si="2"/>
        <v>0.301694152664094</v>
      </c>
      <c r="G45" s="482">
        <f>G44-G42</f>
        <v>115042</v>
      </c>
      <c r="H45" s="482">
        <f>H44-H42</f>
        <v>38565</v>
      </c>
      <c r="I45" s="23">
        <f t="shared" si="3"/>
        <v>0.33522539594235151</v>
      </c>
      <c r="J45" s="578" t="s">
        <v>15</v>
      </c>
      <c r="K45" s="579"/>
      <c r="L45" s="579"/>
      <c r="M45" s="580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581" t="s">
        <v>50</v>
      </c>
      <c r="B49" s="582"/>
      <c r="C49" s="582"/>
      <c r="D49" s="582" t="s">
        <v>20</v>
      </c>
      <c r="E49" s="582"/>
      <c r="F49" s="582"/>
      <c r="G49" s="582" t="s">
        <v>21</v>
      </c>
      <c r="H49" s="582"/>
      <c r="I49" s="582"/>
      <c r="J49" s="582" t="s">
        <v>10</v>
      </c>
      <c r="K49" s="582"/>
      <c r="L49" s="582"/>
      <c r="M49" s="585"/>
    </row>
    <row r="50" spans="1:13">
      <c r="A50" s="583"/>
      <c r="B50" s="584"/>
      <c r="C50" s="584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584"/>
      <c r="K50" s="584"/>
      <c r="L50" s="584"/>
      <c r="M50" s="586"/>
    </row>
    <row r="51" spans="1:13" ht="13.5" customHeight="1">
      <c r="A51" s="593" t="s">
        <v>51</v>
      </c>
      <c r="B51" s="525" t="s">
        <v>29</v>
      </c>
      <c r="C51" s="27" t="s">
        <v>52</v>
      </c>
      <c r="D51" s="61">
        <v>5</v>
      </c>
      <c r="E51" s="490">
        <v>1</v>
      </c>
      <c r="F51" s="28">
        <f t="shared" ref="F51:F77" si="4">E51/D51</f>
        <v>0.2</v>
      </c>
      <c r="G51" s="479">
        <f>D51+'2017JAN'!G51</f>
        <v>10</v>
      </c>
      <c r="H51" s="479">
        <f>E51+'2017JAN'!H51</f>
        <v>3</v>
      </c>
      <c r="I51" s="28">
        <f t="shared" ref="I51:I77" si="5">H51/G51</f>
        <v>0.3</v>
      </c>
      <c r="J51" s="596"/>
      <c r="K51" s="597"/>
      <c r="L51" s="597"/>
      <c r="M51" s="598"/>
    </row>
    <row r="52" spans="1:13">
      <c r="A52" s="594"/>
      <c r="B52" s="525"/>
      <c r="C52" s="27" t="s">
        <v>53</v>
      </c>
      <c r="D52" s="61">
        <v>417</v>
      </c>
      <c r="E52" s="490">
        <v>405</v>
      </c>
      <c r="F52" s="28">
        <f t="shared" si="4"/>
        <v>0.97122302158273377</v>
      </c>
      <c r="G52" s="479">
        <f>D52+'2017JAN'!G52</f>
        <v>837</v>
      </c>
      <c r="H52" s="479">
        <f>E52+'2017JAN'!H52</f>
        <v>815</v>
      </c>
      <c r="I52" s="28">
        <f t="shared" si="5"/>
        <v>0.97371565113500602</v>
      </c>
      <c r="J52" s="596"/>
      <c r="K52" s="597"/>
      <c r="L52" s="597"/>
      <c r="M52" s="598"/>
    </row>
    <row r="53" spans="1:13">
      <c r="A53" s="595"/>
      <c r="B53" s="525"/>
      <c r="C53" s="29" t="s">
        <v>54</v>
      </c>
      <c r="D53" s="487">
        <f>SUM(D51:D52)</f>
        <v>422</v>
      </c>
      <c r="E53" s="487">
        <f>SUM(E51:E52)</f>
        <v>406</v>
      </c>
      <c r="F53" s="30">
        <f t="shared" si="4"/>
        <v>0.96208530805687209</v>
      </c>
      <c r="G53" s="487">
        <f>SUM(G51:G52)</f>
        <v>847</v>
      </c>
      <c r="H53" s="487">
        <f>SUM(H51:H52)</f>
        <v>818</v>
      </c>
      <c r="I53" s="30">
        <f t="shared" si="5"/>
        <v>0.96576151121605669</v>
      </c>
      <c r="J53" s="599"/>
      <c r="K53" s="600"/>
      <c r="L53" s="600"/>
      <c r="M53" s="601"/>
    </row>
    <row r="54" spans="1:13">
      <c r="A54" s="602" t="s">
        <v>55</v>
      </c>
      <c r="B54" s="525" t="s">
        <v>52</v>
      </c>
      <c r="C54" s="525"/>
      <c r="D54" s="61">
        <v>2</v>
      </c>
      <c r="E54" s="490">
        <v>3</v>
      </c>
      <c r="F54" s="28">
        <f t="shared" si="4"/>
        <v>1.5</v>
      </c>
      <c r="G54" s="479">
        <f>D54+'2017JAN'!G54</f>
        <v>4</v>
      </c>
      <c r="H54" s="479">
        <f>E54+'2017JAN'!H54</f>
        <v>3</v>
      </c>
      <c r="I54" s="28">
        <f t="shared" si="5"/>
        <v>0.75</v>
      </c>
      <c r="J54" s="596"/>
      <c r="K54" s="597"/>
      <c r="L54" s="597"/>
      <c r="M54" s="598"/>
    </row>
    <row r="55" spans="1:13">
      <c r="A55" s="602"/>
      <c r="B55" s="525" t="s">
        <v>53</v>
      </c>
      <c r="C55" s="525"/>
      <c r="D55" s="61">
        <v>311</v>
      </c>
      <c r="E55" s="490">
        <v>357</v>
      </c>
      <c r="F55" s="28">
        <f t="shared" si="4"/>
        <v>1.1479099678456592</v>
      </c>
      <c r="G55" s="479">
        <f>D55+'2017JAN'!G55</f>
        <v>624</v>
      </c>
      <c r="H55" s="479">
        <f>E55+'2017JAN'!H55</f>
        <v>718</v>
      </c>
      <c r="I55" s="28">
        <f t="shared" si="5"/>
        <v>1.1506410256410255</v>
      </c>
      <c r="J55" s="596"/>
      <c r="K55" s="597"/>
      <c r="L55" s="597"/>
      <c r="M55" s="598"/>
    </row>
    <row r="56" spans="1:13">
      <c r="A56" s="602"/>
      <c r="B56" s="603" t="s">
        <v>30</v>
      </c>
      <c r="C56" s="603"/>
      <c r="D56" s="474">
        <f>SUM(D54:D55)</f>
        <v>313</v>
      </c>
      <c r="E56" s="474">
        <f>SUM(E54:E55)</f>
        <v>360</v>
      </c>
      <c r="F56" s="28">
        <f t="shared" si="4"/>
        <v>1.1501597444089458</v>
      </c>
      <c r="G56" s="474">
        <f>SUM(G54:G55)</f>
        <v>628</v>
      </c>
      <c r="H56" s="474">
        <f>SUM(H54:H55)</f>
        <v>721</v>
      </c>
      <c r="I56" s="31">
        <f t="shared" si="5"/>
        <v>1.1480891719745223</v>
      </c>
      <c r="J56" s="604"/>
      <c r="K56" s="605"/>
      <c r="L56" s="605"/>
      <c r="M56" s="606"/>
    </row>
    <row r="57" spans="1:13" s="8" customFormat="1">
      <c r="A57" s="607" t="s">
        <v>46</v>
      </c>
      <c r="B57" s="609" t="s">
        <v>52</v>
      </c>
      <c r="C57" s="609"/>
      <c r="D57" s="473">
        <f>SUM(D51,D54)</f>
        <v>7</v>
      </c>
      <c r="E57" s="473">
        <f>SUM(E51,E54)</f>
        <v>4</v>
      </c>
      <c r="F57" s="32">
        <f t="shared" si="4"/>
        <v>0.5714285714285714</v>
      </c>
      <c r="G57" s="473">
        <f>SUM(G51,G54)</f>
        <v>14</v>
      </c>
      <c r="H57" s="473">
        <f>SUM(H51,H54)</f>
        <v>6</v>
      </c>
      <c r="I57" s="32">
        <f t="shared" si="5"/>
        <v>0.42857142857142855</v>
      </c>
      <c r="J57" s="610"/>
      <c r="K57" s="611"/>
      <c r="L57" s="611"/>
      <c r="M57" s="612"/>
    </row>
    <row r="58" spans="1:13" s="8" customFormat="1">
      <c r="A58" s="607"/>
      <c r="B58" s="609" t="s">
        <v>53</v>
      </c>
      <c r="C58" s="609"/>
      <c r="D58" s="473">
        <f>SUM(D52,D55)</f>
        <v>728</v>
      </c>
      <c r="E58" s="473">
        <f>SUM(E52,E55)</f>
        <v>762</v>
      </c>
      <c r="F58" s="32">
        <f t="shared" si="4"/>
        <v>1.0467032967032968</v>
      </c>
      <c r="G58" s="473">
        <f>SUM(G52,G55)</f>
        <v>1461</v>
      </c>
      <c r="H58" s="473">
        <f>SUM(H52,H55)</f>
        <v>1533</v>
      </c>
      <c r="I58" s="32">
        <f t="shared" si="5"/>
        <v>1.0492813141683779</v>
      </c>
      <c r="J58" s="610"/>
      <c r="K58" s="611"/>
      <c r="L58" s="611"/>
      <c r="M58" s="612"/>
    </row>
    <row r="59" spans="1:13" s="8" customFormat="1" ht="17.25" customHeight="1" thickBot="1">
      <c r="A59" s="608"/>
      <c r="B59" s="613" t="s">
        <v>56</v>
      </c>
      <c r="C59" s="613"/>
      <c r="D59" s="481">
        <f>SUM(D57:D58)</f>
        <v>735</v>
      </c>
      <c r="E59" s="481">
        <f>SUM(E57:E58)</f>
        <v>766</v>
      </c>
      <c r="F59" s="33">
        <f t="shared" si="4"/>
        <v>1.0421768707482992</v>
      </c>
      <c r="G59" s="481">
        <f>SUM(G57:G58)</f>
        <v>1475</v>
      </c>
      <c r="H59" s="481">
        <f>SUM(H57:H58)</f>
        <v>1539</v>
      </c>
      <c r="I59" s="33">
        <f t="shared" si="5"/>
        <v>1.0433898305084746</v>
      </c>
      <c r="J59" s="614"/>
      <c r="K59" s="615"/>
      <c r="L59" s="615"/>
      <c r="M59" s="616"/>
    </row>
    <row r="60" spans="1:13">
      <c r="A60" s="593" t="s">
        <v>57</v>
      </c>
      <c r="B60" s="525" t="s">
        <v>29</v>
      </c>
      <c r="C60" s="27" t="s">
        <v>52</v>
      </c>
      <c r="D60" s="61">
        <v>16</v>
      </c>
      <c r="E60" s="479">
        <f>E69/10</f>
        <v>2.2000000000000002</v>
      </c>
      <c r="F60" s="28">
        <f t="shared" si="4"/>
        <v>0.13750000000000001</v>
      </c>
      <c r="G60" s="479">
        <f>D60+'2017JAN'!G60</f>
        <v>32</v>
      </c>
      <c r="H60" s="479">
        <f>E60+'2017JAN'!H60</f>
        <v>6.5</v>
      </c>
      <c r="I60" s="28">
        <f t="shared" si="5"/>
        <v>0.203125</v>
      </c>
      <c r="J60" s="596"/>
      <c r="K60" s="597"/>
      <c r="L60" s="597"/>
      <c r="M60" s="598"/>
    </row>
    <row r="61" spans="1:13">
      <c r="A61" s="594"/>
      <c r="B61" s="525"/>
      <c r="C61" s="27" t="s">
        <v>53</v>
      </c>
      <c r="D61" s="61">
        <v>1363</v>
      </c>
      <c r="E61" s="479">
        <f>E70/10</f>
        <v>1153.5</v>
      </c>
      <c r="F61" s="28">
        <f t="shared" si="4"/>
        <v>0.84629493763756425</v>
      </c>
      <c r="G61" s="479">
        <f>D61+'2017JAN'!G61</f>
        <v>2736</v>
      </c>
      <c r="H61" s="479">
        <f>E61+'2017JAN'!H61</f>
        <v>2317.5</v>
      </c>
      <c r="I61" s="28">
        <f t="shared" si="5"/>
        <v>0.84703947368421051</v>
      </c>
      <c r="J61" s="596"/>
      <c r="K61" s="597"/>
      <c r="L61" s="597"/>
      <c r="M61" s="598"/>
    </row>
    <row r="62" spans="1:13">
      <c r="A62" s="595"/>
      <c r="B62" s="525"/>
      <c r="C62" s="29" t="s">
        <v>54</v>
      </c>
      <c r="D62" s="61">
        <f>SUM(D60:D61)</f>
        <v>1379</v>
      </c>
      <c r="E62" s="487">
        <f>SUM(E60:E61)</f>
        <v>1155.7</v>
      </c>
      <c r="F62" s="30">
        <f t="shared" si="4"/>
        <v>0.83807106598984771</v>
      </c>
      <c r="G62" s="487">
        <f>SUM(G60:G61)</f>
        <v>2768</v>
      </c>
      <c r="H62" s="487">
        <f>SUM(H60:H61)</f>
        <v>2324</v>
      </c>
      <c r="I62" s="30">
        <f t="shared" si="5"/>
        <v>0.83959537572254339</v>
      </c>
      <c r="J62" s="599"/>
      <c r="K62" s="600"/>
      <c r="L62" s="600"/>
      <c r="M62" s="601"/>
    </row>
    <row r="63" spans="1:13">
      <c r="A63" s="602" t="s">
        <v>58</v>
      </c>
      <c r="B63" s="525" t="s">
        <v>52</v>
      </c>
      <c r="C63" s="525"/>
      <c r="D63" s="61">
        <v>2</v>
      </c>
      <c r="E63" s="479">
        <f>E72/10</f>
        <v>7.4</v>
      </c>
      <c r="F63" s="28">
        <f t="shared" si="4"/>
        <v>3.7</v>
      </c>
      <c r="G63" s="479">
        <f>D63+'2017JAN'!G63</f>
        <v>4</v>
      </c>
      <c r="H63" s="479">
        <f>E63+'2017JAN'!H63</f>
        <v>7.4</v>
      </c>
      <c r="I63" s="28">
        <f t="shared" si="5"/>
        <v>1.85</v>
      </c>
      <c r="J63" s="596"/>
      <c r="K63" s="597"/>
      <c r="L63" s="597"/>
      <c r="M63" s="598"/>
    </row>
    <row r="64" spans="1:13">
      <c r="A64" s="602"/>
      <c r="B64" s="525" t="s">
        <v>53</v>
      </c>
      <c r="C64" s="525"/>
      <c r="D64" s="61">
        <v>466</v>
      </c>
      <c r="E64" s="479">
        <f>E73/10</f>
        <v>408.7</v>
      </c>
      <c r="F64" s="28">
        <f t="shared" si="4"/>
        <v>0.87703862660944198</v>
      </c>
      <c r="G64" s="479">
        <f>D64+'2017JAN'!G64</f>
        <v>936</v>
      </c>
      <c r="H64" s="479">
        <f>E64+'2017JAN'!H64</f>
        <v>830.9</v>
      </c>
      <c r="I64" s="28">
        <f t="shared" si="5"/>
        <v>0.88771367521367517</v>
      </c>
      <c r="J64" s="596"/>
      <c r="K64" s="597"/>
      <c r="L64" s="597"/>
      <c r="M64" s="598"/>
    </row>
    <row r="65" spans="1:14">
      <c r="A65" s="602"/>
      <c r="B65" s="603" t="s">
        <v>30</v>
      </c>
      <c r="C65" s="603"/>
      <c r="D65" s="474">
        <f>SUM(D63:D64)</f>
        <v>468</v>
      </c>
      <c r="E65" s="474">
        <f>SUM(E63:E64)</f>
        <v>416.09999999999997</v>
      </c>
      <c r="F65" s="31">
        <f t="shared" si="4"/>
        <v>0.88910256410256405</v>
      </c>
      <c r="G65" s="474">
        <f>SUM(G63:G64)</f>
        <v>940</v>
      </c>
      <c r="H65" s="474">
        <f>SUM(H63:H64)</f>
        <v>838.3</v>
      </c>
      <c r="I65" s="31">
        <f t="shared" si="5"/>
        <v>0.8918085106382978</v>
      </c>
      <c r="J65" s="604"/>
      <c r="K65" s="605"/>
      <c r="L65" s="605"/>
      <c r="M65" s="606"/>
    </row>
    <row r="66" spans="1:14" s="8" customFormat="1">
      <c r="A66" s="607" t="s">
        <v>46</v>
      </c>
      <c r="B66" s="609" t="s">
        <v>52</v>
      </c>
      <c r="C66" s="609"/>
      <c r="D66" s="473">
        <f>SUM(D60,D63)</f>
        <v>18</v>
      </c>
      <c r="E66" s="473">
        <f>SUM(E60,E63)</f>
        <v>9.6000000000000014</v>
      </c>
      <c r="F66" s="32">
        <f t="shared" si="4"/>
        <v>0.53333333333333344</v>
      </c>
      <c r="G66" s="473">
        <f>SUM(G60,G63)</f>
        <v>36</v>
      </c>
      <c r="H66" s="473">
        <f>SUM(H60,H63)</f>
        <v>13.9</v>
      </c>
      <c r="I66" s="32">
        <f t="shared" si="5"/>
        <v>0.38611111111111113</v>
      </c>
      <c r="J66" s="610"/>
      <c r="K66" s="611"/>
      <c r="L66" s="611"/>
      <c r="M66" s="612"/>
    </row>
    <row r="67" spans="1:14" s="8" customFormat="1">
      <c r="A67" s="607"/>
      <c r="B67" s="609" t="s">
        <v>53</v>
      </c>
      <c r="C67" s="609"/>
      <c r="D67" s="473">
        <f>SUM(D61,D64)</f>
        <v>1829</v>
      </c>
      <c r="E67" s="473">
        <f>SUM(E61,E64)</f>
        <v>1562.2</v>
      </c>
      <c r="F67" s="32">
        <f t="shared" si="4"/>
        <v>0.85412793876435211</v>
      </c>
      <c r="G67" s="473">
        <f>SUM(G61,G64)</f>
        <v>3672</v>
      </c>
      <c r="H67" s="473">
        <f>SUM(H61,H64)</f>
        <v>3148.4</v>
      </c>
      <c r="I67" s="32">
        <f t="shared" si="5"/>
        <v>0.8574074074074074</v>
      </c>
      <c r="J67" s="610"/>
      <c r="K67" s="611"/>
      <c r="L67" s="611"/>
      <c r="M67" s="612"/>
    </row>
    <row r="68" spans="1:14" s="8" customFormat="1" ht="14" thickBot="1">
      <c r="A68" s="608"/>
      <c r="B68" s="613" t="s">
        <v>59</v>
      </c>
      <c r="C68" s="613"/>
      <c r="D68" s="481">
        <f>SUM(D66:D67)</f>
        <v>1847</v>
      </c>
      <c r="E68" s="481">
        <f>SUM(E66:E67)</f>
        <v>1571.8</v>
      </c>
      <c r="F68" s="34">
        <f t="shared" si="4"/>
        <v>0.85100162425554948</v>
      </c>
      <c r="G68" s="481">
        <f>SUM(G66:G67)</f>
        <v>3708</v>
      </c>
      <c r="H68" s="481">
        <f>SUM(H66:H67)</f>
        <v>3162.3</v>
      </c>
      <c r="I68" s="34">
        <f t="shared" si="5"/>
        <v>0.85283171521035606</v>
      </c>
      <c r="J68" s="614"/>
      <c r="K68" s="615"/>
      <c r="L68" s="615"/>
      <c r="M68" s="616"/>
    </row>
    <row r="69" spans="1:14">
      <c r="A69" s="593" t="s">
        <v>60</v>
      </c>
      <c r="B69" s="525" t="s">
        <v>29</v>
      </c>
      <c r="C69" s="27" t="s">
        <v>52</v>
      </c>
      <c r="D69" s="479">
        <v>310</v>
      </c>
      <c r="E69" s="490">
        <v>22</v>
      </c>
      <c r="F69" s="28">
        <f t="shared" si="4"/>
        <v>7.0967741935483872E-2</v>
      </c>
      <c r="G69" s="479">
        <f>D69+'2017JAN'!G69</f>
        <v>465</v>
      </c>
      <c r="H69" s="479">
        <f>E69+'2017JAN'!H69</f>
        <v>65</v>
      </c>
      <c r="I69" s="28">
        <f t="shared" si="5"/>
        <v>0.13978494623655913</v>
      </c>
      <c r="J69" s="596"/>
      <c r="K69" s="597"/>
      <c r="L69" s="597"/>
      <c r="M69" s="598"/>
    </row>
    <row r="70" spans="1:14">
      <c r="A70" s="594"/>
      <c r="B70" s="525"/>
      <c r="C70" s="27" t="s">
        <v>53</v>
      </c>
      <c r="D70" s="479">
        <v>13628</v>
      </c>
      <c r="E70" s="479">
        <f>E21-E69</f>
        <v>11535</v>
      </c>
      <c r="F70" s="28">
        <f t="shared" si="4"/>
        <v>0.84641913707073668</v>
      </c>
      <c r="G70" s="479">
        <f>D70+'2017JAN'!G70</f>
        <v>27363</v>
      </c>
      <c r="H70" s="479">
        <f>E70+'2017JAN'!H70</f>
        <v>23175</v>
      </c>
      <c r="I70" s="28">
        <f t="shared" si="5"/>
        <v>0.84694660673171807</v>
      </c>
      <c r="J70" s="596"/>
      <c r="K70" s="597"/>
      <c r="L70" s="597"/>
      <c r="M70" s="598"/>
    </row>
    <row r="71" spans="1:14">
      <c r="A71" s="595"/>
      <c r="B71" s="525"/>
      <c r="C71" s="29" t="s">
        <v>54</v>
      </c>
      <c r="D71" s="487">
        <f>SUM(D69:D70)</f>
        <v>13938</v>
      </c>
      <c r="E71" s="487">
        <f>SUM(E69:E70)</f>
        <v>11557</v>
      </c>
      <c r="F71" s="30">
        <f t="shared" si="4"/>
        <v>0.82917204763954655</v>
      </c>
      <c r="G71" s="487">
        <f>SUM(G69:G70)</f>
        <v>27828</v>
      </c>
      <c r="H71" s="487">
        <f>SUM(H69:H70)</f>
        <v>23240</v>
      </c>
      <c r="I71" s="30">
        <f t="shared" si="5"/>
        <v>0.8351300848066695</v>
      </c>
      <c r="J71" s="599"/>
      <c r="K71" s="600"/>
      <c r="L71" s="600"/>
      <c r="M71" s="601"/>
    </row>
    <row r="72" spans="1:14">
      <c r="A72" s="602" t="s">
        <v>61</v>
      </c>
      <c r="B72" s="525" t="s">
        <v>52</v>
      </c>
      <c r="C72" s="525"/>
      <c r="D72" s="479">
        <v>40</v>
      </c>
      <c r="E72" s="490">
        <v>74</v>
      </c>
      <c r="F72" s="28">
        <f t="shared" si="4"/>
        <v>1.85</v>
      </c>
      <c r="G72" s="479">
        <f>D72+'2017JAN'!G72</f>
        <v>60</v>
      </c>
      <c r="H72" s="479">
        <f>E72+'2017JAN'!H72</f>
        <v>74</v>
      </c>
      <c r="I72" s="28">
        <f t="shared" si="5"/>
        <v>1.2333333333333334</v>
      </c>
      <c r="J72" s="596"/>
      <c r="K72" s="597"/>
      <c r="L72" s="597"/>
      <c r="M72" s="598"/>
    </row>
    <row r="73" spans="1:14">
      <c r="A73" s="602"/>
      <c r="B73" s="525" t="s">
        <v>53</v>
      </c>
      <c r="C73" s="525"/>
      <c r="D73" s="479">
        <v>4659</v>
      </c>
      <c r="E73" s="479">
        <f>E23-E72</f>
        <v>4087</v>
      </c>
      <c r="F73" s="28">
        <f t="shared" si="4"/>
        <v>0.87722687271946764</v>
      </c>
      <c r="G73" s="479">
        <f>D73+'2017JAN'!G73</f>
        <v>9354</v>
      </c>
      <c r="H73" s="479">
        <f>E73+'2017JAN'!H73</f>
        <v>8309</v>
      </c>
      <c r="I73" s="28">
        <f t="shared" si="5"/>
        <v>0.88828308744921958</v>
      </c>
      <c r="J73" s="596"/>
      <c r="K73" s="597"/>
      <c r="L73" s="597"/>
      <c r="M73" s="598"/>
    </row>
    <row r="74" spans="1:14">
      <c r="A74" s="602"/>
      <c r="B74" s="603" t="s">
        <v>30</v>
      </c>
      <c r="C74" s="603"/>
      <c r="D74" s="474">
        <f>SUM(D72:D73)</f>
        <v>4699</v>
      </c>
      <c r="E74" s="474">
        <f>SUM(E72:E73)</f>
        <v>4161</v>
      </c>
      <c r="F74" s="31">
        <f t="shared" si="4"/>
        <v>0.88550755479889343</v>
      </c>
      <c r="G74" s="474">
        <f>SUM(G72:G73)</f>
        <v>9414</v>
      </c>
      <c r="H74" s="474">
        <f>SUM(H72:H73)</f>
        <v>8383</v>
      </c>
      <c r="I74" s="31">
        <f t="shared" si="5"/>
        <v>0.89048226046314005</v>
      </c>
      <c r="J74" s="604"/>
      <c r="K74" s="605"/>
      <c r="L74" s="605"/>
      <c r="M74" s="606"/>
    </row>
    <row r="75" spans="1:14" s="8" customFormat="1">
      <c r="A75" s="607" t="s">
        <v>46</v>
      </c>
      <c r="B75" s="609" t="s">
        <v>52</v>
      </c>
      <c r="C75" s="609"/>
      <c r="D75" s="473">
        <f>SUM(D69,D72)</f>
        <v>350</v>
      </c>
      <c r="E75" s="473">
        <f>SUM(E69,E72)</f>
        <v>96</v>
      </c>
      <c r="F75" s="32">
        <f t="shared" si="4"/>
        <v>0.2742857142857143</v>
      </c>
      <c r="G75" s="473">
        <f>SUM(G69,G72)</f>
        <v>525</v>
      </c>
      <c r="H75" s="473">
        <f>SUM(H69,H72)</f>
        <v>139</v>
      </c>
      <c r="I75" s="32">
        <f t="shared" si="5"/>
        <v>0.26476190476190475</v>
      </c>
      <c r="J75" s="610"/>
      <c r="K75" s="611"/>
      <c r="L75" s="611"/>
      <c r="M75" s="612"/>
    </row>
    <row r="76" spans="1:14" s="8" customFormat="1">
      <c r="A76" s="607"/>
      <c r="B76" s="609" t="s">
        <v>53</v>
      </c>
      <c r="C76" s="609"/>
      <c r="D76" s="473">
        <f>SUM(D70,D73)</f>
        <v>18287</v>
      </c>
      <c r="E76" s="473">
        <f>SUM(E70,E73)</f>
        <v>15622</v>
      </c>
      <c r="F76" s="32">
        <f t="shared" si="4"/>
        <v>0.85426805927708205</v>
      </c>
      <c r="G76" s="473">
        <f>SUM(G70,G73)</f>
        <v>36717</v>
      </c>
      <c r="H76" s="473">
        <f>SUM(H70,H73)</f>
        <v>31484</v>
      </c>
      <c r="I76" s="32">
        <f t="shared" si="5"/>
        <v>0.85747746275567172</v>
      </c>
      <c r="J76" s="610"/>
      <c r="K76" s="611"/>
      <c r="L76" s="611"/>
      <c r="M76" s="612"/>
    </row>
    <row r="77" spans="1:14" s="8" customFormat="1" ht="14" thickBot="1">
      <c r="A77" s="608"/>
      <c r="B77" s="613" t="s">
        <v>62</v>
      </c>
      <c r="C77" s="613"/>
      <c r="D77" s="481">
        <f>SUM(D75:D76)</f>
        <v>18637</v>
      </c>
      <c r="E77" s="481">
        <f>SUM(E75:E76)</f>
        <v>15718</v>
      </c>
      <c r="F77" s="34">
        <f t="shared" si="4"/>
        <v>0.84337607984117613</v>
      </c>
      <c r="G77" s="481">
        <f>SUM(G75:G76)</f>
        <v>37242</v>
      </c>
      <c r="H77" s="481">
        <f>SUM(H75:H76)</f>
        <v>31623</v>
      </c>
      <c r="I77" s="34">
        <f t="shared" si="5"/>
        <v>0.84912195907845978</v>
      </c>
      <c r="J77" s="614"/>
      <c r="K77" s="615"/>
      <c r="L77" s="615"/>
      <c r="M77" s="616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581" t="s">
        <v>65</v>
      </c>
      <c r="B82" s="582" t="s">
        <v>66</v>
      </c>
      <c r="C82" s="582" t="s">
        <v>50</v>
      </c>
      <c r="D82" s="582" t="s">
        <v>20</v>
      </c>
      <c r="E82" s="582"/>
      <c r="F82" s="582"/>
      <c r="G82" s="582" t="s">
        <v>21</v>
      </c>
      <c r="H82" s="582"/>
      <c r="I82" s="582"/>
      <c r="J82" s="582" t="s">
        <v>10</v>
      </c>
      <c r="K82" s="582"/>
      <c r="L82" s="582"/>
      <c r="M82" s="585"/>
    </row>
    <row r="83" spans="1:13">
      <c r="A83" s="583"/>
      <c r="B83" s="584"/>
      <c r="C83" s="584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584"/>
      <c r="K83" s="584"/>
      <c r="L83" s="584"/>
      <c r="M83" s="586"/>
    </row>
    <row r="84" spans="1:13">
      <c r="A84" s="573" t="s">
        <v>67</v>
      </c>
      <c r="B84" s="525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D84+'2017JAN'!G84</f>
        <v>2</v>
      </c>
      <c r="H84" s="479">
        <f>E84+'2017JAN'!H84</f>
        <v>0</v>
      </c>
      <c r="I84" s="498">
        <f>H84/G84</f>
        <v>0</v>
      </c>
      <c r="J84" s="596"/>
      <c r="K84" s="597"/>
      <c r="L84" s="597"/>
      <c r="M84" s="598"/>
    </row>
    <row r="85" spans="1:13">
      <c r="A85" s="573"/>
      <c r="B85" s="525"/>
      <c r="C85" s="27" t="s">
        <v>70</v>
      </c>
      <c r="D85" s="479">
        <v>85</v>
      </c>
      <c r="E85" s="490">
        <v>69</v>
      </c>
      <c r="F85" s="28">
        <f t="shared" ref="F85:F98" si="6">E85/D85</f>
        <v>0.81176470588235294</v>
      </c>
      <c r="G85" s="479">
        <f>D85+'2017JAN'!G85</f>
        <v>168</v>
      </c>
      <c r="H85" s="479">
        <f>E85+'2017JAN'!H85</f>
        <v>138</v>
      </c>
      <c r="I85" s="28">
        <f t="shared" ref="I85:I98" si="7">H85/G85</f>
        <v>0.8214285714285714</v>
      </c>
      <c r="J85" s="596"/>
      <c r="K85" s="597"/>
      <c r="L85" s="597"/>
      <c r="M85" s="598"/>
    </row>
    <row r="86" spans="1:13">
      <c r="A86" s="573"/>
      <c r="B86" s="525"/>
      <c r="C86" s="38" t="s">
        <v>71</v>
      </c>
      <c r="D86" s="487">
        <f>SUM(D84:D85)</f>
        <v>85</v>
      </c>
      <c r="E86" s="487">
        <f>SUM(E84:E85)</f>
        <v>69</v>
      </c>
      <c r="F86" s="30">
        <f t="shared" si="6"/>
        <v>0.81176470588235294</v>
      </c>
      <c r="G86" s="487">
        <f>SUM(G84:G85)</f>
        <v>170</v>
      </c>
      <c r="H86" s="487">
        <f>SUM(H84:H85)</f>
        <v>138</v>
      </c>
      <c r="I86" s="30">
        <f t="shared" si="7"/>
        <v>0.81176470588235294</v>
      </c>
      <c r="J86" s="599"/>
      <c r="K86" s="600"/>
      <c r="L86" s="600"/>
      <c r="M86" s="601"/>
    </row>
    <row r="87" spans="1:13">
      <c r="A87" s="573"/>
      <c r="B87" s="525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D87+'2017JAN'!G87</f>
        <v>1</v>
      </c>
      <c r="H87" s="479">
        <f>E87+'2017JAN'!H87</f>
        <v>0</v>
      </c>
      <c r="I87" s="28">
        <f t="shared" si="7"/>
        <v>0</v>
      </c>
      <c r="J87" s="596"/>
      <c r="K87" s="597"/>
      <c r="L87" s="597"/>
      <c r="M87" s="598"/>
    </row>
    <row r="88" spans="1:13">
      <c r="A88" s="573"/>
      <c r="B88" s="525"/>
      <c r="C88" s="27" t="s">
        <v>70</v>
      </c>
      <c r="D88" s="479">
        <v>20</v>
      </c>
      <c r="E88" s="490">
        <v>17.5</v>
      </c>
      <c r="F88" s="28">
        <f t="shared" si="6"/>
        <v>0.875</v>
      </c>
      <c r="G88" s="479">
        <f>D88+'2017JAN'!G88</f>
        <v>39</v>
      </c>
      <c r="H88" s="479">
        <f>E88+'2017JAN'!H88</f>
        <v>35</v>
      </c>
      <c r="I88" s="28">
        <f t="shared" si="7"/>
        <v>0.89743589743589747</v>
      </c>
      <c r="J88" s="596"/>
      <c r="K88" s="597"/>
      <c r="L88" s="597"/>
      <c r="M88" s="598"/>
    </row>
    <row r="89" spans="1:13">
      <c r="A89" s="573"/>
      <c r="B89" s="525"/>
      <c r="C89" s="38" t="s">
        <v>71</v>
      </c>
      <c r="D89" s="487">
        <f>SUM(D87:D88)</f>
        <v>20</v>
      </c>
      <c r="E89" s="487">
        <f>SUM(E87:E88)</f>
        <v>17.5</v>
      </c>
      <c r="F89" s="30">
        <f t="shared" si="6"/>
        <v>0.875</v>
      </c>
      <c r="G89" s="487">
        <f>SUM(G87:G88)</f>
        <v>40</v>
      </c>
      <c r="H89" s="487">
        <f>SUM(H87:H88)</f>
        <v>35</v>
      </c>
      <c r="I89" s="30">
        <f t="shared" si="7"/>
        <v>0.875</v>
      </c>
      <c r="J89" s="599"/>
      <c r="K89" s="600"/>
      <c r="L89" s="600"/>
      <c r="M89" s="601"/>
    </row>
    <row r="90" spans="1:13">
      <c r="A90" s="573"/>
      <c r="B90" s="525" t="s">
        <v>73</v>
      </c>
      <c r="C90" s="27" t="s">
        <v>69</v>
      </c>
      <c r="D90" s="479">
        <v>0</v>
      </c>
      <c r="E90" s="490">
        <v>0</v>
      </c>
      <c r="F90" s="28" t="e">
        <f t="shared" si="6"/>
        <v>#DIV/0!</v>
      </c>
      <c r="G90" s="479">
        <f>D90+'2017JAN'!G90</f>
        <v>1</v>
      </c>
      <c r="H90" s="479">
        <f>E90+'2017JAN'!H90</f>
        <v>0</v>
      </c>
      <c r="I90" s="28">
        <f t="shared" si="7"/>
        <v>0</v>
      </c>
      <c r="J90" s="596"/>
      <c r="K90" s="597"/>
      <c r="L90" s="597"/>
      <c r="M90" s="598"/>
    </row>
    <row r="91" spans="1:13">
      <c r="A91" s="573"/>
      <c r="B91" s="525"/>
      <c r="C91" s="27" t="s">
        <v>70</v>
      </c>
      <c r="D91" s="479">
        <v>50</v>
      </c>
      <c r="E91" s="490">
        <v>46</v>
      </c>
      <c r="F91" s="28">
        <f t="shared" si="6"/>
        <v>0.92</v>
      </c>
      <c r="G91" s="479">
        <f>D91+'2017JAN'!G91</f>
        <v>99</v>
      </c>
      <c r="H91" s="479">
        <f>E91+'2017JAN'!H91</f>
        <v>92</v>
      </c>
      <c r="I91" s="28">
        <f t="shared" si="7"/>
        <v>0.92929292929292928</v>
      </c>
      <c r="J91" s="596"/>
      <c r="K91" s="597"/>
      <c r="L91" s="597"/>
      <c r="M91" s="598"/>
    </row>
    <row r="92" spans="1:13">
      <c r="A92" s="573"/>
      <c r="B92" s="525"/>
      <c r="C92" s="38" t="s">
        <v>71</v>
      </c>
      <c r="D92" s="487">
        <f>SUM(D90:D91)</f>
        <v>50</v>
      </c>
      <c r="E92" s="487">
        <f>SUM(E90:E91)</f>
        <v>46</v>
      </c>
      <c r="F92" s="30">
        <f t="shared" si="6"/>
        <v>0.92</v>
      </c>
      <c r="G92" s="487">
        <f>SUM(G90:G91)</f>
        <v>100</v>
      </c>
      <c r="H92" s="487">
        <f>SUM(H90:H91)</f>
        <v>92</v>
      </c>
      <c r="I92" s="30">
        <f t="shared" si="7"/>
        <v>0.92</v>
      </c>
      <c r="J92" s="599"/>
      <c r="K92" s="600"/>
      <c r="L92" s="600"/>
      <c r="M92" s="601"/>
    </row>
    <row r="93" spans="1:13">
      <c r="A93" s="573"/>
      <c r="B93" s="525" t="s">
        <v>74</v>
      </c>
      <c r="C93" s="27" t="s">
        <v>69</v>
      </c>
      <c r="D93" s="479">
        <v>0</v>
      </c>
      <c r="E93" s="490">
        <v>0.5</v>
      </c>
      <c r="F93" s="28" t="e">
        <f t="shared" si="6"/>
        <v>#DIV/0!</v>
      </c>
      <c r="G93" s="479">
        <f>D93+'2017JAN'!G93</f>
        <v>3</v>
      </c>
      <c r="H93" s="479">
        <f>E93+'2017JAN'!H93</f>
        <v>1.5</v>
      </c>
      <c r="I93" s="28">
        <f t="shared" si="7"/>
        <v>0.5</v>
      </c>
      <c r="J93" s="596"/>
      <c r="K93" s="597"/>
      <c r="L93" s="597"/>
      <c r="M93" s="598"/>
    </row>
    <row r="94" spans="1:13">
      <c r="A94" s="573"/>
      <c r="B94" s="525"/>
      <c r="C94" s="27" t="s">
        <v>70</v>
      </c>
      <c r="D94" s="479">
        <v>92</v>
      </c>
      <c r="E94" s="490">
        <v>83</v>
      </c>
      <c r="F94" s="28">
        <f t="shared" si="6"/>
        <v>0.90217391304347827</v>
      </c>
      <c r="G94" s="479">
        <f>D94+'2017JAN'!G94</f>
        <v>181</v>
      </c>
      <c r="H94" s="479">
        <f>E94+'2017JAN'!H94</f>
        <v>166.5</v>
      </c>
      <c r="I94" s="28">
        <f t="shared" si="7"/>
        <v>0.91988950276243098</v>
      </c>
      <c r="J94" s="596"/>
      <c r="K94" s="597"/>
      <c r="L94" s="597"/>
      <c r="M94" s="598"/>
    </row>
    <row r="95" spans="1:13">
      <c r="A95" s="573"/>
      <c r="B95" s="525"/>
      <c r="C95" s="38" t="s">
        <v>71</v>
      </c>
      <c r="D95" s="487">
        <f>SUM(D93:D94)</f>
        <v>92</v>
      </c>
      <c r="E95" s="487">
        <f>SUM(E93:E94)</f>
        <v>83.5</v>
      </c>
      <c r="F95" s="30">
        <f t="shared" si="6"/>
        <v>0.90760869565217395</v>
      </c>
      <c r="G95" s="487">
        <f>SUM(G93:G94)</f>
        <v>184</v>
      </c>
      <c r="H95" s="487">
        <f>SUM(H93:H94)</f>
        <v>168</v>
      </c>
      <c r="I95" s="30">
        <f t="shared" si="7"/>
        <v>0.91304347826086951</v>
      </c>
      <c r="J95" s="599"/>
      <c r="K95" s="600"/>
      <c r="L95" s="600"/>
      <c r="M95" s="601"/>
    </row>
    <row r="96" spans="1:13">
      <c r="A96" s="573"/>
      <c r="B96" s="603" t="s">
        <v>46</v>
      </c>
      <c r="C96" s="39" t="s">
        <v>69</v>
      </c>
      <c r="D96" s="474">
        <f>SUM(D84,D87,D90,D93)</f>
        <v>0</v>
      </c>
      <c r="E96" s="474">
        <f>SUM(E84,E87,E90,E93)</f>
        <v>0.5</v>
      </c>
      <c r="F96" s="31" t="e">
        <f t="shared" si="6"/>
        <v>#DIV/0!</v>
      </c>
      <c r="G96" s="474">
        <f>SUM(G84,G87,G90,G93)</f>
        <v>7</v>
      </c>
      <c r="H96" s="474">
        <f>SUM(H84,H87,H90,H93)</f>
        <v>1.5</v>
      </c>
      <c r="I96" s="31">
        <f t="shared" si="7"/>
        <v>0.21428571428571427</v>
      </c>
      <c r="J96" s="604"/>
      <c r="K96" s="605"/>
      <c r="L96" s="605"/>
      <c r="M96" s="606"/>
    </row>
    <row r="97" spans="1:13">
      <c r="A97" s="573"/>
      <c r="B97" s="603"/>
      <c r="C97" s="39" t="s">
        <v>70</v>
      </c>
      <c r="D97" s="474">
        <f>SUM(D85,D88,D91,D94)</f>
        <v>247</v>
      </c>
      <c r="E97" s="474">
        <f>SUM(E85,E88,E91,E94)</f>
        <v>215.5</v>
      </c>
      <c r="F97" s="31">
        <f t="shared" si="6"/>
        <v>0.87246963562753033</v>
      </c>
      <c r="G97" s="474">
        <f>SUM(G85,G88,G91,G94)</f>
        <v>487</v>
      </c>
      <c r="H97" s="474">
        <f>SUM(H85,H88,H91,H94)</f>
        <v>431.5</v>
      </c>
      <c r="I97" s="31">
        <f t="shared" si="7"/>
        <v>0.88603696098562623</v>
      </c>
      <c r="J97" s="604"/>
      <c r="K97" s="605"/>
      <c r="L97" s="605"/>
      <c r="M97" s="606"/>
    </row>
    <row r="98" spans="1:13" ht="14" thickBot="1">
      <c r="A98" s="623"/>
      <c r="B98" s="624"/>
      <c r="C98" s="40" t="s">
        <v>46</v>
      </c>
      <c r="D98" s="475">
        <f>SUM(D96:D97)</f>
        <v>247</v>
      </c>
      <c r="E98" s="475">
        <f>SUM(E96:E97)</f>
        <v>216</v>
      </c>
      <c r="F98" s="41">
        <f t="shared" si="6"/>
        <v>0.87449392712550611</v>
      </c>
      <c r="G98" s="475">
        <f>SUM(G96:G97)</f>
        <v>494</v>
      </c>
      <c r="H98" s="475">
        <f>SUM(H96:H97)</f>
        <v>433</v>
      </c>
      <c r="I98" s="41">
        <f t="shared" si="7"/>
        <v>0.87651821862348178</v>
      </c>
      <c r="J98" s="625"/>
      <c r="K98" s="626"/>
      <c r="L98" s="626"/>
      <c r="M98" s="627"/>
    </row>
    <row r="99" spans="1:13">
      <c r="A99" s="617" t="s">
        <v>75</v>
      </c>
      <c r="B99" s="619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D99+'2017JAN'!G99</f>
        <v>2</v>
      </c>
      <c r="H99" s="478">
        <f>E99+'2017JAN'!H99</f>
        <v>0</v>
      </c>
      <c r="I99" s="499">
        <f>H99/G99</f>
        <v>0</v>
      </c>
      <c r="J99" s="620"/>
      <c r="K99" s="621"/>
      <c r="L99" s="621"/>
      <c r="M99" s="622"/>
    </row>
    <row r="100" spans="1:13" ht="13.5" customHeight="1">
      <c r="A100" s="562"/>
      <c r="B100" s="525"/>
      <c r="C100" s="27" t="s">
        <v>70</v>
      </c>
      <c r="D100" s="479">
        <v>75</v>
      </c>
      <c r="E100" s="490">
        <v>59</v>
      </c>
      <c r="F100" s="28">
        <f t="shared" ref="F100:F109" si="8">E100/D100</f>
        <v>0.78666666666666663</v>
      </c>
      <c r="G100" s="476">
        <f>D100+'2017JAN'!G100</f>
        <v>148</v>
      </c>
      <c r="H100" s="476">
        <f>E100+'2017JAN'!H100</f>
        <v>118</v>
      </c>
      <c r="I100" s="28">
        <f t="shared" ref="I100:I109" si="9">H100/G100</f>
        <v>0.79729729729729726</v>
      </c>
      <c r="J100" s="596"/>
      <c r="K100" s="597"/>
      <c r="L100" s="597"/>
      <c r="M100" s="598"/>
    </row>
    <row r="101" spans="1:13" ht="13.5" customHeight="1">
      <c r="A101" s="562"/>
      <c r="B101" s="525"/>
      <c r="C101" s="38" t="s">
        <v>71</v>
      </c>
      <c r="D101" s="487">
        <f>SUM(D99:D100)</f>
        <v>75</v>
      </c>
      <c r="E101" s="487">
        <f>SUM(E99:E100)</f>
        <v>59</v>
      </c>
      <c r="F101" s="30">
        <f t="shared" si="8"/>
        <v>0.78666666666666663</v>
      </c>
      <c r="G101" s="487">
        <f>SUM(G99:G100)</f>
        <v>150</v>
      </c>
      <c r="H101" s="487">
        <f>SUM(H99:H100)</f>
        <v>118</v>
      </c>
      <c r="I101" s="30">
        <f t="shared" si="9"/>
        <v>0.78666666666666663</v>
      </c>
      <c r="J101" s="599"/>
      <c r="K101" s="600"/>
      <c r="L101" s="600"/>
      <c r="M101" s="601"/>
    </row>
    <row r="102" spans="1:13" ht="13.5" customHeight="1">
      <c r="A102" s="562"/>
      <c r="B102" s="525" t="s">
        <v>77</v>
      </c>
      <c r="C102" s="27" t="s">
        <v>69</v>
      </c>
      <c r="D102" s="479">
        <v>0</v>
      </c>
      <c r="E102" s="490">
        <v>0</v>
      </c>
      <c r="F102" s="28" t="e">
        <f t="shared" si="8"/>
        <v>#DIV/0!</v>
      </c>
      <c r="G102" s="479">
        <f>D102+'2017JAN'!G102</f>
        <v>2</v>
      </c>
      <c r="H102" s="479">
        <f>E102+'2017JAN'!H102</f>
        <v>0</v>
      </c>
      <c r="I102" s="28">
        <f t="shared" si="9"/>
        <v>0</v>
      </c>
      <c r="J102" s="596"/>
      <c r="K102" s="597"/>
      <c r="L102" s="597"/>
      <c r="M102" s="598"/>
    </row>
    <row r="103" spans="1:13" ht="13.5" customHeight="1">
      <c r="A103" s="562"/>
      <c r="B103" s="525"/>
      <c r="C103" s="27" t="s">
        <v>70</v>
      </c>
      <c r="D103" s="479">
        <v>41</v>
      </c>
      <c r="E103" s="490">
        <v>35</v>
      </c>
      <c r="F103" s="28">
        <f t="shared" si="8"/>
        <v>0.85365853658536583</v>
      </c>
      <c r="G103" s="479">
        <f>D103+'2017JAN'!G103</f>
        <v>80</v>
      </c>
      <c r="H103" s="479">
        <f>E103+'2017JAN'!H103</f>
        <v>71.5</v>
      </c>
      <c r="I103" s="28">
        <f t="shared" si="9"/>
        <v>0.89375000000000004</v>
      </c>
      <c r="J103" s="596"/>
      <c r="K103" s="597"/>
      <c r="L103" s="597"/>
      <c r="M103" s="598"/>
    </row>
    <row r="104" spans="1:13" ht="13.5" customHeight="1">
      <c r="A104" s="562"/>
      <c r="B104" s="525"/>
      <c r="C104" s="38" t="s">
        <v>71</v>
      </c>
      <c r="D104" s="487">
        <f>SUM(D102:D103)</f>
        <v>41</v>
      </c>
      <c r="E104" s="487">
        <f>SUM(E102:E103)</f>
        <v>35</v>
      </c>
      <c r="F104" s="30">
        <f t="shared" si="8"/>
        <v>0.85365853658536583</v>
      </c>
      <c r="G104" s="487">
        <f>SUM(G102:G103)</f>
        <v>82</v>
      </c>
      <c r="H104" s="487">
        <f>SUM(H102:H103)</f>
        <v>71.5</v>
      </c>
      <c r="I104" s="30">
        <f t="shared" si="9"/>
        <v>0.87195121951219512</v>
      </c>
      <c r="J104" s="599"/>
      <c r="K104" s="600"/>
      <c r="L104" s="600"/>
      <c r="M104" s="601"/>
    </row>
    <row r="105" spans="1:13" ht="13.5" customHeight="1">
      <c r="A105" s="562"/>
      <c r="B105" s="603" t="s">
        <v>46</v>
      </c>
      <c r="C105" s="39" t="s">
        <v>69</v>
      </c>
      <c r="D105" s="474">
        <f>SUM(D99,D102)</f>
        <v>0</v>
      </c>
      <c r="E105" s="474">
        <f>SUM(E99,E102)</f>
        <v>0</v>
      </c>
      <c r="F105" s="30" t="e">
        <f t="shared" si="8"/>
        <v>#DIV/0!</v>
      </c>
      <c r="G105" s="474">
        <f>SUM(G99,G102)</f>
        <v>4</v>
      </c>
      <c r="H105" s="474">
        <f>SUM(H99,H102)</f>
        <v>0</v>
      </c>
      <c r="I105" s="30">
        <f t="shared" si="9"/>
        <v>0</v>
      </c>
      <c r="J105" s="604"/>
      <c r="K105" s="605"/>
      <c r="L105" s="605"/>
      <c r="M105" s="606"/>
    </row>
    <row r="106" spans="1:13" ht="13.5" customHeight="1">
      <c r="A106" s="562"/>
      <c r="B106" s="603"/>
      <c r="C106" s="39" t="s">
        <v>70</v>
      </c>
      <c r="D106" s="474">
        <f>SUM(D100,D103)</f>
        <v>116</v>
      </c>
      <c r="E106" s="474">
        <f>SUM(E100,E103)</f>
        <v>94</v>
      </c>
      <c r="F106" s="30">
        <f t="shared" si="8"/>
        <v>0.81034482758620685</v>
      </c>
      <c r="G106" s="474">
        <f>SUM(G100,G103)</f>
        <v>228</v>
      </c>
      <c r="H106" s="474">
        <f>SUM(H100,H103)</f>
        <v>189.5</v>
      </c>
      <c r="I106" s="30">
        <f t="shared" si="9"/>
        <v>0.83114035087719296</v>
      </c>
      <c r="J106" s="604"/>
      <c r="K106" s="605"/>
      <c r="L106" s="605"/>
      <c r="M106" s="606"/>
    </row>
    <row r="107" spans="1:13" ht="14.25" customHeight="1" thickBot="1">
      <c r="A107" s="618"/>
      <c r="B107" s="624"/>
      <c r="C107" s="40" t="s">
        <v>46</v>
      </c>
      <c r="D107" s="475">
        <f>SUM(D105:D106)</f>
        <v>116</v>
      </c>
      <c r="E107" s="475">
        <f>SUM(E105:E106)</f>
        <v>94</v>
      </c>
      <c r="F107" s="41">
        <f t="shared" si="8"/>
        <v>0.81034482758620685</v>
      </c>
      <c r="G107" s="475">
        <f>SUM(G105:G106)</f>
        <v>232</v>
      </c>
      <c r="H107" s="475">
        <f>SUM(H105:H106)</f>
        <v>189.5</v>
      </c>
      <c r="I107" s="41">
        <f t="shared" si="9"/>
        <v>0.81681034482758619</v>
      </c>
      <c r="J107" s="625"/>
      <c r="K107" s="626"/>
      <c r="L107" s="626"/>
      <c r="M107" s="627"/>
    </row>
    <row r="108" spans="1:13">
      <c r="A108" s="635" t="s">
        <v>46</v>
      </c>
      <c r="B108" s="635"/>
      <c r="C108" s="44" t="s">
        <v>69</v>
      </c>
      <c r="D108" s="472">
        <f>SUM(D96,D105)</f>
        <v>0</v>
      </c>
      <c r="E108" s="472">
        <f>SUM(E96,E105)</f>
        <v>0.5</v>
      </c>
      <c r="F108" s="45" t="e">
        <f t="shared" si="8"/>
        <v>#DIV/0!</v>
      </c>
      <c r="G108" s="46">
        <f>SUM(G96,G105)</f>
        <v>11</v>
      </c>
      <c r="H108" s="46">
        <f>SUM(H96,H105)</f>
        <v>1.5</v>
      </c>
      <c r="I108" s="45">
        <f t="shared" si="9"/>
        <v>0.13636363636363635</v>
      </c>
      <c r="J108" s="636"/>
      <c r="K108" s="637"/>
      <c r="L108" s="637"/>
      <c r="M108" s="638"/>
    </row>
    <row r="109" spans="1:13">
      <c r="A109" s="609"/>
      <c r="B109" s="609"/>
      <c r="C109" s="47" t="s">
        <v>70</v>
      </c>
      <c r="D109" s="473">
        <f>SUM(D97,D106)</f>
        <v>363</v>
      </c>
      <c r="E109" s="473">
        <f>SUM(E97,E106)</f>
        <v>309.5</v>
      </c>
      <c r="F109" s="32">
        <f t="shared" si="8"/>
        <v>0.85261707988980717</v>
      </c>
      <c r="G109" s="473">
        <f>SUM(G97,G106)</f>
        <v>715</v>
      </c>
      <c r="H109" s="473">
        <f>SUM(H97,H106)</f>
        <v>621</v>
      </c>
      <c r="I109" s="32">
        <f t="shared" si="9"/>
        <v>0.86853146853146856</v>
      </c>
      <c r="J109" s="639"/>
      <c r="K109" s="640"/>
      <c r="L109" s="640"/>
      <c r="M109" s="641"/>
    </row>
    <row r="110" spans="1:13">
      <c r="A110" s="609"/>
      <c r="B110" s="609"/>
      <c r="C110" s="48" t="s">
        <v>46</v>
      </c>
      <c r="D110" s="473">
        <f>SUM(D108:D109)</f>
        <v>363</v>
      </c>
      <c r="E110" s="473">
        <f>SUM(E108:E109)</f>
        <v>310</v>
      </c>
      <c r="F110" s="49">
        <f>E110/D110</f>
        <v>0.85399449035812669</v>
      </c>
      <c r="G110" s="472">
        <f>SUM(G108:G109)</f>
        <v>726</v>
      </c>
      <c r="H110" s="472">
        <f>SUM(H108:H109)</f>
        <v>622.5</v>
      </c>
      <c r="I110" s="49">
        <f>H110/G110</f>
        <v>0.8574380165289256</v>
      </c>
      <c r="J110" s="639"/>
      <c r="K110" s="640"/>
      <c r="L110" s="640"/>
      <c r="M110" s="641"/>
    </row>
    <row r="113" spans="1:13" ht="15" thickBot="1">
      <c r="A113" s="127" t="s">
        <v>78</v>
      </c>
    </row>
    <row r="114" spans="1:13">
      <c r="A114" s="642" t="s">
        <v>79</v>
      </c>
      <c r="B114" s="643"/>
      <c r="C114" s="644" t="s">
        <v>80</v>
      </c>
      <c r="D114" s="645"/>
      <c r="E114" s="644" t="s">
        <v>81</v>
      </c>
      <c r="F114" s="645"/>
      <c r="G114" s="644" t="s">
        <v>136</v>
      </c>
      <c r="H114" s="703"/>
      <c r="I114" s="646"/>
      <c r="J114" s="647"/>
      <c r="K114" s="646"/>
      <c r="L114" s="648"/>
    </row>
    <row r="115" spans="1:13">
      <c r="A115" s="628" t="s">
        <v>82</v>
      </c>
      <c r="B115" s="629"/>
      <c r="C115" s="630" t="s">
        <v>83</v>
      </c>
      <c r="D115" s="631"/>
      <c r="E115" s="630" t="s">
        <v>84</v>
      </c>
      <c r="F115" s="631"/>
      <c r="G115" s="630" t="s">
        <v>84</v>
      </c>
      <c r="H115" s="631"/>
      <c r="I115" s="632"/>
      <c r="J115" s="633"/>
      <c r="K115" s="632"/>
      <c r="L115" s="634"/>
    </row>
    <row r="116" spans="1:13">
      <c r="A116" s="628" t="s">
        <v>85</v>
      </c>
      <c r="B116" s="629"/>
      <c r="C116" s="630" t="s">
        <v>86</v>
      </c>
      <c r="D116" s="631"/>
      <c r="E116" s="630" t="s">
        <v>87</v>
      </c>
      <c r="F116" s="631"/>
      <c r="G116" s="630" t="s">
        <v>87</v>
      </c>
      <c r="H116" s="631"/>
      <c r="I116" s="632"/>
      <c r="J116" s="633"/>
      <c r="K116" s="632"/>
      <c r="L116" s="634"/>
    </row>
    <row r="117" spans="1:13">
      <c r="A117" s="628" t="s">
        <v>88</v>
      </c>
      <c r="B117" s="629"/>
      <c r="C117" s="630" t="s">
        <v>89</v>
      </c>
      <c r="D117" s="631"/>
      <c r="E117" s="630" t="s">
        <v>90</v>
      </c>
      <c r="F117" s="631"/>
      <c r="G117" s="630" t="s">
        <v>138</v>
      </c>
      <c r="H117" s="631"/>
      <c r="I117" s="632"/>
      <c r="J117" s="633"/>
      <c r="K117" s="632"/>
      <c r="L117" s="634"/>
    </row>
    <row r="118" spans="1:13">
      <c r="A118" s="628" t="s">
        <v>91</v>
      </c>
      <c r="B118" s="629"/>
      <c r="C118" s="649">
        <v>352</v>
      </c>
      <c r="D118" s="650"/>
      <c r="E118" s="649">
        <v>10</v>
      </c>
      <c r="F118" s="650"/>
      <c r="G118" s="649">
        <v>2</v>
      </c>
      <c r="H118" s="650"/>
      <c r="I118" s="632"/>
      <c r="J118" s="633"/>
      <c r="K118" s="632"/>
      <c r="L118" s="634"/>
    </row>
    <row r="119" spans="1:13">
      <c r="A119" s="628" t="s">
        <v>92</v>
      </c>
      <c r="B119" s="629"/>
      <c r="C119" s="630" t="s">
        <v>93</v>
      </c>
      <c r="D119" s="631"/>
      <c r="E119" s="630" t="s">
        <v>94</v>
      </c>
      <c r="F119" s="631"/>
      <c r="G119" s="630" t="s">
        <v>94</v>
      </c>
      <c r="H119" s="631"/>
      <c r="I119" s="632"/>
      <c r="J119" s="633"/>
      <c r="K119" s="632"/>
      <c r="L119" s="634"/>
    </row>
    <row r="120" spans="1:13">
      <c r="A120" s="628" t="s">
        <v>311</v>
      </c>
      <c r="B120" s="471" t="s">
        <v>96</v>
      </c>
      <c r="C120" s="630">
        <v>0</v>
      </c>
      <c r="D120" s="631"/>
      <c r="E120" s="630">
        <v>0</v>
      </c>
      <c r="F120" s="631"/>
      <c r="G120" s="630">
        <v>0</v>
      </c>
      <c r="H120" s="631"/>
      <c r="I120" s="632"/>
      <c r="J120" s="633"/>
      <c r="K120" s="632"/>
      <c r="L120" s="634"/>
    </row>
    <row r="121" spans="1:13">
      <c r="A121" s="628"/>
      <c r="B121" s="471" t="s">
        <v>97</v>
      </c>
      <c r="C121" s="630">
        <v>0</v>
      </c>
      <c r="D121" s="631"/>
      <c r="E121" s="630">
        <v>0</v>
      </c>
      <c r="F121" s="631"/>
      <c r="G121" s="630">
        <v>0</v>
      </c>
      <c r="H121" s="631"/>
      <c r="I121" s="632"/>
      <c r="J121" s="633"/>
      <c r="K121" s="632"/>
      <c r="L121" s="634"/>
    </row>
    <row r="122" spans="1:13">
      <c r="A122" s="628"/>
      <c r="B122" s="471" t="s">
        <v>98</v>
      </c>
      <c r="C122" s="651">
        <v>0</v>
      </c>
      <c r="D122" s="652"/>
      <c r="E122" s="651">
        <v>0</v>
      </c>
      <c r="F122" s="652"/>
      <c r="G122" s="651">
        <v>0</v>
      </c>
      <c r="H122" s="652"/>
      <c r="I122" s="653"/>
      <c r="J122" s="654"/>
      <c r="K122" s="653"/>
      <c r="L122" s="655"/>
    </row>
    <row r="123" spans="1:13">
      <c r="A123" s="628"/>
      <c r="B123" s="471" t="s">
        <v>99</v>
      </c>
      <c r="C123" s="656">
        <v>458</v>
      </c>
      <c r="D123" s="656"/>
      <c r="E123" s="656">
        <v>184</v>
      </c>
      <c r="F123" s="656"/>
      <c r="G123" s="656">
        <v>356</v>
      </c>
      <c r="H123" s="656"/>
      <c r="I123" s="653"/>
      <c r="J123" s="654"/>
      <c r="K123" s="653"/>
      <c r="L123" s="655"/>
    </row>
    <row r="124" spans="1:13" ht="13.5" customHeight="1" thickBot="1">
      <c r="A124" s="673" t="s">
        <v>10</v>
      </c>
      <c r="B124" s="674"/>
      <c r="C124" s="675"/>
      <c r="D124" s="676"/>
      <c r="E124" s="675"/>
      <c r="F124" s="676"/>
      <c r="G124" s="660"/>
      <c r="H124" s="677"/>
      <c r="I124" s="660"/>
      <c r="J124" s="677"/>
      <c r="K124" s="660"/>
      <c r="L124" s="661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31" t="s">
        <v>101</v>
      </c>
      <c r="B128" s="533"/>
      <c r="C128" s="662" t="s">
        <v>102</v>
      </c>
      <c r="D128" s="663"/>
      <c r="E128" s="664"/>
      <c r="F128" s="662" t="s">
        <v>133</v>
      </c>
      <c r="G128" s="663"/>
      <c r="H128" s="663"/>
      <c r="I128" s="664"/>
      <c r="J128" s="662" t="s">
        <v>137</v>
      </c>
      <c r="K128" s="663"/>
      <c r="L128" s="663"/>
      <c r="M128" s="665"/>
    </row>
    <row r="129" spans="1:13" ht="35.25" customHeight="1">
      <c r="A129" s="573" t="s">
        <v>103</v>
      </c>
      <c r="B129" s="555"/>
      <c r="C129" s="596" t="s">
        <v>321</v>
      </c>
      <c r="D129" s="597"/>
      <c r="E129" s="666"/>
      <c r="F129" s="670" t="s">
        <v>313</v>
      </c>
      <c r="G129" s="671"/>
      <c r="H129" s="671"/>
      <c r="I129" s="672"/>
      <c r="J129" s="670" t="s">
        <v>322</v>
      </c>
      <c r="K129" s="671"/>
      <c r="L129" s="671"/>
      <c r="M129" s="705"/>
    </row>
    <row r="130" spans="1:13" ht="35.25" customHeight="1">
      <c r="A130" s="573" t="s">
        <v>104</v>
      </c>
      <c r="B130" s="555"/>
      <c r="C130" s="678"/>
      <c r="D130" s="597"/>
      <c r="E130" s="666"/>
      <c r="F130" s="596"/>
      <c r="G130" s="597"/>
      <c r="H130" s="597"/>
      <c r="I130" s="666"/>
      <c r="J130" s="596"/>
      <c r="K130" s="597"/>
      <c r="L130" s="597"/>
      <c r="M130" s="598"/>
    </row>
    <row r="131" spans="1:13" ht="67.5" customHeight="1">
      <c r="A131" s="573" t="s">
        <v>105</v>
      </c>
      <c r="B131" s="555"/>
      <c r="C131" s="657" t="s">
        <v>323</v>
      </c>
      <c r="D131" s="658"/>
      <c r="E131" s="659"/>
      <c r="F131" s="657" t="s">
        <v>324</v>
      </c>
      <c r="G131" s="658"/>
      <c r="H131" s="658"/>
      <c r="I131" s="659"/>
      <c r="J131" s="657" t="s">
        <v>324</v>
      </c>
      <c r="K131" s="658"/>
      <c r="L131" s="658"/>
      <c r="M131" s="704"/>
    </row>
    <row r="132" spans="1:13" ht="35.25" customHeight="1" thickBot="1">
      <c r="A132" s="623" t="s">
        <v>106</v>
      </c>
      <c r="B132" s="693"/>
      <c r="C132" s="694" t="s">
        <v>325</v>
      </c>
      <c r="D132" s="695"/>
      <c r="E132" s="696"/>
      <c r="F132" s="694" t="s">
        <v>326</v>
      </c>
      <c r="G132" s="695"/>
      <c r="H132" s="695"/>
      <c r="I132" s="696"/>
      <c r="J132" s="695"/>
      <c r="K132" s="695"/>
      <c r="L132" s="695"/>
      <c r="M132" s="706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701" t="s">
        <v>112</v>
      </c>
      <c r="F137" s="701"/>
      <c r="G137" s="701"/>
      <c r="H137" s="54" t="s">
        <v>113</v>
      </c>
    </row>
    <row r="138" spans="1:13" ht="40.5" customHeight="1" thickBot="1">
      <c r="A138" s="62">
        <f>E42</f>
        <v>51000</v>
      </c>
      <c r="B138" s="63">
        <f>'2017JAN'!H138</f>
        <v>-16230</v>
      </c>
      <c r="C138" s="63">
        <f>E43-E42</f>
        <v>18432</v>
      </c>
      <c r="D138" s="504">
        <v>38591</v>
      </c>
      <c r="E138" s="681" t="s">
        <v>114</v>
      </c>
      <c r="F138" s="681"/>
      <c r="G138" s="681"/>
      <c r="H138" s="505">
        <f>C138+A138+B138-D138</f>
        <v>14611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679" t="s">
        <v>117</v>
      </c>
      <c r="C140" s="679"/>
      <c r="D140" s="679"/>
      <c r="E140" s="679"/>
      <c r="F140" s="679"/>
      <c r="G140" s="680"/>
    </row>
    <row r="141" spans="1:13" ht="45" customHeight="1" thickBot="1">
      <c r="A141" s="56">
        <v>17000</v>
      </c>
      <c r="B141" s="681" t="s">
        <v>114</v>
      </c>
      <c r="C141" s="681"/>
      <c r="D141" s="681"/>
      <c r="E141" s="681"/>
      <c r="F141" s="681"/>
      <c r="G141" s="682"/>
    </row>
    <row r="143" spans="1:13" ht="14">
      <c r="A143" s="127" t="s">
        <v>118</v>
      </c>
    </row>
    <row r="144" spans="1:13">
      <c r="A144" s="629" t="s">
        <v>50</v>
      </c>
      <c r="B144" s="629"/>
      <c r="C144" s="629"/>
      <c r="D144" s="629"/>
      <c r="E144" s="629"/>
      <c r="F144" s="629"/>
      <c r="G144" s="486" t="s">
        <v>119</v>
      </c>
      <c r="H144" s="683" t="s">
        <v>10</v>
      </c>
      <c r="I144" s="684"/>
      <c r="J144" s="684"/>
      <c r="K144" s="685"/>
    </row>
    <row r="145" spans="1:11">
      <c r="A145" s="574" t="s">
        <v>120</v>
      </c>
      <c r="B145" s="686" t="s">
        <v>121</v>
      </c>
      <c r="C145" s="686"/>
      <c r="D145" s="686"/>
      <c r="E145" s="686"/>
      <c r="F145" s="686"/>
      <c r="G145" s="506">
        <v>10</v>
      </c>
      <c r="H145" s="687"/>
      <c r="I145" s="688"/>
      <c r="J145" s="688"/>
      <c r="K145" s="689"/>
    </row>
    <row r="146" spans="1:11">
      <c r="A146" s="574"/>
      <c r="B146" s="686" t="s">
        <v>122</v>
      </c>
      <c r="C146" s="686"/>
      <c r="D146" s="686"/>
      <c r="E146" s="686"/>
      <c r="F146" s="686"/>
      <c r="G146" s="507">
        <v>9431</v>
      </c>
      <c r="H146" s="690"/>
      <c r="I146" s="691"/>
      <c r="J146" s="691"/>
      <c r="K146" s="692"/>
    </row>
    <row r="147" spans="1:11">
      <c r="A147" s="574" t="s">
        <v>123</v>
      </c>
      <c r="B147" s="686" t="s">
        <v>124</v>
      </c>
      <c r="C147" s="686"/>
      <c r="D147" s="686"/>
      <c r="E147" s="686"/>
      <c r="F147" s="686"/>
      <c r="G147" s="479">
        <v>10</v>
      </c>
      <c r="H147" s="670"/>
      <c r="I147" s="671"/>
      <c r="J147" s="671"/>
      <c r="K147" s="672"/>
    </row>
    <row r="148" spans="1:11">
      <c r="A148" s="574"/>
      <c r="B148" s="686" t="s">
        <v>125</v>
      </c>
      <c r="C148" s="686"/>
      <c r="D148" s="686"/>
      <c r="E148" s="686"/>
      <c r="F148" s="686"/>
      <c r="G148" s="508">
        <v>16146</v>
      </c>
      <c r="H148" s="670"/>
      <c r="I148" s="671"/>
      <c r="J148" s="671"/>
      <c r="K148" s="672"/>
    </row>
    <row r="149" spans="1:11" ht="14">
      <c r="A149" s="488" t="s">
        <v>126</v>
      </c>
      <c r="B149" s="686" t="s">
        <v>127</v>
      </c>
      <c r="C149" s="686"/>
      <c r="D149" s="686"/>
      <c r="E149" s="686"/>
      <c r="F149" s="686"/>
      <c r="G149" s="509">
        <v>1873</v>
      </c>
      <c r="H149" s="670"/>
      <c r="I149" s="671"/>
      <c r="J149" s="671"/>
      <c r="K149" s="672"/>
    </row>
    <row r="150" spans="1:11" ht="14">
      <c r="A150" s="488" t="s">
        <v>128</v>
      </c>
      <c r="B150" s="686" t="s">
        <v>129</v>
      </c>
      <c r="C150" s="686"/>
      <c r="D150" s="686"/>
      <c r="E150" s="686"/>
      <c r="F150" s="686"/>
      <c r="G150" s="479"/>
      <c r="H150" s="670"/>
      <c r="I150" s="671"/>
      <c r="J150" s="671"/>
      <c r="K150" s="672"/>
    </row>
  </sheetData>
  <mergeCells count="274"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1:F1"/>
    <mergeCell ref="J3:K3"/>
    <mergeCell ref="L3:M3"/>
    <mergeCell ref="J5:K5"/>
    <mergeCell ref="L5:M5"/>
    <mergeCell ref="J6:K6"/>
    <mergeCell ref="L6:M6"/>
    <mergeCell ref="A14:B14"/>
    <mergeCell ref="E14:I14"/>
  </mergeCells>
  <dataValidations count="2">
    <dataValidation type="list" allowBlank="1" showInputMessage="1" showErrorMessage="1" sqref="G1" xr:uid="{D3C29C25-E328-9841-BA4F-5BB678908980}">
      <formula1>"Jan, Feb, March, April, May, June, July, Aug, Sep, Oct, Nov, Dec"</formula1>
    </dataValidation>
    <dataValidation type="list" allowBlank="1" showInputMessage="1" showErrorMessage="1" sqref="L3" xr:uid="{2F5547E0-330D-6642-AEE9-F13FDD214C44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2CE84-6B7F-D543-B71A-AF5295A8A9F2}">
  <sheetPr codeName="Sheet4">
    <pageSetUpPr fitToPage="1"/>
  </sheetPr>
  <dimension ref="A1:N150"/>
  <sheetViews>
    <sheetView topLeftCell="B19" zoomScale="85" zoomScaleNormal="85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139</v>
      </c>
      <c r="H1" s="2">
        <v>2017</v>
      </c>
      <c r="I1" s="491"/>
      <c r="J1" s="491"/>
      <c r="K1" s="491"/>
      <c r="L1" s="491"/>
      <c r="M1" s="491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4</v>
      </c>
      <c r="M6" s="525"/>
    </row>
    <row r="7" spans="1:13">
      <c r="J7" s="525" t="s">
        <v>6</v>
      </c>
      <c r="K7" s="525"/>
      <c r="L7" s="702">
        <v>42832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470" t="s">
        <v>305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79" t="s">
        <v>306</v>
      </c>
      <c r="C10" s="61">
        <v>5</v>
      </c>
      <c r="D10" s="490">
        <v>3</v>
      </c>
      <c r="E10" s="538" t="s">
        <v>320</v>
      </c>
      <c r="F10" s="538"/>
      <c r="G10" s="538"/>
      <c r="H10" s="538"/>
      <c r="I10" s="539"/>
    </row>
    <row r="11" spans="1:13">
      <c r="A11" s="537"/>
      <c r="B11" s="479" t="s">
        <v>12</v>
      </c>
      <c r="C11" s="61">
        <v>0</v>
      </c>
      <c r="D11" s="490">
        <v>1</v>
      </c>
      <c r="E11" s="540" t="s">
        <v>308</v>
      </c>
      <c r="F11" s="541"/>
      <c r="G11" s="541"/>
      <c r="H11" s="541"/>
      <c r="I11" s="542"/>
    </row>
    <row r="12" spans="1:13">
      <c r="A12" s="537"/>
      <c r="B12" s="479" t="s">
        <v>309</v>
      </c>
      <c r="C12" s="61">
        <v>1</v>
      </c>
      <c r="D12" s="490">
        <v>1</v>
      </c>
      <c r="E12" s="538" t="s">
        <v>130</v>
      </c>
      <c r="F12" s="538"/>
      <c r="G12" s="538"/>
      <c r="H12" s="538"/>
      <c r="I12" s="539"/>
    </row>
    <row r="13" spans="1:13">
      <c r="A13" s="537"/>
      <c r="B13" s="479" t="s">
        <v>13</v>
      </c>
      <c r="C13" s="61">
        <v>5</v>
      </c>
      <c r="D13" s="490">
        <v>1</v>
      </c>
      <c r="E13" s="538" t="s">
        <v>310</v>
      </c>
      <c r="F13" s="538"/>
      <c r="G13" s="538"/>
      <c r="H13" s="538"/>
      <c r="I13" s="539"/>
    </row>
    <row r="14" spans="1:13" s="8" customFormat="1" ht="14" thickBot="1">
      <c r="A14" s="526" t="s">
        <v>14</v>
      </c>
      <c r="B14" s="527"/>
      <c r="C14" s="7">
        <f>SUM(C10:C13)</f>
        <v>11</v>
      </c>
      <c r="D14" s="7">
        <f>SUM(D10:D13)</f>
        <v>6</v>
      </c>
      <c r="E14" s="528" t="s">
        <v>15</v>
      </c>
      <c r="F14" s="529"/>
      <c r="G14" s="529"/>
      <c r="H14" s="529"/>
      <c r="I14" s="530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31" t="s">
        <v>18</v>
      </c>
      <c r="B18" s="533" t="s">
        <v>19</v>
      </c>
      <c r="C18" s="533"/>
      <c r="D18" s="533" t="s">
        <v>20</v>
      </c>
      <c r="E18" s="533"/>
      <c r="F18" s="533"/>
      <c r="G18" s="533" t="s">
        <v>21</v>
      </c>
      <c r="H18" s="533"/>
      <c r="I18" s="533"/>
      <c r="J18" s="533" t="s">
        <v>22</v>
      </c>
      <c r="K18" s="533"/>
      <c r="L18" s="533"/>
      <c r="M18" s="536"/>
    </row>
    <row r="19" spans="1:13">
      <c r="A19" s="532"/>
      <c r="B19" s="534"/>
      <c r="C19" s="534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534"/>
      <c r="K19" s="534"/>
      <c r="L19" s="534"/>
      <c r="M19" s="543"/>
    </row>
    <row r="20" spans="1:13">
      <c r="A20" s="544" t="s">
        <v>26</v>
      </c>
      <c r="B20" s="545"/>
      <c r="C20" s="545"/>
      <c r="D20" s="545"/>
      <c r="E20" s="545"/>
      <c r="F20" s="545"/>
      <c r="G20" s="545"/>
      <c r="H20" s="545"/>
      <c r="I20" s="545"/>
      <c r="J20" s="545"/>
      <c r="K20" s="545"/>
      <c r="L20" s="545"/>
      <c r="M20" s="546"/>
    </row>
    <row r="21" spans="1:13">
      <c r="A21" s="547" t="s">
        <v>27</v>
      </c>
      <c r="B21" s="550" t="s">
        <v>28</v>
      </c>
      <c r="C21" s="128" t="s">
        <v>29</v>
      </c>
      <c r="D21" s="61">
        <v>13986</v>
      </c>
      <c r="E21" s="490">
        <v>11504</v>
      </c>
      <c r="F21" s="14">
        <f t="shared" ref="F21:F26" si="0">E21/D21</f>
        <v>0.82253682253682259</v>
      </c>
      <c r="G21" s="479">
        <f>D21+'2017FEB'!G21</f>
        <v>41814</v>
      </c>
      <c r="H21" s="479">
        <f>E21+'2017FEB'!H21</f>
        <v>34744</v>
      </c>
      <c r="I21" s="14">
        <f t="shared" ref="I21:I26" si="1">H21/G21</f>
        <v>0.83091787439613529</v>
      </c>
      <c r="J21" s="525"/>
      <c r="K21" s="525"/>
      <c r="L21" s="525"/>
      <c r="M21" s="552"/>
    </row>
    <row r="22" spans="1:13" ht="13.5" customHeight="1">
      <c r="A22" s="548"/>
      <c r="B22" s="551"/>
      <c r="C22" s="15" t="s">
        <v>30</v>
      </c>
      <c r="D22" s="487">
        <f>SUM(D21:D21)</f>
        <v>13986</v>
      </c>
      <c r="E22" s="487">
        <f>SUM(E21:E21)</f>
        <v>11504</v>
      </c>
      <c r="F22" s="16">
        <f t="shared" si="0"/>
        <v>0.82253682253682259</v>
      </c>
      <c r="G22" s="487">
        <f>SUM(G21:G21)</f>
        <v>41814</v>
      </c>
      <c r="H22" s="487">
        <f>SUM(H21:H21)</f>
        <v>34744</v>
      </c>
      <c r="I22" s="16">
        <f t="shared" si="1"/>
        <v>0.83091787439613529</v>
      </c>
      <c r="J22" s="553"/>
      <c r="K22" s="553"/>
      <c r="L22" s="553"/>
      <c r="M22" s="554"/>
    </row>
    <row r="23" spans="1:13" ht="13.5" customHeight="1">
      <c r="A23" s="548"/>
      <c r="B23" s="555" t="s">
        <v>31</v>
      </c>
      <c r="C23" s="128" t="s">
        <v>29</v>
      </c>
      <c r="D23" s="61">
        <v>4682</v>
      </c>
      <c r="E23" s="490">
        <v>4143</v>
      </c>
      <c r="F23" s="14">
        <f t="shared" si="0"/>
        <v>0.88487825715506196</v>
      </c>
      <c r="G23" s="479">
        <f>D23+'2017FEB'!G23</f>
        <v>14096</v>
      </c>
      <c r="H23" s="479">
        <f>E23+'2017FEB'!H23</f>
        <v>12526</v>
      </c>
      <c r="I23" s="14">
        <f t="shared" si="1"/>
        <v>0.88862088535754824</v>
      </c>
      <c r="J23" s="525"/>
      <c r="K23" s="525"/>
      <c r="L23" s="525"/>
      <c r="M23" s="552"/>
    </row>
    <row r="24" spans="1:13" ht="13.5" customHeight="1">
      <c r="A24" s="548"/>
      <c r="B24" s="555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525"/>
      <c r="K24" s="525"/>
      <c r="L24" s="525"/>
      <c r="M24" s="552"/>
    </row>
    <row r="25" spans="1:13" ht="13.5" customHeight="1">
      <c r="A25" s="548"/>
      <c r="B25" s="555"/>
      <c r="C25" s="15" t="s">
        <v>30</v>
      </c>
      <c r="D25" s="487">
        <f>SUM(D23:D24)</f>
        <v>4682</v>
      </c>
      <c r="E25" s="487">
        <f>SUM(E23:E24)</f>
        <v>4143</v>
      </c>
      <c r="F25" s="16">
        <f t="shared" si="0"/>
        <v>0.88487825715506196</v>
      </c>
      <c r="G25" s="487">
        <f>SUM(G23:G24)</f>
        <v>14096</v>
      </c>
      <c r="H25" s="487">
        <f>SUM(H23:H24)</f>
        <v>12526</v>
      </c>
      <c r="I25" s="16">
        <f t="shared" si="1"/>
        <v>0.88862088535754824</v>
      </c>
      <c r="J25" s="553"/>
      <c r="K25" s="553"/>
      <c r="L25" s="553"/>
      <c r="M25" s="554"/>
    </row>
    <row r="26" spans="1:13" s="8" customFormat="1" ht="14.25" customHeight="1" thickBot="1">
      <c r="A26" s="549"/>
      <c r="B26" s="556" t="s">
        <v>30</v>
      </c>
      <c r="C26" s="556"/>
      <c r="D26" s="489">
        <f>SUM(D22,D25)</f>
        <v>18668</v>
      </c>
      <c r="E26" s="489">
        <f>SUM(E22,E25)</f>
        <v>15647</v>
      </c>
      <c r="F26" s="17">
        <f t="shared" si="0"/>
        <v>0.83817227340904221</v>
      </c>
      <c r="G26" s="489">
        <f>SUM(G22,G25)</f>
        <v>55910</v>
      </c>
      <c r="H26" s="489">
        <f>SUM(H22,H25)</f>
        <v>47270</v>
      </c>
      <c r="I26" s="17">
        <f t="shared" si="1"/>
        <v>0.84546592738329462</v>
      </c>
      <c r="J26" s="556"/>
      <c r="K26" s="556"/>
      <c r="L26" s="556"/>
      <c r="M26" s="557"/>
    </row>
    <row r="27" spans="1:13">
      <c r="A27" s="558" t="s">
        <v>33</v>
      </c>
      <c r="B27" s="559"/>
      <c r="C27" s="559"/>
      <c r="D27" s="559"/>
      <c r="E27" s="559"/>
      <c r="F27" s="559"/>
      <c r="G27" s="559"/>
      <c r="H27" s="559"/>
      <c r="I27" s="559"/>
      <c r="J27" s="559"/>
      <c r="K27" s="559"/>
      <c r="L27" s="559"/>
      <c r="M27" s="560"/>
    </row>
    <row r="28" spans="1:13" ht="12.75" customHeight="1">
      <c r="A28" s="561" t="s">
        <v>34</v>
      </c>
      <c r="B28" s="564" t="s">
        <v>35</v>
      </c>
      <c r="C28" s="128" t="s">
        <v>29</v>
      </c>
      <c r="D28" s="61">
        <v>200</v>
      </c>
      <c r="E28" s="490">
        <v>832</v>
      </c>
      <c r="F28" s="14">
        <f>E28/D28</f>
        <v>4.16</v>
      </c>
      <c r="G28" s="479">
        <f>D28+'2017FEB'!G28</f>
        <v>600</v>
      </c>
      <c r="H28" s="479">
        <f>E28+'2017FEB'!H28</f>
        <v>3843</v>
      </c>
      <c r="I28" s="14">
        <f>H28/G28</f>
        <v>6.4050000000000002</v>
      </c>
      <c r="J28" s="525"/>
      <c r="K28" s="525"/>
      <c r="L28" s="525"/>
      <c r="M28" s="552"/>
    </row>
    <row r="29" spans="1:13">
      <c r="A29" s="562"/>
      <c r="B29" s="565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525"/>
      <c r="K29" s="525"/>
      <c r="L29" s="525"/>
      <c r="M29" s="552"/>
    </row>
    <row r="30" spans="1:13">
      <c r="A30" s="562"/>
      <c r="B30" s="566"/>
      <c r="C30" s="15" t="s">
        <v>30</v>
      </c>
      <c r="D30" s="487">
        <f>SUM(D28:D29)</f>
        <v>200</v>
      </c>
      <c r="E30" s="487">
        <f>SUM(E28:E29)</f>
        <v>832</v>
      </c>
      <c r="F30" s="14">
        <f t="shared" si="2"/>
        <v>4.16</v>
      </c>
      <c r="G30" s="487">
        <f>SUM(G28:G29)</f>
        <v>600</v>
      </c>
      <c r="H30" s="487">
        <f>SUM(H28:H29)</f>
        <v>3843</v>
      </c>
      <c r="I30" s="14">
        <f t="shared" si="3"/>
        <v>6.4050000000000002</v>
      </c>
      <c r="J30" s="553"/>
      <c r="K30" s="553"/>
      <c r="L30" s="553"/>
      <c r="M30" s="554"/>
    </row>
    <row r="31" spans="1:13" ht="12.75" customHeight="1">
      <c r="A31" s="562"/>
      <c r="B31" s="567" t="s">
        <v>36</v>
      </c>
      <c r="C31" s="568"/>
      <c r="D31" s="61">
        <v>2200</v>
      </c>
      <c r="E31" s="490">
        <v>12468</v>
      </c>
      <c r="F31" s="14">
        <f t="shared" si="2"/>
        <v>5.667272727272727</v>
      </c>
      <c r="G31" s="479">
        <f>D31+'2017FEB'!G31</f>
        <v>5100</v>
      </c>
      <c r="H31" s="479">
        <f>E31+'2017FEB'!H31</f>
        <v>16399</v>
      </c>
      <c r="I31" s="14">
        <f t="shared" si="3"/>
        <v>3.2154901960784312</v>
      </c>
      <c r="J31" s="525"/>
      <c r="K31" s="525"/>
      <c r="L31" s="525"/>
      <c r="M31" s="552"/>
    </row>
    <row r="32" spans="1:13" s="8" customFormat="1">
      <c r="A32" s="563"/>
      <c r="B32" s="534" t="s">
        <v>30</v>
      </c>
      <c r="C32" s="534"/>
      <c r="D32" s="485">
        <f>SUM(D30,D31)</f>
        <v>2400</v>
      </c>
      <c r="E32" s="485">
        <f>SUM(E30,E31)</f>
        <v>13300</v>
      </c>
      <c r="F32" s="14">
        <f t="shared" si="2"/>
        <v>5.541666666666667</v>
      </c>
      <c r="G32" s="485">
        <f>SUM(G30,G31)</f>
        <v>5700</v>
      </c>
      <c r="H32" s="485">
        <f>SUM(H30,H31)</f>
        <v>20242</v>
      </c>
      <c r="I32" s="14">
        <f t="shared" si="3"/>
        <v>3.5512280701754384</v>
      </c>
      <c r="J32" s="534"/>
      <c r="K32" s="534"/>
      <c r="L32" s="534"/>
      <c r="M32" s="543"/>
    </row>
    <row r="33" spans="1:13">
      <c r="A33" s="573" t="s">
        <v>37</v>
      </c>
      <c r="B33" s="555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D33+'2017FEB'!G33</f>
        <v>105000</v>
      </c>
      <c r="H33" s="479">
        <f>E33+'2017FEB'!H33</f>
        <v>0</v>
      </c>
      <c r="I33" s="14">
        <f t="shared" si="3"/>
        <v>0</v>
      </c>
      <c r="J33" s="525"/>
      <c r="K33" s="525"/>
      <c r="L33" s="525"/>
      <c r="M33" s="552"/>
    </row>
    <row r="34" spans="1:13">
      <c r="A34" s="573"/>
      <c r="B34" s="555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525"/>
      <c r="K34" s="525"/>
      <c r="L34" s="525"/>
      <c r="M34" s="552"/>
    </row>
    <row r="35" spans="1:13">
      <c r="A35" s="573"/>
      <c r="B35" s="555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105000</v>
      </c>
      <c r="H35" s="487">
        <f>SUM(H33:H34)</f>
        <v>0</v>
      </c>
      <c r="I35" s="16">
        <f t="shared" si="3"/>
        <v>0</v>
      </c>
      <c r="J35" s="553"/>
      <c r="K35" s="553"/>
      <c r="L35" s="553"/>
      <c r="M35" s="554"/>
    </row>
    <row r="36" spans="1:13" ht="12" customHeight="1">
      <c r="A36" s="573"/>
      <c r="B36" s="574" t="s">
        <v>41</v>
      </c>
      <c r="C36" s="128" t="s">
        <v>40</v>
      </c>
      <c r="D36" s="479"/>
      <c r="E36" s="479"/>
      <c r="F36" s="14" t="e">
        <f t="shared" si="2"/>
        <v>#DIV/0!</v>
      </c>
      <c r="G36" s="479"/>
      <c r="H36" s="479"/>
      <c r="I36" s="14" t="e">
        <f t="shared" si="3"/>
        <v>#DIV/0!</v>
      </c>
      <c r="J36" s="525"/>
      <c r="K36" s="525"/>
      <c r="L36" s="525"/>
      <c r="M36" s="552"/>
    </row>
    <row r="37" spans="1:13" ht="12" customHeight="1">
      <c r="A37" s="573"/>
      <c r="B37" s="574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525"/>
      <c r="K37" s="525"/>
      <c r="L37" s="525"/>
      <c r="M37" s="552"/>
    </row>
    <row r="38" spans="1:13" ht="12" customHeight="1">
      <c r="A38" s="573"/>
      <c r="B38" s="574"/>
      <c r="C38" s="15" t="s">
        <v>30</v>
      </c>
      <c r="D38" s="487">
        <f>SUM(D36:D37)</f>
        <v>0</v>
      </c>
      <c r="E38" s="487">
        <f>SUM(E36:E37)</f>
        <v>0</v>
      </c>
      <c r="F38" s="16" t="e">
        <f t="shared" si="2"/>
        <v>#DIV/0!</v>
      </c>
      <c r="G38" s="487">
        <f>SUM(G36:G37)</f>
        <v>0</v>
      </c>
      <c r="H38" s="487">
        <f>SUM(H36:H37)</f>
        <v>0</v>
      </c>
      <c r="I38" s="16" t="e">
        <f t="shared" si="3"/>
        <v>#DIV/0!</v>
      </c>
      <c r="J38" s="553"/>
      <c r="K38" s="553"/>
      <c r="L38" s="553"/>
      <c r="M38" s="554"/>
    </row>
    <row r="39" spans="1:13" s="8" customFormat="1" ht="12" customHeight="1">
      <c r="A39" s="573"/>
      <c r="B39" s="534" t="s">
        <v>30</v>
      </c>
      <c r="C39" s="534"/>
      <c r="D39" s="485">
        <f>SUM(D35,D38)</f>
        <v>35000</v>
      </c>
      <c r="E39" s="485">
        <f>SUM(E35,E38)</f>
        <v>0</v>
      </c>
      <c r="F39" s="19">
        <f t="shared" si="2"/>
        <v>0</v>
      </c>
      <c r="G39" s="485">
        <f>SUM(G35,G38)</f>
        <v>105000</v>
      </c>
      <c r="H39" s="485">
        <f>SUM(H35,H38)</f>
        <v>0</v>
      </c>
      <c r="I39" s="19">
        <f t="shared" si="3"/>
        <v>0</v>
      </c>
      <c r="J39" s="534"/>
      <c r="K39" s="534"/>
      <c r="L39" s="534"/>
      <c r="M39" s="543"/>
    </row>
    <row r="40" spans="1:13" s="8" customFormat="1">
      <c r="A40" s="569" t="s">
        <v>42</v>
      </c>
      <c r="B40" s="570"/>
      <c r="C40" s="570"/>
      <c r="D40" s="483">
        <v>300</v>
      </c>
      <c r="E40" s="510">
        <v>492</v>
      </c>
      <c r="F40" s="21">
        <f t="shared" si="2"/>
        <v>1.64</v>
      </c>
      <c r="G40" s="483">
        <f>D40+'2017FEB'!G40</f>
        <v>900</v>
      </c>
      <c r="H40" s="483">
        <f>E40+'2017FEB'!H40</f>
        <v>2040</v>
      </c>
      <c r="I40" s="21">
        <f t="shared" si="3"/>
        <v>2.2666666666666666</v>
      </c>
      <c r="J40" s="570"/>
      <c r="K40" s="570"/>
      <c r="L40" s="570"/>
      <c r="M40" s="571"/>
    </row>
    <row r="41" spans="1:13" s="8" customFormat="1">
      <c r="A41" s="569" t="s">
        <v>43</v>
      </c>
      <c r="B41" s="570"/>
      <c r="C41" s="570"/>
      <c r="D41" s="483">
        <v>2250</v>
      </c>
      <c r="E41" s="483">
        <v>0</v>
      </c>
      <c r="F41" s="21">
        <f t="shared" si="2"/>
        <v>0</v>
      </c>
      <c r="G41" s="483">
        <f>D41+'2017FEB'!G41</f>
        <v>6750</v>
      </c>
      <c r="H41" s="483">
        <f>E41+'2017FEB'!H41</f>
        <v>0</v>
      </c>
      <c r="I41" s="21">
        <f t="shared" si="3"/>
        <v>0</v>
      </c>
      <c r="J41" s="572" t="s">
        <v>44</v>
      </c>
      <c r="K41" s="570"/>
      <c r="L41" s="570"/>
      <c r="M41" s="571"/>
    </row>
    <row r="42" spans="1:13" s="8" customFormat="1">
      <c r="A42" s="569" t="s">
        <v>45</v>
      </c>
      <c r="B42" s="570"/>
      <c r="C42" s="570"/>
      <c r="D42" s="483">
        <v>17000</v>
      </c>
      <c r="E42" s="483">
        <v>0</v>
      </c>
      <c r="F42" s="21">
        <f t="shared" si="2"/>
        <v>0</v>
      </c>
      <c r="G42" s="483">
        <f>D42+'2017FEB'!G42</f>
        <v>51000</v>
      </c>
      <c r="H42" s="483">
        <f>E42+'2017FEB'!H42</f>
        <v>51000</v>
      </c>
      <c r="I42" s="21">
        <f t="shared" si="3"/>
        <v>1</v>
      </c>
      <c r="J42" s="570"/>
      <c r="K42" s="570"/>
      <c r="L42" s="570"/>
      <c r="M42" s="571"/>
    </row>
    <row r="43" spans="1:13" s="8" customFormat="1">
      <c r="A43" s="587" t="s">
        <v>46</v>
      </c>
      <c r="B43" s="588"/>
      <c r="C43" s="589"/>
      <c r="D43" s="484">
        <f>SUM(D26,D32,D39,D40:D42)</f>
        <v>75618</v>
      </c>
      <c r="E43" s="484">
        <f>SUM(E26,E32,E39,E40:E42)</f>
        <v>29439</v>
      </c>
      <c r="F43" s="22">
        <f t="shared" si="2"/>
        <v>0.38931206855510592</v>
      </c>
      <c r="G43" s="484">
        <f>SUM(G26,G32,G39,G40:G42)</f>
        <v>225260</v>
      </c>
      <c r="H43" s="484">
        <f>SUM(H26,H32,H39,H40:H42)</f>
        <v>120552</v>
      </c>
      <c r="I43" s="22">
        <f t="shared" si="3"/>
        <v>0.53516825002219659</v>
      </c>
      <c r="J43" s="590" t="s">
        <v>15</v>
      </c>
      <c r="K43" s="591"/>
      <c r="L43" s="591"/>
      <c r="M43" s="592"/>
    </row>
    <row r="44" spans="1:13" s="8" customFormat="1">
      <c r="A44" s="587" t="s">
        <v>47</v>
      </c>
      <c r="B44" s="588"/>
      <c r="C44" s="589"/>
      <c r="D44" s="484">
        <f>D43-D40</f>
        <v>75318</v>
      </c>
      <c r="E44" s="484">
        <f>E43-E40</f>
        <v>28947</v>
      </c>
      <c r="F44" s="22">
        <f t="shared" si="2"/>
        <v>0.38433043893889907</v>
      </c>
      <c r="G44" s="484">
        <f>G43-G40</f>
        <v>224360</v>
      </c>
      <c r="H44" s="484">
        <f>H43-H40</f>
        <v>118512</v>
      </c>
      <c r="I44" s="22">
        <f t="shared" si="3"/>
        <v>0.52822249955428779</v>
      </c>
      <c r="J44" s="590" t="s">
        <v>15</v>
      </c>
      <c r="K44" s="591"/>
      <c r="L44" s="591"/>
      <c r="M44" s="592"/>
    </row>
    <row r="45" spans="1:13" s="8" customFormat="1" ht="14" thickBot="1">
      <c r="A45" s="575" t="s">
        <v>48</v>
      </c>
      <c r="B45" s="576"/>
      <c r="C45" s="577"/>
      <c r="D45" s="482">
        <f>D44-D42</f>
        <v>58318</v>
      </c>
      <c r="E45" s="482">
        <f>E44-E42</f>
        <v>28947</v>
      </c>
      <c r="F45" s="23">
        <f t="shared" si="2"/>
        <v>0.4963647587365822</v>
      </c>
      <c r="G45" s="482">
        <f>G44-G42</f>
        <v>173360</v>
      </c>
      <c r="H45" s="482">
        <f>H44-H42</f>
        <v>67512</v>
      </c>
      <c r="I45" s="23">
        <f t="shared" si="3"/>
        <v>0.38943239501615134</v>
      </c>
      <c r="J45" s="578" t="s">
        <v>15</v>
      </c>
      <c r="K45" s="579"/>
      <c r="L45" s="579"/>
      <c r="M45" s="580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581" t="s">
        <v>50</v>
      </c>
      <c r="B49" s="582"/>
      <c r="C49" s="582"/>
      <c r="D49" s="582" t="s">
        <v>20</v>
      </c>
      <c r="E49" s="582"/>
      <c r="F49" s="582"/>
      <c r="G49" s="582" t="s">
        <v>21</v>
      </c>
      <c r="H49" s="582"/>
      <c r="I49" s="582"/>
      <c r="J49" s="582" t="s">
        <v>10</v>
      </c>
      <c r="K49" s="582"/>
      <c r="L49" s="582"/>
      <c r="M49" s="585"/>
    </row>
    <row r="50" spans="1:13">
      <c r="A50" s="583"/>
      <c r="B50" s="584"/>
      <c r="C50" s="584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584"/>
      <c r="K50" s="584"/>
      <c r="L50" s="584"/>
      <c r="M50" s="586"/>
    </row>
    <row r="51" spans="1:13" ht="13.5" customHeight="1">
      <c r="A51" s="593" t="s">
        <v>51</v>
      </c>
      <c r="B51" s="525" t="s">
        <v>29</v>
      </c>
      <c r="C51" s="27" t="s">
        <v>52</v>
      </c>
      <c r="D51" s="61">
        <v>5</v>
      </c>
      <c r="E51" s="490">
        <v>1</v>
      </c>
      <c r="F51" s="28">
        <f t="shared" ref="F51:F77" si="4">E51/D51</f>
        <v>0.2</v>
      </c>
      <c r="G51" s="479">
        <f>D51+'2017FEB'!G51</f>
        <v>15</v>
      </c>
      <c r="H51" s="479">
        <f>E51+'2017FEB'!H51</f>
        <v>4</v>
      </c>
      <c r="I51" s="28">
        <f t="shared" ref="I51:I77" si="5">H51/G51</f>
        <v>0.26666666666666666</v>
      </c>
      <c r="J51" s="596"/>
      <c r="K51" s="597"/>
      <c r="L51" s="597"/>
      <c r="M51" s="598"/>
    </row>
    <row r="52" spans="1:13">
      <c r="A52" s="594"/>
      <c r="B52" s="525"/>
      <c r="C52" s="27" t="s">
        <v>53</v>
      </c>
      <c r="D52" s="61">
        <v>413</v>
      </c>
      <c r="E52" s="490">
        <v>402</v>
      </c>
      <c r="F52" s="28">
        <f t="shared" si="4"/>
        <v>0.9733656174334141</v>
      </c>
      <c r="G52" s="479">
        <f>D52+'2017FEB'!G52</f>
        <v>1250</v>
      </c>
      <c r="H52" s="479">
        <f>E52+'2017FEB'!H52</f>
        <v>1217</v>
      </c>
      <c r="I52" s="28">
        <f t="shared" si="5"/>
        <v>0.97360000000000002</v>
      </c>
      <c r="J52" s="596"/>
      <c r="K52" s="597"/>
      <c r="L52" s="597"/>
      <c r="M52" s="598"/>
    </row>
    <row r="53" spans="1:13">
      <c r="A53" s="595"/>
      <c r="B53" s="525"/>
      <c r="C53" s="29" t="s">
        <v>54</v>
      </c>
      <c r="D53" s="487">
        <f>SUM(D51:D52)</f>
        <v>418</v>
      </c>
      <c r="E53" s="487">
        <f>SUM(E51:E52)</f>
        <v>403</v>
      </c>
      <c r="F53" s="30">
        <f t="shared" si="4"/>
        <v>0.96411483253588515</v>
      </c>
      <c r="G53" s="487">
        <f>SUM(G51:G52)</f>
        <v>1265</v>
      </c>
      <c r="H53" s="487">
        <f>SUM(H51:H52)</f>
        <v>1221</v>
      </c>
      <c r="I53" s="30">
        <f t="shared" si="5"/>
        <v>0.9652173913043478</v>
      </c>
      <c r="J53" s="599"/>
      <c r="K53" s="600"/>
      <c r="L53" s="600"/>
      <c r="M53" s="601"/>
    </row>
    <row r="54" spans="1:13">
      <c r="A54" s="602" t="s">
        <v>55</v>
      </c>
      <c r="B54" s="525" t="s">
        <v>52</v>
      </c>
      <c r="C54" s="525"/>
      <c r="D54" s="61">
        <v>2</v>
      </c>
      <c r="E54" s="490">
        <v>0</v>
      </c>
      <c r="F54" s="28">
        <f t="shared" si="4"/>
        <v>0</v>
      </c>
      <c r="G54" s="479">
        <f>D54+'2017FEB'!G54</f>
        <v>6</v>
      </c>
      <c r="H54" s="479">
        <f>E54+'2017FEB'!H54</f>
        <v>3</v>
      </c>
      <c r="I54" s="28">
        <f t="shared" si="5"/>
        <v>0.5</v>
      </c>
      <c r="J54" s="596"/>
      <c r="K54" s="597"/>
      <c r="L54" s="597"/>
      <c r="M54" s="598"/>
    </row>
    <row r="55" spans="1:13">
      <c r="A55" s="602"/>
      <c r="B55" s="525" t="s">
        <v>53</v>
      </c>
      <c r="C55" s="525"/>
      <c r="D55" s="61">
        <v>308</v>
      </c>
      <c r="E55" s="490">
        <v>353</v>
      </c>
      <c r="F55" s="28">
        <f t="shared" si="4"/>
        <v>1.1461038961038961</v>
      </c>
      <c r="G55" s="479">
        <f>D55+'2017FEB'!G55</f>
        <v>932</v>
      </c>
      <c r="H55" s="479">
        <f>E55+'2017FEB'!H55</f>
        <v>1071</v>
      </c>
      <c r="I55" s="28">
        <f t="shared" si="5"/>
        <v>1.1491416309012876</v>
      </c>
      <c r="J55" s="596"/>
      <c r="K55" s="597"/>
      <c r="L55" s="597"/>
      <c r="M55" s="598"/>
    </row>
    <row r="56" spans="1:13">
      <c r="A56" s="602"/>
      <c r="B56" s="603" t="s">
        <v>30</v>
      </c>
      <c r="C56" s="603"/>
      <c r="D56" s="474">
        <f>SUM(D54:D55)</f>
        <v>310</v>
      </c>
      <c r="E56" s="474">
        <f>SUM(E54:E55)</f>
        <v>353</v>
      </c>
      <c r="F56" s="28">
        <f t="shared" si="4"/>
        <v>1.1387096774193548</v>
      </c>
      <c r="G56" s="474">
        <f>SUM(G54:G55)</f>
        <v>938</v>
      </c>
      <c r="H56" s="474">
        <f>SUM(H54:H55)</f>
        <v>1074</v>
      </c>
      <c r="I56" s="31">
        <f t="shared" si="5"/>
        <v>1.1449893390191899</v>
      </c>
      <c r="J56" s="604"/>
      <c r="K56" s="605"/>
      <c r="L56" s="605"/>
      <c r="M56" s="606"/>
    </row>
    <row r="57" spans="1:13" s="8" customFormat="1">
      <c r="A57" s="607" t="s">
        <v>46</v>
      </c>
      <c r="B57" s="609" t="s">
        <v>52</v>
      </c>
      <c r="C57" s="609"/>
      <c r="D57" s="473">
        <f>SUM(D51,D54)</f>
        <v>7</v>
      </c>
      <c r="E57" s="473">
        <f>SUM(E51,E54)</f>
        <v>1</v>
      </c>
      <c r="F57" s="32">
        <f t="shared" si="4"/>
        <v>0.14285714285714285</v>
      </c>
      <c r="G57" s="473">
        <f>SUM(G51,G54)</f>
        <v>21</v>
      </c>
      <c r="H57" s="473">
        <f>SUM(H51,H54)</f>
        <v>7</v>
      </c>
      <c r="I57" s="32">
        <f t="shared" si="5"/>
        <v>0.33333333333333331</v>
      </c>
      <c r="J57" s="610"/>
      <c r="K57" s="611"/>
      <c r="L57" s="611"/>
      <c r="M57" s="612"/>
    </row>
    <row r="58" spans="1:13" s="8" customFormat="1">
      <c r="A58" s="607"/>
      <c r="B58" s="609" t="s">
        <v>53</v>
      </c>
      <c r="C58" s="609"/>
      <c r="D58" s="473">
        <f>SUM(D52,D55)</f>
        <v>721</v>
      </c>
      <c r="E58" s="473">
        <f>SUM(E52,E55)</f>
        <v>755</v>
      </c>
      <c r="F58" s="32">
        <f t="shared" si="4"/>
        <v>1.0471567267683772</v>
      </c>
      <c r="G58" s="473">
        <f>SUM(G52,G55)</f>
        <v>2182</v>
      </c>
      <c r="H58" s="473">
        <f>SUM(H52,H55)</f>
        <v>2288</v>
      </c>
      <c r="I58" s="32">
        <f t="shared" si="5"/>
        <v>1.0485792850595783</v>
      </c>
      <c r="J58" s="610"/>
      <c r="K58" s="611"/>
      <c r="L58" s="611"/>
      <c r="M58" s="612"/>
    </row>
    <row r="59" spans="1:13" s="8" customFormat="1" ht="17.25" customHeight="1" thickBot="1">
      <c r="A59" s="608"/>
      <c r="B59" s="613" t="s">
        <v>56</v>
      </c>
      <c r="C59" s="613"/>
      <c r="D59" s="481">
        <f>SUM(D57:D58)</f>
        <v>728</v>
      </c>
      <c r="E59" s="481">
        <f>SUM(E57:E58)</f>
        <v>756</v>
      </c>
      <c r="F59" s="33">
        <f t="shared" si="4"/>
        <v>1.0384615384615385</v>
      </c>
      <c r="G59" s="481">
        <f>SUM(G57:G58)</f>
        <v>2203</v>
      </c>
      <c r="H59" s="481">
        <f>SUM(H57:H58)</f>
        <v>2295</v>
      </c>
      <c r="I59" s="33">
        <f t="shared" si="5"/>
        <v>1.0417612346799818</v>
      </c>
      <c r="J59" s="614"/>
      <c r="K59" s="615"/>
      <c r="L59" s="615"/>
      <c r="M59" s="616"/>
    </row>
    <row r="60" spans="1:13">
      <c r="A60" s="593" t="s">
        <v>57</v>
      </c>
      <c r="B60" s="525" t="s">
        <v>29</v>
      </c>
      <c r="C60" s="27" t="s">
        <v>52</v>
      </c>
      <c r="D60" s="61">
        <v>16</v>
      </c>
      <c r="E60" s="479">
        <f>E69/10</f>
        <v>3.5</v>
      </c>
      <c r="F60" s="28">
        <f t="shared" si="4"/>
        <v>0.21875</v>
      </c>
      <c r="G60" s="479">
        <f>D60+'2017FEB'!G60</f>
        <v>48</v>
      </c>
      <c r="H60" s="479">
        <f>E60+'2017FEB'!H60</f>
        <v>10</v>
      </c>
      <c r="I60" s="28">
        <f t="shared" si="5"/>
        <v>0.20833333333333334</v>
      </c>
      <c r="J60" s="596"/>
      <c r="K60" s="597"/>
      <c r="L60" s="597"/>
      <c r="M60" s="598"/>
    </row>
    <row r="61" spans="1:13">
      <c r="A61" s="594"/>
      <c r="B61" s="525"/>
      <c r="C61" s="27" t="s">
        <v>53</v>
      </c>
      <c r="D61" s="61">
        <v>1352</v>
      </c>
      <c r="E61" s="479">
        <f>E70/10</f>
        <v>1146.9000000000001</v>
      </c>
      <c r="F61" s="28">
        <f t="shared" si="4"/>
        <v>0.8482988165680474</v>
      </c>
      <c r="G61" s="479">
        <f>D61+'2017FEB'!G61</f>
        <v>4088</v>
      </c>
      <c r="H61" s="479">
        <f>E61+'2017FEB'!H61</f>
        <v>3464.4</v>
      </c>
      <c r="I61" s="28">
        <f t="shared" si="5"/>
        <v>0.84745596868884543</v>
      </c>
      <c r="J61" s="596"/>
      <c r="K61" s="597"/>
      <c r="L61" s="597"/>
      <c r="M61" s="598"/>
    </row>
    <row r="62" spans="1:13">
      <c r="A62" s="595"/>
      <c r="B62" s="525"/>
      <c r="C62" s="29" t="s">
        <v>54</v>
      </c>
      <c r="D62" s="61">
        <f>SUM(D60:D61)</f>
        <v>1368</v>
      </c>
      <c r="E62" s="487">
        <f>SUM(E60:E61)</f>
        <v>1150.4000000000001</v>
      </c>
      <c r="F62" s="30">
        <f t="shared" si="4"/>
        <v>0.84093567251461998</v>
      </c>
      <c r="G62" s="487">
        <f>SUM(G60:G61)</f>
        <v>4136</v>
      </c>
      <c r="H62" s="487">
        <f>SUM(H60:H61)</f>
        <v>3474.4</v>
      </c>
      <c r="I62" s="30">
        <f t="shared" si="5"/>
        <v>0.8400386847195358</v>
      </c>
      <c r="J62" s="599"/>
      <c r="K62" s="600"/>
      <c r="L62" s="600"/>
      <c r="M62" s="601"/>
    </row>
    <row r="63" spans="1:13">
      <c r="A63" s="602" t="s">
        <v>58</v>
      </c>
      <c r="B63" s="525" t="s">
        <v>52</v>
      </c>
      <c r="C63" s="525"/>
      <c r="D63" s="61">
        <v>2</v>
      </c>
      <c r="E63" s="479">
        <f>E72/10</f>
        <v>0</v>
      </c>
      <c r="F63" s="28">
        <f t="shared" si="4"/>
        <v>0</v>
      </c>
      <c r="G63" s="479">
        <f>D63+'2017FEB'!G63</f>
        <v>6</v>
      </c>
      <c r="H63" s="479">
        <f>E63+'2017FEB'!H63</f>
        <v>7.4</v>
      </c>
      <c r="I63" s="28">
        <f t="shared" si="5"/>
        <v>1.2333333333333334</v>
      </c>
      <c r="J63" s="596"/>
      <c r="K63" s="597"/>
      <c r="L63" s="597"/>
      <c r="M63" s="598"/>
    </row>
    <row r="64" spans="1:13">
      <c r="A64" s="602"/>
      <c r="B64" s="525" t="s">
        <v>53</v>
      </c>
      <c r="C64" s="525"/>
      <c r="D64" s="61">
        <v>462</v>
      </c>
      <c r="E64" s="479">
        <f>E73/10</f>
        <v>414.3</v>
      </c>
      <c r="F64" s="28">
        <f t="shared" si="4"/>
        <v>0.89675324675324675</v>
      </c>
      <c r="G64" s="479">
        <f>D64+'2017FEB'!G64</f>
        <v>1398</v>
      </c>
      <c r="H64" s="479">
        <f>E64+'2017FEB'!H64</f>
        <v>1245.2</v>
      </c>
      <c r="I64" s="28">
        <f t="shared" si="5"/>
        <v>0.89070100143061515</v>
      </c>
      <c r="J64" s="596"/>
      <c r="K64" s="597"/>
      <c r="L64" s="597"/>
      <c r="M64" s="598"/>
    </row>
    <row r="65" spans="1:14">
      <c r="A65" s="602"/>
      <c r="B65" s="603" t="s">
        <v>30</v>
      </c>
      <c r="C65" s="603"/>
      <c r="D65" s="474">
        <f>SUM(D63:D64)</f>
        <v>464</v>
      </c>
      <c r="E65" s="474">
        <f>SUM(E63:E64)</f>
        <v>414.3</v>
      </c>
      <c r="F65" s="31">
        <f t="shared" si="4"/>
        <v>0.89288793103448283</v>
      </c>
      <c r="G65" s="474">
        <f>SUM(G63:G64)</f>
        <v>1404</v>
      </c>
      <c r="H65" s="474">
        <f>SUM(H63:H64)</f>
        <v>1252.6000000000001</v>
      </c>
      <c r="I65" s="31">
        <f t="shared" si="5"/>
        <v>0.89216524216524229</v>
      </c>
      <c r="J65" s="604"/>
      <c r="K65" s="605"/>
      <c r="L65" s="605"/>
      <c r="M65" s="606"/>
    </row>
    <row r="66" spans="1:14" s="8" customFormat="1">
      <c r="A66" s="607" t="s">
        <v>46</v>
      </c>
      <c r="B66" s="609" t="s">
        <v>52</v>
      </c>
      <c r="C66" s="609"/>
      <c r="D66" s="473">
        <f>SUM(D60,D63)</f>
        <v>18</v>
      </c>
      <c r="E66" s="473">
        <f>SUM(E60,E63)</f>
        <v>3.5</v>
      </c>
      <c r="F66" s="32">
        <f t="shared" si="4"/>
        <v>0.19444444444444445</v>
      </c>
      <c r="G66" s="473">
        <f>SUM(G60,G63)</f>
        <v>54</v>
      </c>
      <c r="H66" s="473">
        <f>SUM(H60,H63)</f>
        <v>17.399999999999999</v>
      </c>
      <c r="I66" s="32">
        <f t="shared" si="5"/>
        <v>0.32222222222222219</v>
      </c>
      <c r="J66" s="610"/>
      <c r="K66" s="611"/>
      <c r="L66" s="611"/>
      <c r="M66" s="612"/>
    </row>
    <row r="67" spans="1:14" s="8" customFormat="1">
      <c r="A67" s="607"/>
      <c r="B67" s="609" t="s">
        <v>53</v>
      </c>
      <c r="C67" s="609"/>
      <c r="D67" s="473">
        <f>SUM(D61,D64)</f>
        <v>1814</v>
      </c>
      <c r="E67" s="473">
        <f>SUM(E61,E64)</f>
        <v>1561.2</v>
      </c>
      <c r="F67" s="32">
        <f t="shared" si="4"/>
        <v>0.86063947078280045</v>
      </c>
      <c r="G67" s="473">
        <f>SUM(G61,G64)</f>
        <v>5486</v>
      </c>
      <c r="H67" s="473">
        <f>SUM(H61,H64)</f>
        <v>4709.6000000000004</v>
      </c>
      <c r="I67" s="32">
        <f t="shared" si="5"/>
        <v>0.85847612103536286</v>
      </c>
      <c r="J67" s="610"/>
      <c r="K67" s="611"/>
      <c r="L67" s="611"/>
      <c r="M67" s="612"/>
    </row>
    <row r="68" spans="1:14" s="8" customFormat="1" ht="14" thickBot="1">
      <c r="A68" s="608"/>
      <c r="B68" s="613" t="s">
        <v>59</v>
      </c>
      <c r="C68" s="613"/>
      <c r="D68" s="481">
        <f>SUM(D66:D67)</f>
        <v>1832</v>
      </c>
      <c r="E68" s="481">
        <f>SUM(E66:E67)</f>
        <v>1564.7</v>
      </c>
      <c r="F68" s="34">
        <f t="shared" si="4"/>
        <v>0.85409388646288209</v>
      </c>
      <c r="G68" s="481">
        <f>SUM(G66:G67)</f>
        <v>5540</v>
      </c>
      <c r="H68" s="481">
        <f>SUM(H66:H67)</f>
        <v>4727</v>
      </c>
      <c r="I68" s="34">
        <f t="shared" si="5"/>
        <v>0.85324909747292421</v>
      </c>
      <c r="J68" s="614"/>
      <c r="K68" s="615"/>
      <c r="L68" s="615"/>
      <c r="M68" s="616"/>
    </row>
    <row r="69" spans="1:14">
      <c r="A69" s="593" t="s">
        <v>60</v>
      </c>
      <c r="B69" s="525" t="s">
        <v>29</v>
      </c>
      <c r="C69" s="27" t="s">
        <v>52</v>
      </c>
      <c r="D69" s="479">
        <v>465</v>
      </c>
      <c r="E69" s="490">
        <v>35</v>
      </c>
      <c r="F69" s="28">
        <f t="shared" si="4"/>
        <v>7.5268817204301078E-2</v>
      </c>
      <c r="G69" s="479">
        <f>D69+'2017FEB'!G69</f>
        <v>930</v>
      </c>
      <c r="H69" s="479">
        <f>E69+'2017FEB'!H69</f>
        <v>100</v>
      </c>
      <c r="I69" s="28">
        <f t="shared" si="5"/>
        <v>0.10752688172043011</v>
      </c>
      <c r="J69" s="596"/>
      <c r="K69" s="597"/>
      <c r="L69" s="597"/>
      <c r="M69" s="598"/>
    </row>
    <row r="70" spans="1:14">
      <c r="A70" s="594"/>
      <c r="B70" s="525"/>
      <c r="C70" s="27" t="s">
        <v>53</v>
      </c>
      <c r="D70" s="479">
        <v>13521</v>
      </c>
      <c r="E70" s="479">
        <f>E21-E69</f>
        <v>11469</v>
      </c>
      <c r="F70" s="28">
        <f t="shared" si="4"/>
        <v>0.84823607721322392</v>
      </c>
      <c r="G70" s="479">
        <f>D70+'2017FEB'!G70</f>
        <v>40884</v>
      </c>
      <c r="H70" s="479">
        <f>E70+'2017FEB'!H70</f>
        <v>34644</v>
      </c>
      <c r="I70" s="28">
        <f t="shared" si="5"/>
        <v>0.84737305547402408</v>
      </c>
      <c r="J70" s="596"/>
      <c r="K70" s="597"/>
      <c r="L70" s="597"/>
      <c r="M70" s="598"/>
    </row>
    <row r="71" spans="1:14">
      <c r="A71" s="595"/>
      <c r="B71" s="525"/>
      <c r="C71" s="29" t="s">
        <v>54</v>
      </c>
      <c r="D71" s="487">
        <f>SUM(D69:D70)</f>
        <v>13986</v>
      </c>
      <c r="E71" s="487">
        <f>SUM(E69:E70)</f>
        <v>11504</v>
      </c>
      <c r="F71" s="30">
        <f t="shared" si="4"/>
        <v>0.82253682253682259</v>
      </c>
      <c r="G71" s="487">
        <f>SUM(G69:G70)</f>
        <v>41814</v>
      </c>
      <c r="H71" s="487">
        <f>SUM(H69:H70)</f>
        <v>34744</v>
      </c>
      <c r="I71" s="30">
        <f t="shared" si="5"/>
        <v>0.83091787439613529</v>
      </c>
      <c r="J71" s="599"/>
      <c r="K71" s="600"/>
      <c r="L71" s="600"/>
      <c r="M71" s="601"/>
    </row>
    <row r="72" spans="1:14">
      <c r="A72" s="602" t="s">
        <v>61</v>
      </c>
      <c r="B72" s="525" t="s">
        <v>52</v>
      </c>
      <c r="C72" s="525"/>
      <c r="D72" s="479">
        <v>60</v>
      </c>
      <c r="E72" s="490">
        <v>0</v>
      </c>
      <c r="F72" s="28">
        <f t="shared" si="4"/>
        <v>0</v>
      </c>
      <c r="G72" s="479">
        <f>D72+'2017FEB'!G72</f>
        <v>120</v>
      </c>
      <c r="H72" s="479">
        <f>E72+'2017FEB'!H72</f>
        <v>74</v>
      </c>
      <c r="I72" s="28">
        <f t="shared" si="5"/>
        <v>0.6166666666666667</v>
      </c>
      <c r="J72" s="596"/>
      <c r="K72" s="597"/>
      <c r="L72" s="597"/>
      <c r="M72" s="598"/>
    </row>
    <row r="73" spans="1:14">
      <c r="A73" s="602"/>
      <c r="B73" s="525" t="s">
        <v>53</v>
      </c>
      <c r="C73" s="525"/>
      <c r="D73" s="479">
        <v>4622</v>
      </c>
      <c r="E73" s="479">
        <f>E23-E72</f>
        <v>4143</v>
      </c>
      <c r="F73" s="28">
        <f t="shared" si="4"/>
        <v>0.89636520986585888</v>
      </c>
      <c r="G73" s="479">
        <f>D73+'2017FEB'!G73</f>
        <v>13976</v>
      </c>
      <c r="H73" s="479">
        <f>E73+'2017FEB'!H73</f>
        <v>12452</v>
      </c>
      <c r="I73" s="28">
        <f t="shared" si="5"/>
        <v>0.89095592444190042</v>
      </c>
      <c r="J73" s="596"/>
      <c r="K73" s="597"/>
      <c r="L73" s="597"/>
      <c r="M73" s="598"/>
    </row>
    <row r="74" spans="1:14">
      <c r="A74" s="602"/>
      <c r="B74" s="603" t="s">
        <v>30</v>
      </c>
      <c r="C74" s="603"/>
      <c r="D74" s="474">
        <f>SUM(D72:D73)</f>
        <v>4682</v>
      </c>
      <c r="E74" s="474">
        <f>SUM(E72:E73)</f>
        <v>4143</v>
      </c>
      <c r="F74" s="31">
        <f t="shared" si="4"/>
        <v>0.88487825715506196</v>
      </c>
      <c r="G74" s="474">
        <f>SUM(G72:G73)</f>
        <v>14096</v>
      </c>
      <c r="H74" s="474">
        <f>SUM(H72:H73)</f>
        <v>12526</v>
      </c>
      <c r="I74" s="31">
        <f t="shared" si="5"/>
        <v>0.88862088535754824</v>
      </c>
      <c r="J74" s="604"/>
      <c r="K74" s="605"/>
      <c r="L74" s="605"/>
      <c r="M74" s="606"/>
    </row>
    <row r="75" spans="1:14" s="8" customFormat="1">
      <c r="A75" s="607" t="s">
        <v>46</v>
      </c>
      <c r="B75" s="609" t="s">
        <v>52</v>
      </c>
      <c r="C75" s="609"/>
      <c r="D75" s="473">
        <f>SUM(D69,D72)</f>
        <v>525</v>
      </c>
      <c r="E75" s="473">
        <f>SUM(E69,E72)</f>
        <v>35</v>
      </c>
      <c r="F75" s="32">
        <f t="shared" si="4"/>
        <v>6.6666666666666666E-2</v>
      </c>
      <c r="G75" s="473">
        <f>SUM(G69,G72)</f>
        <v>1050</v>
      </c>
      <c r="H75" s="473">
        <f>SUM(H69,H72)</f>
        <v>174</v>
      </c>
      <c r="I75" s="32">
        <f t="shared" si="5"/>
        <v>0.1657142857142857</v>
      </c>
      <c r="J75" s="610"/>
      <c r="K75" s="611"/>
      <c r="L75" s="611"/>
      <c r="M75" s="612"/>
    </row>
    <row r="76" spans="1:14" s="8" customFormat="1">
      <c r="A76" s="607"/>
      <c r="B76" s="609" t="s">
        <v>53</v>
      </c>
      <c r="C76" s="609"/>
      <c r="D76" s="473">
        <f>SUM(D70,D73)</f>
        <v>18143</v>
      </c>
      <c r="E76" s="473">
        <f>SUM(E70,E73)</f>
        <v>15612</v>
      </c>
      <c r="F76" s="32">
        <f t="shared" si="4"/>
        <v>0.8604971614396737</v>
      </c>
      <c r="G76" s="473">
        <f>SUM(G70,G73)</f>
        <v>54860</v>
      </c>
      <c r="H76" s="473">
        <f>SUM(H70,H73)</f>
        <v>47096</v>
      </c>
      <c r="I76" s="32">
        <f t="shared" si="5"/>
        <v>0.85847612103536275</v>
      </c>
      <c r="J76" s="610"/>
      <c r="K76" s="611"/>
      <c r="L76" s="611"/>
      <c r="M76" s="612"/>
    </row>
    <row r="77" spans="1:14" s="8" customFormat="1" ht="14" thickBot="1">
      <c r="A77" s="608"/>
      <c r="B77" s="613" t="s">
        <v>62</v>
      </c>
      <c r="C77" s="613"/>
      <c r="D77" s="481">
        <f>SUM(D75:D76)</f>
        <v>18668</v>
      </c>
      <c r="E77" s="481">
        <f>SUM(E75:E76)</f>
        <v>15647</v>
      </c>
      <c r="F77" s="34">
        <f t="shared" si="4"/>
        <v>0.83817227340904221</v>
      </c>
      <c r="G77" s="481">
        <f>SUM(G75:G76)</f>
        <v>55910</v>
      </c>
      <c r="H77" s="481">
        <f>SUM(H75:H76)</f>
        <v>47270</v>
      </c>
      <c r="I77" s="34">
        <f t="shared" si="5"/>
        <v>0.84546592738329462</v>
      </c>
      <c r="J77" s="614"/>
      <c r="K77" s="615"/>
      <c r="L77" s="615"/>
      <c r="M77" s="616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581" t="s">
        <v>65</v>
      </c>
      <c r="B82" s="582" t="s">
        <v>66</v>
      </c>
      <c r="C82" s="582" t="s">
        <v>50</v>
      </c>
      <c r="D82" s="582" t="s">
        <v>20</v>
      </c>
      <c r="E82" s="582"/>
      <c r="F82" s="582"/>
      <c r="G82" s="582" t="s">
        <v>21</v>
      </c>
      <c r="H82" s="582"/>
      <c r="I82" s="582"/>
      <c r="J82" s="582" t="s">
        <v>10</v>
      </c>
      <c r="K82" s="582"/>
      <c r="L82" s="582"/>
      <c r="M82" s="585"/>
    </row>
    <row r="83" spans="1:13">
      <c r="A83" s="583"/>
      <c r="B83" s="584"/>
      <c r="C83" s="584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584"/>
      <c r="K83" s="584"/>
      <c r="L83" s="584"/>
      <c r="M83" s="586"/>
    </row>
    <row r="84" spans="1:13">
      <c r="A84" s="573" t="s">
        <v>67</v>
      </c>
      <c r="B84" s="525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D84+'2017FEB'!G84</f>
        <v>2</v>
      </c>
      <c r="H84" s="479">
        <f>E84+'2017FEB'!H84</f>
        <v>0</v>
      </c>
      <c r="I84" s="498">
        <f>H84/G84</f>
        <v>0</v>
      </c>
      <c r="J84" s="596"/>
      <c r="K84" s="597"/>
      <c r="L84" s="597"/>
      <c r="M84" s="598"/>
    </row>
    <row r="85" spans="1:13">
      <c r="A85" s="573"/>
      <c r="B85" s="525"/>
      <c r="C85" s="27" t="s">
        <v>70</v>
      </c>
      <c r="D85" s="479">
        <v>85</v>
      </c>
      <c r="E85" s="490">
        <v>67.5</v>
      </c>
      <c r="F85" s="28">
        <f t="shared" ref="F85:F98" si="6">E85/D85</f>
        <v>0.79411764705882348</v>
      </c>
      <c r="G85" s="479">
        <f>D85+'2017FEB'!G85</f>
        <v>253</v>
      </c>
      <c r="H85" s="479">
        <f>E85+'2017FEB'!H85</f>
        <v>205.5</v>
      </c>
      <c r="I85" s="28">
        <f t="shared" ref="I85:I98" si="7">H85/G85</f>
        <v>0.81225296442687744</v>
      </c>
      <c r="J85" s="596"/>
      <c r="K85" s="597"/>
      <c r="L85" s="597"/>
      <c r="M85" s="598"/>
    </row>
    <row r="86" spans="1:13">
      <c r="A86" s="573"/>
      <c r="B86" s="525"/>
      <c r="C86" s="38" t="s">
        <v>71</v>
      </c>
      <c r="D86" s="487">
        <f>SUM(D84:D85)</f>
        <v>85</v>
      </c>
      <c r="E86" s="487">
        <f>SUM(E84:E85)</f>
        <v>67.5</v>
      </c>
      <c r="F86" s="30">
        <f t="shared" si="6"/>
        <v>0.79411764705882348</v>
      </c>
      <c r="G86" s="487">
        <f>SUM(G84:G85)</f>
        <v>255</v>
      </c>
      <c r="H86" s="487">
        <f>SUM(H84:H85)</f>
        <v>205.5</v>
      </c>
      <c r="I86" s="30">
        <f t="shared" si="7"/>
        <v>0.80588235294117649</v>
      </c>
      <c r="J86" s="599"/>
      <c r="K86" s="600"/>
      <c r="L86" s="600"/>
      <c r="M86" s="601"/>
    </row>
    <row r="87" spans="1:13">
      <c r="A87" s="573"/>
      <c r="B87" s="525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D87+'2017FEB'!G87</f>
        <v>1</v>
      </c>
      <c r="H87" s="479">
        <f>E87+'2017FEB'!H87</f>
        <v>0</v>
      </c>
      <c r="I87" s="28">
        <f t="shared" si="7"/>
        <v>0</v>
      </c>
      <c r="J87" s="596"/>
      <c r="K87" s="597"/>
      <c r="L87" s="597"/>
      <c r="M87" s="598"/>
    </row>
    <row r="88" spans="1:13">
      <c r="A88" s="573"/>
      <c r="B88" s="525"/>
      <c r="C88" s="27" t="s">
        <v>70</v>
      </c>
      <c r="D88" s="479">
        <v>20</v>
      </c>
      <c r="E88" s="490">
        <v>17.5</v>
      </c>
      <c r="F88" s="28">
        <f t="shared" si="6"/>
        <v>0.875</v>
      </c>
      <c r="G88" s="479">
        <f>D88+'2017FEB'!G88</f>
        <v>59</v>
      </c>
      <c r="H88" s="479">
        <f>E88+'2017FEB'!H88</f>
        <v>52.5</v>
      </c>
      <c r="I88" s="28">
        <f t="shared" si="7"/>
        <v>0.88983050847457623</v>
      </c>
      <c r="J88" s="596"/>
      <c r="K88" s="597"/>
      <c r="L88" s="597"/>
      <c r="M88" s="598"/>
    </row>
    <row r="89" spans="1:13">
      <c r="A89" s="573"/>
      <c r="B89" s="525"/>
      <c r="C89" s="38" t="s">
        <v>71</v>
      </c>
      <c r="D89" s="487">
        <f>SUM(D87:D88)</f>
        <v>20</v>
      </c>
      <c r="E89" s="487">
        <f>SUM(E87:E88)</f>
        <v>17.5</v>
      </c>
      <c r="F89" s="30">
        <f t="shared" si="6"/>
        <v>0.875</v>
      </c>
      <c r="G89" s="487">
        <f>SUM(G87:G88)</f>
        <v>60</v>
      </c>
      <c r="H89" s="487">
        <f>SUM(H87:H88)</f>
        <v>52.5</v>
      </c>
      <c r="I89" s="30">
        <f t="shared" si="7"/>
        <v>0.875</v>
      </c>
      <c r="J89" s="599"/>
      <c r="K89" s="600"/>
      <c r="L89" s="600"/>
      <c r="M89" s="601"/>
    </row>
    <row r="90" spans="1:13">
      <c r="A90" s="573"/>
      <c r="B90" s="525" t="s">
        <v>73</v>
      </c>
      <c r="C90" s="27" t="s">
        <v>69</v>
      </c>
      <c r="D90" s="479">
        <v>1</v>
      </c>
      <c r="E90" s="490">
        <v>1</v>
      </c>
      <c r="F90" s="28">
        <f t="shared" si="6"/>
        <v>1</v>
      </c>
      <c r="G90" s="479">
        <f>D90+'2017FEB'!G90</f>
        <v>2</v>
      </c>
      <c r="H90" s="479">
        <f>E90+'2017FEB'!H90</f>
        <v>1</v>
      </c>
      <c r="I90" s="28">
        <f t="shared" si="7"/>
        <v>0.5</v>
      </c>
      <c r="J90" s="596"/>
      <c r="K90" s="597"/>
      <c r="L90" s="597"/>
      <c r="M90" s="598"/>
    </row>
    <row r="91" spans="1:13">
      <c r="A91" s="573"/>
      <c r="B91" s="525"/>
      <c r="C91" s="27" t="s">
        <v>70</v>
      </c>
      <c r="D91" s="479">
        <v>50</v>
      </c>
      <c r="E91" s="490">
        <v>46.5</v>
      </c>
      <c r="F91" s="28">
        <f t="shared" si="6"/>
        <v>0.93</v>
      </c>
      <c r="G91" s="479">
        <f>D91+'2017FEB'!G91</f>
        <v>149</v>
      </c>
      <c r="H91" s="479">
        <f>E91+'2017FEB'!H91</f>
        <v>138.5</v>
      </c>
      <c r="I91" s="28">
        <f t="shared" si="7"/>
        <v>0.92953020134228193</v>
      </c>
      <c r="J91" s="596"/>
      <c r="K91" s="597"/>
      <c r="L91" s="597"/>
      <c r="M91" s="598"/>
    </row>
    <row r="92" spans="1:13">
      <c r="A92" s="573"/>
      <c r="B92" s="525"/>
      <c r="C92" s="38" t="s">
        <v>71</v>
      </c>
      <c r="D92" s="487">
        <f>SUM(D90:D91)</f>
        <v>51</v>
      </c>
      <c r="E92" s="487">
        <f>SUM(E90:E91)</f>
        <v>47.5</v>
      </c>
      <c r="F92" s="30">
        <f t="shared" si="6"/>
        <v>0.93137254901960786</v>
      </c>
      <c r="G92" s="487">
        <f>SUM(G90:G91)</f>
        <v>151</v>
      </c>
      <c r="H92" s="487">
        <f>SUM(H90:H91)</f>
        <v>139.5</v>
      </c>
      <c r="I92" s="30">
        <f t="shared" si="7"/>
        <v>0.92384105960264906</v>
      </c>
      <c r="J92" s="599"/>
      <c r="K92" s="600"/>
      <c r="L92" s="600"/>
      <c r="M92" s="601"/>
    </row>
    <row r="93" spans="1:13">
      <c r="A93" s="573"/>
      <c r="B93" s="525" t="s">
        <v>74</v>
      </c>
      <c r="C93" s="27" t="s">
        <v>69</v>
      </c>
      <c r="D93" s="479">
        <v>0</v>
      </c>
      <c r="E93" s="490">
        <v>0.5</v>
      </c>
      <c r="F93" s="28" t="e">
        <f t="shared" si="6"/>
        <v>#DIV/0!</v>
      </c>
      <c r="G93" s="479">
        <f>D93+'2017FEB'!G93</f>
        <v>3</v>
      </c>
      <c r="H93" s="479">
        <f>E93+'2017FEB'!H93</f>
        <v>2</v>
      </c>
      <c r="I93" s="28">
        <f t="shared" si="7"/>
        <v>0.66666666666666663</v>
      </c>
      <c r="J93" s="596"/>
      <c r="K93" s="597"/>
      <c r="L93" s="597"/>
      <c r="M93" s="598"/>
    </row>
    <row r="94" spans="1:13">
      <c r="A94" s="573"/>
      <c r="B94" s="525"/>
      <c r="C94" s="27" t="s">
        <v>70</v>
      </c>
      <c r="D94" s="479">
        <v>92</v>
      </c>
      <c r="E94" s="490">
        <v>82</v>
      </c>
      <c r="F94" s="28">
        <f t="shared" si="6"/>
        <v>0.89130434782608692</v>
      </c>
      <c r="G94" s="479">
        <f>D94+'2017FEB'!G94</f>
        <v>273</v>
      </c>
      <c r="H94" s="479">
        <f>E94+'2017FEB'!H94</f>
        <v>248.5</v>
      </c>
      <c r="I94" s="28">
        <f t="shared" si="7"/>
        <v>0.91025641025641024</v>
      </c>
      <c r="J94" s="596"/>
      <c r="K94" s="597"/>
      <c r="L94" s="597"/>
      <c r="M94" s="598"/>
    </row>
    <row r="95" spans="1:13">
      <c r="A95" s="573"/>
      <c r="B95" s="525"/>
      <c r="C95" s="38" t="s">
        <v>71</v>
      </c>
      <c r="D95" s="487">
        <f>SUM(D93:D94)</f>
        <v>92</v>
      </c>
      <c r="E95" s="487">
        <f>SUM(E93:E94)</f>
        <v>82.5</v>
      </c>
      <c r="F95" s="30">
        <f t="shared" si="6"/>
        <v>0.89673913043478259</v>
      </c>
      <c r="G95" s="487">
        <f>SUM(G93:G94)</f>
        <v>276</v>
      </c>
      <c r="H95" s="487">
        <f>SUM(H93:H94)</f>
        <v>250.5</v>
      </c>
      <c r="I95" s="30">
        <f t="shared" si="7"/>
        <v>0.90760869565217395</v>
      </c>
      <c r="J95" s="599"/>
      <c r="K95" s="600"/>
      <c r="L95" s="600"/>
      <c r="M95" s="601"/>
    </row>
    <row r="96" spans="1:13">
      <c r="A96" s="573"/>
      <c r="B96" s="603" t="s">
        <v>46</v>
      </c>
      <c r="C96" s="39" t="s">
        <v>69</v>
      </c>
      <c r="D96" s="474">
        <f>SUM(D84,D87,D90,D93)</f>
        <v>1</v>
      </c>
      <c r="E96" s="474">
        <f>SUM(E84,E87,E90,E93)</f>
        <v>1.5</v>
      </c>
      <c r="F96" s="31">
        <f t="shared" si="6"/>
        <v>1.5</v>
      </c>
      <c r="G96" s="474">
        <f>SUM(G84,G87,G90,G93)</f>
        <v>8</v>
      </c>
      <c r="H96" s="474">
        <f>SUM(H84,H87,H90,H93)</f>
        <v>3</v>
      </c>
      <c r="I96" s="31">
        <f t="shared" si="7"/>
        <v>0.375</v>
      </c>
      <c r="J96" s="604"/>
      <c r="K96" s="605"/>
      <c r="L96" s="605"/>
      <c r="M96" s="606"/>
    </row>
    <row r="97" spans="1:13">
      <c r="A97" s="573"/>
      <c r="B97" s="603"/>
      <c r="C97" s="39" t="s">
        <v>70</v>
      </c>
      <c r="D97" s="474">
        <f>SUM(D85,D88,D91,D94)</f>
        <v>247</v>
      </c>
      <c r="E97" s="474">
        <f>SUM(E85,E88,E91,E94)</f>
        <v>213.5</v>
      </c>
      <c r="F97" s="31">
        <f t="shared" si="6"/>
        <v>0.86437246963562753</v>
      </c>
      <c r="G97" s="474">
        <f>SUM(G85,G88,G91,G94)</f>
        <v>734</v>
      </c>
      <c r="H97" s="474">
        <f>SUM(H85,H88,H91,H94)</f>
        <v>645</v>
      </c>
      <c r="I97" s="31">
        <f t="shared" si="7"/>
        <v>0.87874659400544963</v>
      </c>
      <c r="J97" s="604"/>
      <c r="K97" s="605"/>
      <c r="L97" s="605"/>
      <c r="M97" s="606"/>
    </row>
    <row r="98" spans="1:13" ht="14" thickBot="1">
      <c r="A98" s="623"/>
      <c r="B98" s="624"/>
      <c r="C98" s="40" t="s">
        <v>46</v>
      </c>
      <c r="D98" s="475">
        <f>SUM(D96:D97)</f>
        <v>248</v>
      </c>
      <c r="E98" s="475">
        <f>SUM(E96:E97)</f>
        <v>215</v>
      </c>
      <c r="F98" s="41">
        <f t="shared" si="6"/>
        <v>0.86693548387096775</v>
      </c>
      <c r="G98" s="475">
        <f>SUM(G96:G97)</f>
        <v>742</v>
      </c>
      <c r="H98" s="475">
        <f>SUM(H96:H97)</f>
        <v>648</v>
      </c>
      <c r="I98" s="41">
        <f t="shared" si="7"/>
        <v>0.87331536388140163</v>
      </c>
      <c r="J98" s="625"/>
      <c r="K98" s="626"/>
      <c r="L98" s="626"/>
      <c r="M98" s="627"/>
    </row>
    <row r="99" spans="1:13">
      <c r="A99" s="617" t="s">
        <v>75</v>
      </c>
      <c r="B99" s="619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D99+'2017FEB'!G99</f>
        <v>2</v>
      </c>
      <c r="H99" s="478">
        <f>E99+'2017FEB'!H99</f>
        <v>0</v>
      </c>
      <c r="I99" s="499">
        <f>H99/G99</f>
        <v>0</v>
      </c>
      <c r="J99" s="620"/>
      <c r="K99" s="621"/>
      <c r="L99" s="621"/>
      <c r="M99" s="622"/>
    </row>
    <row r="100" spans="1:13" ht="13.5" customHeight="1">
      <c r="A100" s="562"/>
      <c r="B100" s="525"/>
      <c r="C100" s="27" t="s">
        <v>70</v>
      </c>
      <c r="D100" s="479">
        <v>75</v>
      </c>
      <c r="E100" s="490">
        <v>59</v>
      </c>
      <c r="F100" s="28">
        <f t="shared" ref="F100:F109" si="8">E100/D100</f>
        <v>0.78666666666666663</v>
      </c>
      <c r="G100" s="477">
        <f>D100+'2017FEB'!G100</f>
        <v>223</v>
      </c>
      <c r="H100" s="477">
        <f>E100+'2017FEB'!H100</f>
        <v>177</v>
      </c>
      <c r="I100" s="28">
        <f t="shared" ref="I100:I109" si="9">H100/G100</f>
        <v>0.79372197309417036</v>
      </c>
      <c r="J100" s="596"/>
      <c r="K100" s="597"/>
      <c r="L100" s="597"/>
      <c r="M100" s="598"/>
    </row>
    <row r="101" spans="1:13" ht="13.5" customHeight="1">
      <c r="A101" s="562"/>
      <c r="B101" s="525"/>
      <c r="C101" s="38" t="s">
        <v>71</v>
      </c>
      <c r="D101" s="487">
        <f>SUM(D99:D100)</f>
        <v>75</v>
      </c>
      <c r="E101" s="487">
        <f>SUM(E99:E100)</f>
        <v>59</v>
      </c>
      <c r="F101" s="30">
        <f t="shared" si="8"/>
        <v>0.78666666666666663</v>
      </c>
      <c r="G101" s="487">
        <f>SUM(G99:G100)</f>
        <v>225</v>
      </c>
      <c r="H101" s="487">
        <f>SUM(H99:H100)</f>
        <v>177</v>
      </c>
      <c r="I101" s="30">
        <f t="shared" si="9"/>
        <v>0.78666666666666663</v>
      </c>
      <c r="J101" s="599"/>
      <c r="K101" s="600"/>
      <c r="L101" s="600"/>
      <c r="M101" s="601"/>
    </row>
    <row r="102" spans="1:13" ht="13.5" customHeight="1">
      <c r="A102" s="562"/>
      <c r="B102" s="525" t="s">
        <v>77</v>
      </c>
      <c r="C102" s="27" t="s">
        <v>69</v>
      </c>
      <c r="D102" s="479">
        <v>0</v>
      </c>
      <c r="E102" s="490">
        <v>0</v>
      </c>
      <c r="F102" s="28" t="e">
        <f t="shared" si="8"/>
        <v>#DIV/0!</v>
      </c>
      <c r="G102" s="479">
        <f>D102+'2017FEB'!G102</f>
        <v>2</v>
      </c>
      <c r="H102" s="479">
        <f>E102+'2017FEB'!H102</f>
        <v>0</v>
      </c>
      <c r="I102" s="28">
        <f t="shared" si="9"/>
        <v>0</v>
      </c>
      <c r="J102" s="596"/>
      <c r="K102" s="597"/>
      <c r="L102" s="597"/>
      <c r="M102" s="598"/>
    </row>
    <row r="103" spans="1:13" ht="13.5" customHeight="1">
      <c r="A103" s="562"/>
      <c r="B103" s="525"/>
      <c r="C103" s="27" t="s">
        <v>70</v>
      </c>
      <c r="D103" s="479">
        <v>41</v>
      </c>
      <c r="E103" s="490">
        <v>34.5</v>
      </c>
      <c r="F103" s="28">
        <f t="shared" si="8"/>
        <v>0.84146341463414631</v>
      </c>
      <c r="G103" s="479">
        <f>D103+'2017FEB'!G103</f>
        <v>121</v>
      </c>
      <c r="H103" s="479">
        <f>E103+'2017FEB'!H103</f>
        <v>106</v>
      </c>
      <c r="I103" s="28">
        <f t="shared" si="9"/>
        <v>0.87603305785123964</v>
      </c>
      <c r="J103" s="596"/>
      <c r="K103" s="597"/>
      <c r="L103" s="597"/>
      <c r="M103" s="598"/>
    </row>
    <row r="104" spans="1:13" ht="13.5" customHeight="1">
      <c r="A104" s="562"/>
      <c r="B104" s="525"/>
      <c r="C104" s="38" t="s">
        <v>71</v>
      </c>
      <c r="D104" s="487">
        <f>SUM(D102:D103)</f>
        <v>41</v>
      </c>
      <c r="E104" s="487">
        <f>SUM(E102:E103)</f>
        <v>34.5</v>
      </c>
      <c r="F104" s="30">
        <f t="shared" si="8"/>
        <v>0.84146341463414631</v>
      </c>
      <c r="G104" s="487">
        <f>SUM(G102:G103)</f>
        <v>123</v>
      </c>
      <c r="H104" s="487">
        <f>SUM(H102:H103)</f>
        <v>106</v>
      </c>
      <c r="I104" s="30">
        <f t="shared" si="9"/>
        <v>0.86178861788617889</v>
      </c>
      <c r="J104" s="599"/>
      <c r="K104" s="600"/>
      <c r="L104" s="600"/>
      <c r="M104" s="601"/>
    </row>
    <row r="105" spans="1:13" ht="13.5" customHeight="1">
      <c r="A105" s="562"/>
      <c r="B105" s="603" t="s">
        <v>46</v>
      </c>
      <c r="C105" s="39" t="s">
        <v>69</v>
      </c>
      <c r="D105" s="474">
        <f>SUM(D99,D102)</f>
        <v>0</v>
      </c>
      <c r="E105" s="474">
        <f>SUM(E99,E102)</f>
        <v>0</v>
      </c>
      <c r="F105" s="30" t="e">
        <f t="shared" si="8"/>
        <v>#DIV/0!</v>
      </c>
      <c r="G105" s="474">
        <f>SUM(G99,G102)</f>
        <v>4</v>
      </c>
      <c r="H105" s="474">
        <f>SUM(H99,H102)</f>
        <v>0</v>
      </c>
      <c r="I105" s="30">
        <f t="shared" si="9"/>
        <v>0</v>
      </c>
      <c r="J105" s="604"/>
      <c r="K105" s="605"/>
      <c r="L105" s="605"/>
      <c r="M105" s="606"/>
    </row>
    <row r="106" spans="1:13" ht="13.5" customHeight="1">
      <c r="A106" s="562"/>
      <c r="B106" s="603"/>
      <c r="C106" s="39" t="s">
        <v>70</v>
      </c>
      <c r="D106" s="474">
        <f>SUM(D100,D103)</f>
        <v>116</v>
      </c>
      <c r="E106" s="474">
        <f>SUM(E100,E103)</f>
        <v>93.5</v>
      </c>
      <c r="F106" s="30">
        <f t="shared" si="8"/>
        <v>0.80603448275862066</v>
      </c>
      <c r="G106" s="474">
        <f>SUM(G100,G103)</f>
        <v>344</v>
      </c>
      <c r="H106" s="474">
        <f>SUM(H100,H103)</f>
        <v>283</v>
      </c>
      <c r="I106" s="30">
        <f t="shared" si="9"/>
        <v>0.82267441860465118</v>
      </c>
      <c r="J106" s="604"/>
      <c r="K106" s="605"/>
      <c r="L106" s="605"/>
      <c r="M106" s="606"/>
    </row>
    <row r="107" spans="1:13" ht="14.25" customHeight="1" thickBot="1">
      <c r="A107" s="618"/>
      <c r="B107" s="624"/>
      <c r="C107" s="40" t="s">
        <v>46</v>
      </c>
      <c r="D107" s="475">
        <f>SUM(D105:D106)</f>
        <v>116</v>
      </c>
      <c r="E107" s="475">
        <f>SUM(E105:E106)</f>
        <v>93.5</v>
      </c>
      <c r="F107" s="41">
        <f t="shared" si="8"/>
        <v>0.80603448275862066</v>
      </c>
      <c r="G107" s="475">
        <f>SUM(G105:G106)</f>
        <v>348</v>
      </c>
      <c r="H107" s="475">
        <f>SUM(H105:H106)</f>
        <v>283</v>
      </c>
      <c r="I107" s="41">
        <f t="shared" si="9"/>
        <v>0.81321839080459768</v>
      </c>
      <c r="J107" s="625"/>
      <c r="K107" s="626"/>
      <c r="L107" s="626"/>
      <c r="M107" s="627"/>
    </row>
    <row r="108" spans="1:13">
      <c r="A108" s="635" t="s">
        <v>46</v>
      </c>
      <c r="B108" s="635"/>
      <c r="C108" s="44" t="s">
        <v>69</v>
      </c>
      <c r="D108" s="472">
        <f>SUM(D96,D105)</f>
        <v>1</v>
      </c>
      <c r="E108" s="472">
        <f>SUM(E96,E105)</f>
        <v>1.5</v>
      </c>
      <c r="F108" s="45">
        <f t="shared" si="8"/>
        <v>1.5</v>
      </c>
      <c r="G108" s="46">
        <f>SUM(G96,G105)</f>
        <v>12</v>
      </c>
      <c r="H108" s="46">
        <f>SUM(H96,H105)</f>
        <v>3</v>
      </c>
      <c r="I108" s="45">
        <f t="shared" si="9"/>
        <v>0.25</v>
      </c>
      <c r="J108" s="636"/>
      <c r="K108" s="637"/>
      <c r="L108" s="637"/>
      <c r="M108" s="638"/>
    </row>
    <row r="109" spans="1:13">
      <c r="A109" s="609"/>
      <c r="B109" s="609"/>
      <c r="C109" s="47" t="s">
        <v>70</v>
      </c>
      <c r="D109" s="473">
        <f>SUM(D97,D106)</f>
        <v>363</v>
      </c>
      <c r="E109" s="473">
        <f>SUM(E97,E106)</f>
        <v>307</v>
      </c>
      <c r="F109" s="32">
        <f t="shared" si="8"/>
        <v>0.84573002754820936</v>
      </c>
      <c r="G109" s="473">
        <f>SUM(G97,G106)</f>
        <v>1078</v>
      </c>
      <c r="H109" s="473">
        <f>SUM(H97,H106)</f>
        <v>928</v>
      </c>
      <c r="I109" s="32">
        <f t="shared" si="9"/>
        <v>0.86085343228200373</v>
      </c>
      <c r="J109" s="639"/>
      <c r="K109" s="640"/>
      <c r="L109" s="640"/>
      <c r="M109" s="641"/>
    </row>
    <row r="110" spans="1:13">
      <c r="A110" s="609"/>
      <c r="B110" s="609"/>
      <c r="C110" s="48" t="s">
        <v>46</v>
      </c>
      <c r="D110" s="473">
        <f>SUM(D108:D109)</f>
        <v>364</v>
      </c>
      <c r="E110" s="473">
        <f>SUM(E108:E109)</f>
        <v>308.5</v>
      </c>
      <c r="F110" s="49">
        <f>E110/D110</f>
        <v>0.84752747252747251</v>
      </c>
      <c r="G110" s="472">
        <f>SUM(G108:G109)</f>
        <v>1090</v>
      </c>
      <c r="H110" s="472">
        <f>SUM(H108:H109)</f>
        <v>931</v>
      </c>
      <c r="I110" s="49">
        <f>H110/G110</f>
        <v>0.85412844036697244</v>
      </c>
      <c r="J110" s="639"/>
      <c r="K110" s="640"/>
      <c r="L110" s="640"/>
      <c r="M110" s="641"/>
    </row>
    <row r="113" spans="1:13" ht="15" thickBot="1">
      <c r="A113" s="127" t="s">
        <v>78</v>
      </c>
    </row>
    <row r="114" spans="1:13">
      <c r="A114" s="642" t="s">
        <v>79</v>
      </c>
      <c r="B114" s="643"/>
      <c r="C114" s="644" t="s">
        <v>80</v>
      </c>
      <c r="D114" s="645"/>
      <c r="E114" s="644" t="s">
        <v>81</v>
      </c>
      <c r="F114" s="645"/>
      <c r="G114" s="644" t="s">
        <v>136</v>
      </c>
      <c r="H114" s="703"/>
      <c r="I114" s="646"/>
      <c r="J114" s="647"/>
      <c r="K114" s="646"/>
      <c r="L114" s="648"/>
    </row>
    <row r="115" spans="1:13">
      <c r="A115" s="628" t="s">
        <v>82</v>
      </c>
      <c r="B115" s="629"/>
      <c r="C115" s="630" t="s">
        <v>83</v>
      </c>
      <c r="D115" s="631"/>
      <c r="E115" s="630" t="s">
        <v>84</v>
      </c>
      <c r="F115" s="631"/>
      <c r="G115" s="630" t="s">
        <v>84</v>
      </c>
      <c r="H115" s="631"/>
      <c r="I115" s="632"/>
      <c r="J115" s="633"/>
      <c r="K115" s="632"/>
      <c r="L115" s="634"/>
    </row>
    <row r="116" spans="1:13">
      <c r="A116" s="628" t="s">
        <v>85</v>
      </c>
      <c r="B116" s="629"/>
      <c r="C116" s="630" t="s">
        <v>86</v>
      </c>
      <c r="D116" s="631"/>
      <c r="E116" s="630" t="s">
        <v>87</v>
      </c>
      <c r="F116" s="631"/>
      <c r="G116" s="630" t="s">
        <v>87</v>
      </c>
      <c r="H116" s="631"/>
      <c r="I116" s="632"/>
      <c r="J116" s="633"/>
      <c r="K116" s="632"/>
      <c r="L116" s="634"/>
    </row>
    <row r="117" spans="1:13">
      <c r="A117" s="628" t="s">
        <v>88</v>
      </c>
      <c r="B117" s="629"/>
      <c r="C117" s="630" t="s">
        <v>89</v>
      </c>
      <c r="D117" s="631"/>
      <c r="E117" s="630" t="s">
        <v>90</v>
      </c>
      <c r="F117" s="631"/>
      <c r="G117" s="630" t="s">
        <v>138</v>
      </c>
      <c r="H117" s="631"/>
      <c r="I117" s="632"/>
      <c r="J117" s="633"/>
      <c r="K117" s="632"/>
      <c r="L117" s="634"/>
    </row>
    <row r="118" spans="1:13">
      <c r="A118" s="628" t="s">
        <v>91</v>
      </c>
      <c r="B118" s="629"/>
      <c r="C118" s="649">
        <v>630</v>
      </c>
      <c r="D118" s="650"/>
      <c r="E118" s="649">
        <v>7</v>
      </c>
      <c r="F118" s="650"/>
      <c r="G118" s="649">
        <v>3</v>
      </c>
      <c r="H118" s="650"/>
      <c r="I118" s="632"/>
      <c r="J118" s="633"/>
      <c r="K118" s="632"/>
      <c r="L118" s="634"/>
    </row>
    <row r="119" spans="1:13">
      <c r="A119" s="628" t="s">
        <v>92</v>
      </c>
      <c r="B119" s="629"/>
      <c r="C119" s="630" t="s">
        <v>93</v>
      </c>
      <c r="D119" s="631"/>
      <c r="E119" s="630" t="s">
        <v>94</v>
      </c>
      <c r="F119" s="631"/>
      <c r="G119" s="630" t="s">
        <v>94</v>
      </c>
      <c r="H119" s="631"/>
      <c r="I119" s="632"/>
      <c r="J119" s="633"/>
      <c r="K119" s="632"/>
      <c r="L119" s="634"/>
    </row>
    <row r="120" spans="1:13">
      <c r="A120" s="628" t="s">
        <v>311</v>
      </c>
      <c r="B120" s="471" t="s">
        <v>96</v>
      </c>
      <c r="C120" s="630">
        <v>0</v>
      </c>
      <c r="D120" s="631"/>
      <c r="E120" s="630">
        <v>0</v>
      </c>
      <c r="F120" s="631"/>
      <c r="G120" s="630">
        <v>0</v>
      </c>
      <c r="H120" s="631"/>
      <c r="I120" s="632"/>
      <c r="J120" s="633"/>
      <c r="K120" s="632"/>
      <c r="L120" s="634"/>
    </row>
    <row r="121" spans="1:13">
      <c r="A121" s="628"/>
      <c r="B121" s="471" t="s">
        <v>97</v>
      </c>
      <c r="C121" s="630">
        <v>0</v>
      </c>
      <c r="D121" s="631"/>
      <c r="E121" s="630">
        <v>0</v>
      </c>
      <c r="F121" s="631"/>
      <c r="G121" s="630">
        <v>0</v>
      </c>
      <c r="H121" s="631"/>
      <c r="I121" s="632"/>
      <c r="J121" s="633"/>
      <c r="K121" s="632"/>
      <c r="L121" s="634"/>
    </row>
    <row r="122" spans="1:13">
      <c r="A122" s="628"/>
      <c r="B122" s="471" t="s">
        <v>98</v>
      </c>
      <c r="C122" s="651">
        <v>0</v>
      </c>
      <c r="D122" s="652"/>
      <c r="E122" s="651">
        <v>0</v>
      </c>
      <c r="F122" s="652"/>
      <c r="G122" s="651">
        <v>0</v>
      </c>
      <c r="H122" s="652"/>
      <c r="I122" s="653"/>
      <c r="J122" s="654"/>
      <c r="K122" s="653"/>
      <c r="L122" s="655"/>
    </row>
    <row r="123" spans="1:13">
      <c r="A123" s="628"/>
      <c r="B123" s="471" t="s">
        <v>99</v>
      </c>
      <c r="C123" s="656">
        <v>383</v>
      </c>
      <c r="D123" s="656"/>
      <c r="E123" s="656">
        <v>97</v>
      </c>
      <c r="F123" s="656"/>
      <c r="G123" s="656">
        <v>12</v>
      </c>
      <c r="H123" s="656"/>
      <c r="I123" s="653"/>
      <c r="J123" s="654"/>
      <c r="K123" s="653"/>
      <c r="L123" s="655"/>
    </row>
    <row r="124" spans="1:13" ht="13.5" customHeight="1" thickBot="1">
      <c r="A124" s="673" t="s">
        <v>10</v>
      </c>
      <c r="B124" s="674"/>
      <c r="C124" s="675"/>
      <c r="D124" s="676"/>
      <c r="E124" s="675"/>
      <c r="F124" s="676"/>
      <c r="G124" s="660"/>
      <c r="H124" s="677"/>
      <c r="I124" s="660"/>
      <c r="J124" s="677"/>
      <c r="K124" s="660"/>
      <c r="L124" s="661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31" t="s">
        <v>101</v>
      </c>
      <c r="B128" s="533"/>
      <c r="C128" s="662" t="s">
        <v>327</v>
      </c>
      <c r="D128" s="663"/>
      <c r="E128" s="664"/>
      <c r="F128" s="662" t="s">
        <v>328</v>
      </c>
      <c r="G128" s="663"/>
      <c r="H128" s="663"/>
      <c r="I128" s="664"/>
      <c r="J128" s="662" t="s">
        <v>329</v>
      </c>
      <c r="K128" s="663"/>
      <c r="L128" s="663"/>
      <c r="M128" s="665"/>
    </row>
    <row r="129" spans="1:13" ht="35.25" customHeight="1">
      <c r="A129" s="573" t="s">
        <v>103</v>
      </c>
      <c r="B129" s="555"/>
      <c r="C129" s="707" t="s">
        <v>15</v>
      </c>
      <c r="D129" s="597"/>
      <c r="E129" s="666"/>
      <c r="F129" s="670" t="s">
        <v>322</v>
      </c>
      <c r="G129" s="671"/>
      <c r="H129" s="671"/>
      <c r="I129" s="672"/>
      <c r="J129" s="670" t="s">
        <v>330</v>
      </c>
      <c r="K129" s="671"/>
      <c r="L129" s="671"/>
      <c r="M129" s="705"/>
    </row>
    <row r="130" spans="1:13" ht="35.25" customHeight="1">
      <c r="A130" s="573" t="s">
        <v>104</v>
      </c>
      <c r="B130" s="555"/>
      <c r="C130" s="708" t="s">
        <v>15</v>
      </c>
      <c r="D130" s="597"/>
      <c r="E130" s="666"/>
      <c r="F130" s="707" t="s">
        <v>15</v>
      </c>
      <c r="G130" s="597"/>
      <c r="H130" s="597"/>
      <c r="I130" s="666"/>
      <c r="J130" s="709" t="s">
        <v>15</v>
      </c>
      <c r="K130" s="710"/>
      <c r="L130" s="710"/>
      <c r="M130" s="711"/>
    </row>
    <row r="131" spans="1:13" ht="67.5" customHeight="1">
      <c r="A131" s="573" t="s">
        <v>105</v>
      </c>
      <c r="B131" s="555"/>
      <c r="C131" s="657" t="s">
        <v>323</v>
      </c>
      <c r="D131" s="658"/>
      <c r="E131" s="659"/>
      <c r="F131" s="657" t="s">
        <v>324</v>
      </c>
      <c r="G131" s="658"/>
      <c r="H131" s="658"/>
      <c r="I131" s="659"/>
      <c r="J131" s="657" t="s">
        <v>15</v>
      </c>
      <c r="K131" s="658"/>
      <c r="L131" s="658"/>
      <c r="M131" s="704"/>
    </row>
    <row r="132" spans="1:13" ht="35.25" customHeight="1" thickBot="1">
      <c r="A132" s="623" t="s">
        <v>106</v>
      </c>
      <c r="B132" s="693"/>
      <c r="C132" s="694" t="s">
        <v>331</v>
      </c>
      <c r="D132" s="695"/>
      <c r="E132" s="696"/>
      <c r="F132" s="712" t="s">
        <v>15</v>
      </c>
      <c r="G132" s="695"/>
      <c r="H132" s="695"/>
      <c r="I132" s="696"/>
      <c r="J132" s="713" t="s">
        <v>15</v>
      </c>
      <c r="K132" s="714"/>
      <c r="L132" s="714"/>
      <c r="M132" s="715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701" t="s">
        <v>112</v>
      </c>
      <c r="F137" s="701"/>
      <c r="G137" s="701"/>
      <c r="H137" s="54" t="s">
        <v>113</v>
      </c>
    </row>
    <row r="138" spans="1:13" ht="40.5" customHeight="1" thickBot="1">
      <c r="A138" s="62">
        <f>E42</f>
        <v>0</v>
      </c>
      <c r="B138" s="63">
        <f>'2017FEB'!H138</f>
        <v>14611</v>
      </c>
      <c r="C138" s="63">
        <f>E43-E42</f>
        <v>29439</v>
      </c>
      <c r="D138" s="504">
        <v>38591</v>
      </c>
      <c r="E138" s="681" t="s">
        <v>114</v>
      </c>
      <c r="F138" s="681"/>
      <c r="G138" s="681"/>
      <c r="H138" s="505">
        <f>C138+A138+B138-D138</f>
        <v>5459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679" t="s">
        <v>117</v>
      </c>
      <c r="C140" s="679"/>
      <c r="D140" s="679"/>
      <c r="E140" s="679"/>
      <c r="F140" s="679"/>
      <c r="G140" s="680"/>
    </row>
    <row r="141" spans="1:13" ht="45" customHeight="1" thickBot="1">
      <c r="A141" s="56">
        <v>17000</v>
      </c>
      <c r="B141" s="681" t="s">
        <v>114</v>
      </c>
      <c r="C141" s="681"/>
      <c r="D141" s="681"/>
      <c r="E141" s="681"/>
      <c r="F141" s="681"/>
      <c r="G141" s="682"/>
    </row>
    <row r="143" spans="1:13" ht="14">
      <c r="A143" s="127" t="s">
        <v>118</v>
      </c>
    </row>
    <row r="144" spans="1:13">
      <c r="A144" s="629" t="s">
        <v>50</v>
      </c>
      <c r="B144" s="629"/>
      <c r="C144" s="629"/>
      <c r="D144" s="629"/>
      <c r="E144" s="629"/>
      <c r="F144" s="629"/>
      <c r="G144" s="486" t="s">
        <v>119</v>
      </c>
      <c r="H144" s="683" t="s">
        <v>10</v>
      </c>
      <c r="I144" s="684"/>
      <c r="J144" s="684"/>
      <c r="K144" s="685"/>
    </row>
    <row r="145" spans="1:11">
      <c r="A145" s="574" t="s">
        <v>120</v>
      </c>
      <c r="B145" s="686" t="s">
        <v>121</v>
      </c>
      <c r="C145" s="686"/>
      <c r="D145" s="686"/>
      <c r="E145" s="686"/>
      <c r="F145" s="686"/>
      <c r="G145" s="506">
        <v>10</v>
      </c>
      <c r="H145" s="687"/>
      <c r="I145" s="688"/>
      <c r="J145" s="688"/>
      <c r="K145" s="689"/>
    </row>
    <row r="146" spans="1:11">
      <c r="A146" s="574"/>
      <c r="B146" s="686" t="s">
        <v>122</v>
      </c>
      <c r="C146" s="686"/>
      <c r="D146" s="686"/>
      <c r="E146" s="686"/>
      <c r="F146" s="686"/>
      <c r="G146" s="507">
        <v>9431</v>
      </c>
      <c r="H146" s="690"/>
      <c r="I146" s="691"/>
      <c r="J146" s="691"/>
      <c r="K146" s="692"/>
    </row>
    <row r="147" spans="1:11">
      <c r="A147" s="574" t="s">
        <v>123</v>
      </c>
      <c r="B147" s="686" t="s">
        <v>124</v>
      </c>
      <c r="C147" s="686"/>
      <c r="D147" s="686"/>
      <c r="E147" s="686"/>
      <c r="F147" s="686"/>
      <c r="G147" s="479">
        <v>10</v>
      </c>
      <c r="H147" s="670"/>
      <c r="I147" s="671"/>
      <c r="J147" s="671"/>
      <c r="K147" s="672"/>
    </row>
    <row r="148" spans="1:11">
      <c r="A148" s="574"/>
      <c r="B148" s="686" t="s">
        <v>125</v>
      </c>
      <c r="C148" s="686"/>
      <c r="D148" s="686"/>
      <c r="E148" s="686"/>
      <c r="F148" s="686"/>
      <c r="G148" s="508">
        <v>16146</v>
      </c>
      <c r="H148" s="670"/>
      <c r="I148" s="671"/>
      <c r="J148" s="671"/>
      <c r="K148" s="672"/>
    </row>
    <row r="149" spans="1:11" ht="14">
      <c r="A149" s="488" t="s">
        <v>126</v>
      </c>
      <c r="B149" s="686" t="s">
        <v>127</v>
      </c>
      <c r="C149" s="686"/>
      <c r="D149" s="686"/>
      <c r="E149" s="686"/>
      <c r="F149" s="686"/>
      <c r="G149" s="509">
        <v>1873</v>
      </c>
      <c r="H149" s="670"/>
      <c r="I149" s="671"/>
      <c r="J149" s="671"/>
      <c r="K149" s="672"/>
    </row>
    <row r="150" spans="1:11" ht="14">
      <c r="A150" s="488" t="s">
        <v>128</v>
      </c>
      <c r="B150" s="686" t="s">
        <v>129</v>
      </c>
      <c r="C150" s="686"/>
      <c r="D150" s="686"/>
      <c r="E150" s="686"/>
      <c r="F150" s="686"/>
      <c r="G150" s="479"/>
      <c r="H150" s="670"/>
      <c r="I150" s="671"/>
      <c r="J150" s="671"/>
      <c r="K150" s="672"/>
    </row>
  </sheetData>
  <mergeCells count="274"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1:F1"/>
    <mergeCell ref="J3:K3"/>
    <mergeCell ref="L3:M3"/>
    <mergeCell ref="J5:K5"/>
    <mergeCell ref="L5:M5"/>
    <mergeCell ref="J6:K6"/>
    <mergeCell ref="L6:M6"/>
    <mergeCell ref="A14:B14"/>
    <mergeCell ref="E14:I14"/>
  </mergeCells>
  <dataValidations count="2">
    <dataValidation type="list" allowBlank="1" showInputMessage="1" showErrorMessage="1" sqref="L3" xr:uid="{323E3FEF-8480-0743-8DEF-A9C83A4B8789}">
      <formula1>"USA, JAPAN"</formula1>
    </dataValidation>
    <dataValidation type="list" allowBlank="1" showInputMessage="1" showErrorMessage="1" sqref="G1" xr:uid="{34DB3433-4FDA-CC47-B996-3D727091F9C4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5FFD2-C9E2-A947-A9B5-1A90FA8DBC89}">
  <sheetPr codeName="Sheet5">
    <pageSetUpPr fitToPage="1"/>
  </sheetPr>
  <dimension ref="A1:N150"/>
  <sheetViews>
    <sheetView zoomScale="80" zoomScaleNormal="80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141</v>
      </c>
      <c r="H1" s="2">
        <v>2017</v>
      </c>
      <c r="I1" s="491"/>
      <c r="J1" s="491"/>
      <c r="K1" s="491"/>
      <c r="L1" s="491"/>
      <c r="M1" s="491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4</v>
      </c>
      <c r="M6" s="525"/>
    </row>
    <row r="7" spans="1:13">
      <c r="J7" s="525" t="s">
        <v>6</v>
      </c>
      <c r="K7" s="525"/>
      <c r="L7" s="702">
        <v>42864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470" t="s">
        <v>305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79" t="s">
        <v>306</v>
      </c>
      <c r="C10" s="61">
        <v>5</v>
      </c>
      <c r="D10" s="490">
        <v>4</v>
      </c>
      <c r="E10" s="538" t="s">
        <v>332</v>
      </c>
      <c r="F10" s="538"/>
      <c r="G10" s="538"/>
      <c r="H10" s="538"/>
      <c r="I10" s="539"/>
    </row>
    <row r="11" spans="1:13">
      <c r="A11" s="537"/>
      <c r="B11" s="479" t="s">
        <v>12</v>
      </c>
      <c r="C11" s="61">
        <v>0</v>
      </c>
      <c r="D11" s="490">
        <v>1</v>
      </c>
      <c r="E11" s="540" t="s">
        <v>308</v>
      </c>
      <c r="F11" s="541"/>
      <c r="G11" s="541"/>
      <c r="H11" s="541"/>
      <c r="I11" s="542"/>
    </row>
    <row r="12" spans="1:13">
      <c r="A12" s="537"/>
      <c r="B12" s="479" t="s">
        <v>309</v>
      </c>
      <c r="C12" s="61">
        <v>1</v>
      </c>
      <c r="D12" s="490">
        <v>1</v>
      </c>
      <c r="E12" s="538" t="s">
        <v>130</v>
      </c>
      <c r="F12" s="538"/>
      <c r="G12" s="538"/>
      <c r="H12" s="538"/>
      <c r="I12" s="539"/>
    </row>
    <row r="13" spans="1:13">
      <c r="A13" s="537"/>
      <c r="B13" s="479" t="s">
        <v>13</v>
      </c>
      <c r="C13" s="61">
        <v>5</v>
      </c>
      <c r="D13" s="490">
        <v>1</v>
      </c>
      <c r="E13" s="538" t="s">
        <v>310</v>
      </c>
      <c r="F13" s="538"/>
      <c r="G13" s="538"/>
      <c r="H13" s="538"/>
      <c r="I13" s="539"/>
    </row>
    <row r="14" spans="1:13" s="8" customFormat="1" ht="14" thickBot="1">
      <c r="A14" s="526" t="s">
        <v>14</v>
      </c>
      <c r="B14" s="527"/>
      <c r="C14" s="7">
        <f>SUM(C10:C13)</f>
        <v>11</v>
      </c>
      <c r="D14" s="7">
        <f>SUM(D10:D13)</f>
        <v>7</v>
      </c>
      <c r="E14" s="528" t="s">
        <v>15</v>
      </c>
      <c r="F14" s="529"/>
      <c r="G14" s="529"/>
      <c r="H14" s="529"/>
      <c r="I14" s="530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31" t="s">
        <v>18</v>
      </c>
      <c r="B18" s="533" t="s">
        <v>19</v>
      </c>
      <c r="C18" s="533"/>
      <c r="D18" s="533" t="s">
        <v>20</v>
      </c>
      <c r="E18" s="533"/>
      <c r="F18" s="533"/>
      <c r="G18" s="533" t="s">
        <v>21</v>
      </c>
      <c r="H18" s="533"/>
      <c r="I18" s="533"/>
      <c r="J18" s="533" t="s">
        <v>22</v>
      </c>
      <c r="K18" s="533"/>
      <c r="L18" s="533"/>
      <c r="M18" s="536"/>
    </row>
    <row r="19" spans="1:13">
      <c r="A19" s="532"/>
      <c r="B19" s="534"/>
      <c r="C19" s="534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534"/>
      <c r="K19" s="534"/>
      <c r="L19" s="534"/>
      <c r="M19" s="543"/>
    </row>
    <row r="20" spans="1:13">
      <c r="A20" s="544" t="s">
        <v>26</v>
      </c>
      <c r="B20" s="545"/>
      <c r="C20" s="545"/>
      <c r="D20" s="545"/>
      <c r="E20" s="545"/>
      <c r="F20" s="545"/>
      <c r="G20" s="545"/>
      <c r="H20" s="545"/>
      <c r="I20" s="545"/>
      <c r="J20" s="545"/>
      <c r="K20" s="545"/>
      <c r="L20" s="545"/>
      <c r="M20" s="546"/>
    </row>
    <row r="21" spans="1:13">
      <c r="A21" s="547" t="s">
        <v>27</v>
      </c>
      <c r="B21" s="550" t="s">
        <v>28</v>
      </c>
      <c r="C21" s="128" t="s">
        <v>29</v>
      </c>
      <c r="D21" s="61">
        <v>14035</v>
      </c>
      <c r="E21" s="490">
        <v>11382</v>
      </c>
      <c r="F21" s="14">
        <f t="shared" ref="F21:F26" si="0">E21/D21</f>
        <v>0.8109725685785536</v>
      </c>
      <c r="G21" s="479">
        <f>D21+'2017MAR'!G21</f>
        <v>55849</v>
      </c>
      <c r="H21" s="479">
        <f>E21+'2017MAR'!H21</f>
        <v>46126</v>
      </c>
      <c r="I21" s="14">
        <f t="shared" ref="I21:I26" si="1">H21/G21</f>
        <v>0.82590556679618254</v>
      </c>
      <c r="J21" s="525"/>
      <c r="K21" s="525"/>
      <c r="L21" s="525"/>
      <c r="M21" s="552"/>
    </row>
    <row r="22" spans="1:13" ht="13.5" customHeight="1">
      <c r="A22" s="548"/>
      <c r="B22" s="551"/>
      <c r="C22" s="15" t="s">
        <v>30</v>
      </c>
      <c r="D22" s="487">
        <f>SUM(D21:D21)</f>
        <v>14035</v>
      </c>
      <c r="E22" s="487">
        <f>SUM(E21:E21)</f>
        <v>11382</v>
      </c>
      <c r="F22" s="16">
        <f t="shared" si="0"/>
        <v>0.8109725685785536</v>
      </c>
      <c r="G22" s="487">
        <f>SUM(G21:G21)</f>
        <v>55849</v>
      </c>
      <c r="H22" s="487">
        <f>SUM(H21:H21)</f>
        <v>46126</v>
      </c>
      <c r="I22" s="16">
        <f t="shared" si="1"/>
        <v>0.82590556679618254</v>
      </c>
      <c r="J22" s="553"/>
      <c r="K22" s="553"/>
      <c r="L22" s="553"/>
      <c r="M22" s="554"/>
    </row>
    <row r="23" spans="1:13" ht="13.5" customHeight="1">
      <c r="A23" s="548"/>
      <c r="B23" s="555" t="s">
        <v>31</v>
      </c>
      <c r="C23" s="128" t="s">
        <v>29</v>
      </c>
      <c r="D23" s="61">
        <v>4666</v>
      </c>
      <c r="E23" s="490">
        <v>4104</v>
      </c>
      <c r="F23" s="14">
        <f t="shared" si="0"/>
        <v>0.87955422203171885</v>
      </c>
      <c r="G23" s="479">
        <f>D23+'2017MAR'!G23</f>
        <v>18762</v>
      </c>
      <c r="H23" s="479">
        <f>E23+'2017MAR'!H23</f>
        <v>16630</v>
      </c>
      <c r="I23" s="14">
        <f t="shared" si="1"/>
        <v>0.88636605905553778</v>
      </c>
      <c r="J23" s="525"/>
      <c r="K23" s="525"/>
      <c r="L23" s="525"/>
      <c r="M23" s="552"/>
    </row>
    <row r="24" spans="1:13" ht="13.5" customHeight="1">
      <c r="A24" s="548"/>
      <c r="B24" s="555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525"/>
      <c r="K24" s="525"/>
      <c r="L24" s="525"/>
      <c r="M24" s="552"/>
    </row>
    <row r="25" spans="1:13" ht="13.5" customHeight="1">
      <c r="A25" s="548"/>
      <c r="B25" s="555"/>
      <c r="C25" s="15" t="s">
        <v>30</v>
      </c>
      <c r="D25" s="487">
        <f>SUM(D23:D24)</f>
        <v>4666</v>
      </c>
      <c r="E25" s="487">
        <f>SUM(E23:E24)</f>
        <v>4104</v>
      </c>
      <c r="F25" s="16">
        <f t="shared" si="0"/>
        <v>0.87955422203171885</v>
      </c>
      <c r="G25" s="487">
        <f>SUM(G23:G24)</f>
        <v>18762</v>
      </c>
      <c r="H25" s="487">
        <f>SUM(H23:H24)</f>
        <v>16630</v>
      </c>
      <c r="I25" s="16">
        <f t="shared" si="1"/>
        <v>0.88636605905553778</v>
      </c>
      <c r="J25" s="553"/>
      <c r="K25" s="553"/>
      <c r="L25" s="553"/>
      <c r="M25" s="554"/>
    </row>
    <row r="26" spans="1:13" s="8" customFormat="1" ht="14.25" customHeight="1" thickBot="1">
      <c r="A26" s="549"/>
      <c r="B26" s="556" t="s">
        <v>30</v>
      </c>
      <c r="C26" s="556"/>
      <c r="D26" s="489">
        <f>SUM(D22,D25)</f>
        <v>18701</v>
      </c>
      <c r="E26" s="489">
        <f>SUM(E22,E25)</f>
        <v>15486</v>
      </c>
      <c r="F26" s="17">
        <f t="shared" si="0"/>
        <v>0.82808405967595311</v>
      </c>
      <c r="G26" s="489">
        <f>SUM(G22,G25)</f>
        <v>74611</v>
      </c>
      <c r="H26" s="489">
        <f>SUM(H22,H25)</f>
        <v>62756</v>
      </c>
      <c r="I26" s="17">
        <f t="shared" si="1"/>
        <v>0.84110921982013376</v>
      </c>
      <c r="J26" s="556"/>
      <c r="K26" s="556"/>
      <c r="L26" s="556"/>
      <c r="M26" s="557"/>
    </row>
    <row r="27" spans="1:13">
      <c r="A27" s="558" t="s">
        <v>33</v>
      </c>
      <c r="B27" s="559"/>
      <c r="C27" s="559"/>
      <c r="D27" s="559"/>
      <c r="E27" s="559"/>
      <c r="F27" s="559"/>
      <c r="G27" s="559"/>
      <c r="H27" s="559"/>
      <c r="I27" s="559"/>
      <c r="J27" s="559"/>
      <c r="K27" s="559"/>
      <c r="L27" s="559"/>
      <c r="M27" s="560"/>
    </row>
    <row r="28" spans="1:13" ht="12.75" customHeight="1">
      <c r="A28" s="561" t="s">
        <v>34</v>
      </c>
      <c r="B28" s="564" t="s">
        <v>35</v>
      </c>
      <c r="C28" s="128" t="s">
        <v>29</v>
      </c>
      <c r="D28" s="61">
        <v>200</v>
      </c>
      <c r="E28" s="490">
        <v>1164</v>
      </c>
      <c r="F28" s="14">
        <f>E28/D28</f>
        <v>5.82</v>
      </c>
      <c r="G28" s="479">
        <f>D28+'2017MAR'!G28</f>
        <v>800</v>
      </c>
      <c r="H28" s="479">
        <f>E28+'2017MAR'!H28</f>
        <v>5007</v>
      </c>
      <c r="I28" s="14">
        <f>H28/G28</f>
        <v>6.25875</v>
      </c>
      <c r="J28" s="525"/>
      <c r="K28" s="525"/>
      <c r="L28" s="525"/>
      <c r="M28" s="552"/>
    </row>
    <row r="29" spans="1:13">
      <c r="A29" s="562"/>
      <c r="B29" s="565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525"/>
      <c r="K29" s="525"/>
      <c r="L29" s="525"/>
      <c r="M29" s="552"/>
    </row>
    <row r="30" spans="1:13">
      <c r="A30" s="562"/>
      <c r="B30" s="566"/>
      <c r="C30" s="15" t="s">
        <v>30</v>
      </c>
      <c r="D30" s="487">
        <f>SUM(D28:D29)</f>
        <v>200</v>
      </c>
      <c r="E30" s="487">
        <f>SUM(E28:E29)</f>
        <v>1164</v>
      </c>
      <c r="F30" s="14">
        <f t="shared" si="2"/>
        <v>5.82</v>
      </c>
      <c r="G30" s="487">
        <f>SUM(G28:G29)</f>
        <v>800</v>
      </c>
      <c r="H30" s="487">
        <f>SUM(H28:H29)</f>
        <v>5007</v>
      </c>
      <c r="I30" s="14">
        <f t="shared" si="3"/>
        <v>6.25875</v>
      </c>
      <c r="J30" s="553"/>
      <c r="K30" s="553"/>
      <c r="L30" s="553"/>
      <c r="M30" s="554"/>
    </row>
    <row r="31" spans="1:13" ht="12.75" customHeight="1">
      <c r="A31" s="562"/>
      <c r="B31" s="567" t="s">
        <v>36</v>
      </c>
      <c r="C31" s="568"/>
      <c r="D31" s="61">
        <v>2700</v>
      </c>
      <c r="E31" s="490">
        <v>2459</v>
      </c>
      <c r="F31" s="14">
        <f t="shared" si="2"/>
        <v>0.91074074074074074</v>
      </c>
      <c r="G31" s="479">
        <f>D31+'2017MAR'!G31</f>
        <v>7800</v>
      </c>
      <c r="H31" s="479">
        <f>E31+'2017MAR'!H31</f>
        <v>18858</v>
      </c>
      <c r="I31" s="14">
        <f t="shared" si="3"/>
        <v>2.4176923076923078</v>
      </c>
      <c r="J31" s="525"/>
      <c r="K31" s="525"/>
      <c r="L31" s="525"/>
      <c r="M31" s="552"/>
    </row>
    <row r="32" spans="1:13" s="8" customFormat="1">
      <c r="A32" s="563"/>
      <c r="B32" s="534" t="s">
        <v>30</v>
      </c>
      <c r="C32" s="534"/>
      <c r="D32" s="485">
        <f>SUM(D30,D31)</f>
        <v>2900</v>
      </c>
      <c r="E32" s="485">
        <f>SUM(E30,E31)</f>
        <v>3623</v>
      </c>
      <c r="F32" s="14">
        <f t="shared" si="2"/>
        <v>1.2493103448275862</v>
      </c>
      <c r="G32" s="485">
        <f>SUM(G30,G31)</f>
        <v>8600</v>
      </c>
      <c r="H32" s="485">
        <f>SUM(H30,H31)</f>
        <v>23865</v>
      </c>
      <c r="I32" s="14">
        <f t="shared" si="3"/>
        <v>2.7749999999999999</v>
      </c>
      <c r="J32" s="534"/>
      <c r="K32" s="534"/>
      <c r="L32" s="534"/>
      <c r="M32" s="543"/>
    </row>
    <row r="33" spans="1:13">
      <c r="A33" s="573" t="s">
        <v>37</v>
      </c>
      <c r="B33" s="555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D33+'2017MAR'!G33</f>
        <v>140000</v>
      </c>
      <c r="H33" s="479">
        <f>E33+'2017MAR'!H33</f>
        <v>0</v>
      </c>
      <c r="I33" s="14">
        <f t="shared" si="3"/>
        <v>0</v>
      </c>
      <c r="J33" s="525"/>
      <c r="K33" s="525"/>
      <c r="L33" s="525"/>
      <c r="M33" s="552"/>
    </row>
    <row r="34" spans="1:13">
      <c r="A34" s="573"/>
      <c r="B34" s="555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525"/>
      <c r="K34" s="525"/>
      <c r="L34" s="525"/>
      <c r="M34" s="552"/>
    </row>
    <row r="35" spans="1:13">
      <c r="A35" s="573"/>
      <c r="B35" s="555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140000</v>
      </c>
      <c r="H35" s="487">
        <f>SUM(H33:H34)</f>
        <v>0</v>
      </c>
      <c r="I35" s="16">
        <f t="shared" si="3"/>
        <v>0</v>
      </c>
      <c r="J35" s="553"/>
      <c r="K35" s="553"/>
      <c r="L35" s="553"/>
      <c r="M35" s="554"/>
    </row>
    <row r="36" spans="1:13" ht="12" customHeight="1">
      <c r="A36" s="573"/>
      <c r="B36" s="574" t="s">
        <v>41</v>
      </c>
      <c r="C36" s="128" t="s">
        <v>270</v>
      </c>
      <c r="D36" s="479">
        <v>2222</v>
      </c>
      <c r="E36" s="479"/>
      <c r="F36" s="14">
        <f t="shared" si="2"/>
        <v>0</v>
      </c>
      <c r="G36" s="479">
        <v>2222</v>
      </c>
      <c r="H36" s="479"/>
      <c r="I36" s="14">
        <f t="shared" si="3"/>
        <v>0</v>
      </c>
      <c r="J36" s="525"/>
      <c r="K36" s="525"/>
      <c r="L36" s="525"/>
      <c r="M36" s="552"/>
    </row>
    <row r="37" spans="1:13" ht="12" customHeight="1">
      <c r="A37" s="573"/>
      <c r="B37" s="574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525"/>
      <c r="K37" s="525"/>
      <c r="L37" s="525"/>
      <c r="M37" s="552"/>
    </row>
    <row r="38" spans="1:13" ht="12" customHeight="1">
      <c r="A38" s="573"/>
      <c r="B38" s="574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2222</v>
      </c>
      <c r="H38" s="487">
        <f>SUM(H36:H37)</f>
        <v>0</v>
      </c>
      <c r="I38" s="16">
        <f t="shared" si="3"/>
        <v>0</v>
      </c>
      <c r="J38" s="553"/>
      <c r="K38" s="553"/>
      <c r="L38" s="553"/>
      <c r="M38" s="554"/>
    </row>
    <row r="39" spans="1:13" s="8" customFormat="1" ht="12" customHeight="1">
      <c r="A39" s="573"/>
      <c r="B39" s="534" t="s">
        <v>30</v>
      </c>
      <c r="C39" s="534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142222</v>
      </c>
      <c r="H39" s="485">
        <f>SUM(H35,H38)</f>
        <v>0</v>
      </c>
      <c r="I39" s="19">
        <f t="shared" si="3"/>
        <v>0</v>
      </c>
      <c r="J39" s="534"/>
      <c r="K39" s="534"/>
      <c r="L39" s="534"/>
      <c r="M39" s="543"/>
    </row>
    <row r="40" spans="1:13" s="8" customFormat="1">
      <c r="A40" s="569" t="s">
        <v>42</v>
      </c>
      <c r="B40" s="570"/>
      <c r="C40" s="570"/>
      <c r="D40" s="483">
        <v>300</v>
      </c>
      <c r="E40" s="510">
        <v>1303</v>
      </c>
      <c r="F40" s="21">
        <f t="shared" si="2"/>
        <v>4.3433333333333337</v>
      </c>
      <c r="G40" s="483">
        <f>D40+'2017MAR'!G40</f>
        <v>1200</v>
      </c>
      <c r="H40" s="483">
        <f>E40+'2017MAR'!H40</f>
        <v>3343</v>
      </c>
      <c r="I40" s="21">
        <f t="shared" si="3"/>
        <v>2.7858333333333332</v>
      </c>
      <c r="J40" s="570"/>
      <c r="K40" s="570"/>
      <c r="L40" s="570"/>
      <c r="M40" s="571"/>
    </row>
    <row r="41" spans="1:13" s="8" customFormat="1">
      <c r="A41" s="569" t="s">
        <v>43</v>
      </c>
      <c r="B41" s="570"/>
      <c r="C41" s="570"/>
      <c r="D41" s="483">
        <v>3750</v>
      </c>
      <c r="E41" s="483">
        <v>0</v>
      </c>
      <c r="F41" s="21">
        <f t="shared" si="2"/>
        <v>0</v>
      </c>
      <c r="G41" s="483">
        <f>D41+'2017MAR'!G41</f>
        <v>10500</v>
      </c>
      <c r="H41" s="483">
        <f>E41+'2017MAR'!H41</f>
        <v>0</v>
      </c>
      <c r="I41" s="21">
        <f t="shared" si="3"/>
        <v>0</v>
      </c>
      <c r="J41" s="572" t="s">
        <v>44</v>
      </c>
      <c r="K41" s="570"/>
      <c r="L41" s="570"/>
      <c r="M41" s="571"/>
    </row>
    <row r="42" spans="1:13" s="8" customFormat="1">
      <c r="A42" s="569" t="s">
        <v>45</v>
      </c>
      <c r="B42" s="570"/>
      <c r="C42" s="570"/>
      <c r="D42" s="483">
        <v>17000</v>
      </c>
      <c r="E42" s="20">
        <v>51000</v>
      </c>
      <c r="F42" s="21">
        <f t="shared" si="2"/>
        <v>3</v>
      </c>
      <c r="G42" s="483">
        <f>D42+'2017MAR'!G42</f>
        <v>68000</v>
      </c>
      <c r="H42" s="483">
        <f>E42+'2017MAR'!H42</f>
        <v>102000</v>
      </c>
      <c r="I42" s="21">
        <f t="shared" si="3"/>
        <v>1.5</v>
      </c>
      <c r="J42" s="570"/>
      <c r="K42" s="570"/>
      <c r="L42" s="570"/>
      <c r="M42" s="571"/>
    </row>
    <row r="43" spans="1:13" s="8" customFormat="1">
      <c r="A43" s="587" t="s">
        <v>46</v>
      </c>
      <c r="B43" s="588"/>
      <c r="C43" s="589"/>
      <c r="D43" s="484">
        <f>SUM(D26,D32,D39,D40:D42)</f>
        <v>79873</v>
      </c>
      <c r="E43" s="484">
        <f>SUM(E26,E32,E39,E40:E42)</f>
        <v>71412</v>
      </c>
      <c r="F43" s="22">
        <f t="shared" si="2"/>
        <v>0.89406933506942265</v>
      </c>
      <c r="G43" s="484">
        <f>SUM(G26,G32,G39,G40:G42)</f>
        <v>305133</v>
      </c>
      <c r="H43" s="484">
        <f>SUM(H26,H32,H39,H40:H42)</f>
        <v>191964</v>
      </c>
      <c r="I43" s="22">
        <f t="shared" si="3"/>
        <v>0.62911582817984291</v>
      </c>
      <c r="J43" s="590" t="s">
        <v>15</v>
      </c>
      <c r="K43" s="591"/>
      <c r="L43" s="591"/>
      <c r="M43" s="592"/>
    </row>
    <row r="44" spans="1:13" s="8" customFormat="1">
      <c r="A44" s="587" t="s">
        <v>47</v>
      </c>
      <c r="B44" s="588"/>
      <c r="C44" s="589"/>
      <c r="D44" s="484">
        <f>D43-D40</f>
        <v>79573</v>
      </c>
      <c r="E44" s="484">
        <f>E43-E40</f>
        <v>70109</v>
      </c>
      <c r="F44" s="22">
        <f t="shared" si="2"/>
        <v>0.88106518542721779</v>
      </c>
      <c r="G44" s="484">
        <f>G43-G40</f>
        <v>303933</v>
      </c>
      <c r="H44" s="484">
        <f>H43-H40</f>
        <v>188621</v>
      </c>
      <c r="I44" s="22">
        <f t="shared" si="3"/>
        <v>0.62060059289382863</v>
      </c>
      <c r="J44" s="590" t="s">
        <v>15</v>
      </c>
      <c r="K44" s="591"/>
      <c r="L44" s="591"/>
      <c r="M44" s="592"/>
    </row>
    <row r="45" spans="1:13" s="8" customFormat="1" ht="14" thickBot="1">
      <c r="A45" s="575" t="s">
        <v>48</v>
      </c>
      <c r="B45" s="576"/>
      <c r="C45" s="577"/>
      <c r="D45" s="482">
        <f>D44-D42</f>
        <v>62573</v>
      </c>
      <c r="E45" s="482">
        <f>E44-E42</f>
        <v>19109</v>
      </c>
      <c r="F45" s="23">
        <f t="shared" si="2"/>
        <v>0.30538730762469435</v>
      </c>
      <c r="G45" s="482">
        <f>G44-G42</f>
        <v>235933</v>
      </c>
      <c r="H45" s="482">
        <f>H44-H42</f>
        <v>86621</v>
      </c>
      <c r="I45" s="23">
        <f t="shared" si="3"/>
        <v>0.36714236668884809</v>
      </c>
      <c r="J45" s="578" t="s">
        <v>15</v>
      </c>
      <c r="K45" s="579"/>
      <c r="L45" s="579"/>
      <c r="M45" s="580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581" t="s">
        <v>50</v>
      </c>
      <c r="B49" s="582"/>
      <c r="C49" s="582"/>
      <c r="D49" s="582" t="s">
        <v>20</v>
      </c>
      <c r="E49" s="582"/>
      <c r="F49" s="582"/>
      <c r="G49" s="582" t="s">
        <v>21</v>
      </c>
      <c r="H49" s="582"/>
      <c r="I49" s="582"/>
      <c r="J49" s="582" t="s">
        <v>10</v>
      </c>
      <c r="K49" s="582"/>
      <c r="L49" s="582"/>
      <c r="M49" s="585"/>
    </row>
    <row r="50" spans="1:13">
      <c r="A50" s="583"/>
      <c r="B50" s="584"/>
      <c r="C50" s="584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584"/>
      <c r="K50" s="584"/>
      <c r="L50" s="584"/>
      <c r="M50" s="586"/>
    </row>
    <row r="51" spans="1:13" ht="13.5" customHeight="1">
      <c r="A51" s="593" t="s">
        <v>51</v>
      </c>
      <c r="B51" s="525" t="s">
        <v>29</v>
      </c>
      <c r="C51" s="27" t="s">
        <v>52</v>
      </c>
      <c r="D51" s="61">
        <v>5</v>
      </c>
      <c r="E51" s="490">
        <v>1</v>
      </c>
      <c r="F51" s="28">
        <f t="shared" ref="F51:F77" si="4">E51/D51</f>
        <v>0.2</v>
      </c>
      <c r="G51" s="479">
        <f>D51+'2017MAR'!G51</f>
        <v>20</v>
      </c>
      <c r="H51" s="479">
        <f>E51+'2017MAR'!H51</f>
        <v>5</v>
      </c>
      <c r="I51" s="28">
        <f t="shared" ref="I51:I77" si="5">H51/G51</f>
        <v>0.25</v>
      </c>
      <c r="J51" s="596"/>
      <c r="K51" s="597"/>
      <c r="L51" s="597"/>
      <c r="M51" s="598"/>
    </row>
    <row r="52" spans="1:13">
      <c r="A52" s="594"/>
      <c r="B52" s="525"/>
      <c r="C52" s="27" t="s">
        <v>53</v>
      </c>
      <c r="D52" s="61">
        <v>410</v>
      </c>
      <c r="E52" s="490">
        <v>397</v>
      </c>
      <c r="F52" s="28">
        <f t="shared" si="4"/>
        <v>0.96829268292682924</v>
      </c>
      <c r="G52" s="479">
        <f>D52+'2017MAR'!G52</f>
        <v>1660</v>
      </c>
      <c r="H52" s="479">
        <f>E52+'2017MAR'!H52</f>
        <v>1614</v>
      </c>
      <c r="I52" s="28">
        <f t="shared" si="5"/>
        <v>0.97228915662650606</v>
      </c>
      <c r="J52" s="596"/>
      <c r="K52" s="597"/>
      <c r="L52" s="597"/>
      <c r="M52" s="598"/>
    </row>
    <row r="53" spans="1:13">
      <c r="A53" s="595"/>
      <c r="B53" s="525"/>
      <c r="C53" s="29" t="s">
        <v>54</v>
      </c>
      <c r="D53" s="487">
        <f>SUM(D51:D52)</f>
        <v>415</v>
      </c>
      <c r="E53" s="487">
        <f>SUM(E51:E52)</f>
        <v>398</v>
      </c>
      <c r="F53" s="30">
        <f t="shared" si="4"/>
        <v>0.95903614457831321</v>
      </c>
      <c r="G53" s="487">
        <f>SUM(G51:G52)</f>
        <v>1680</v>
      </c>
      <c r="H53" s="487">
        <f>SUM(H51:H52)</f>
        <v>1619</v>
      </c>
      <c r="I53" s="30">
        <f t="shared" si="5"/>
        <v>0.96369047619047621</v>
      </c>
      <c r="J53" s="599"/>
      <c r="K53" s="600"/>
      <c r="L53" s="600"/>
      <c r="M53" s="601"/>
    </row>
    <row r="54" spans="1:13">
      <c r="A54" s="602" t="s">
        <v>55</v>
      </c>
      <c r="B54" s="525" t="s">
        <v>52</v>
      </c>
      <c r="C54" s="525"/>
      <c r="D54" s="61">
        <v>2</v>
      </c>
      <c r="E54" s="490">
        <v>0</v>
      </c>
      <c r="F54" s="28">
        <f t="shared" si="4"/>
        <v>0</v>
      </c>
      <c r="G54" s="479">
        <f>D54+'2017MAR'!G54</f>
        <v>8</v>
      </c>
      <c r="H54" s="479">
        <f>E54+'2017MAR'!H54</f>
        <v>3</v>
      </c>
      <c r="I54" s="28">
        <f t="shared" si="5"/>
        <v>0.375</v>
      </c>
      <c r="J54" s="596"/>
      <c r="K54" s="597"/>
      <c r="L54" s="597"/>
      <c r="M54" s="598"/>
    </row>
    <row r="55" spans="1:13">
      <c r="A55" s="602"/>
      <c r="B55" s="525" t="s">
        <v>53</v>
      </c>
      <c r="C55" s="525"/>
      <c r="D55" s="61">
        <v>306</v>
      </c>
      <c r="E55" s="490">
        <v>350</v>
      </c>
      <c r="F55" s="28">
        <f t="shared" si="4"/>
        <v>1.1437908496732025</v>
      </c>
      <c r="G55" s="479">
        <f>D55+'2017MAR'!G55</f>
        <v>1238</v>
      </c>
      <c r="H55" s="479">
        <f>E55+'2017MAR'!H55</f>
        <v>1421</v>
      </c>
      <c r="I55" s="28">
        <f t="shared" si="5"/>
        <v>1.1478190630048466</v>
      </c>
      <c r="J55" s="596"/>
      <c r="K55" s="597"/>
      <c r="L55" s="597"/>
      <c r="M55" s="598"/>
    </row>
    <row r="56" spans="1:13">
      <c r="A56" s="602"/>
      <c r="B56" s="603" t="s">
        <v>30</v>
      </c>
      <c r="C56" s="603"/>
      <c r="D56" s="474">
        <f>SUM(D54:D55)</f>
        <v>308</v>
      </c>
      <c r="E56" s="474">
        <f>SUM(E54:E55)</f>
        <v>350</v>
      </c>
      <c r="F56" s="28">
        <f t="shared" si="4"/>
        <v>1.1363636363636365</v>
      </c>
      <c r="G56" s="474">
        <f>SUM(G54:G55)</f>
        <v>1246</v>
      </c>
      <c r="H56" s="474">
        <f>SUM(H54:H55)</f>
        <v>1424</v>
      </c>
      <c r="I56" s="31">
        <f t="shared" si="5"/>
        <v>1.1428571428571428</v>
      </c>
      <c r="J56" s="604"/>
      <c r="K56" s="605"/>
      <c r="L56" s="605"/>
      <c r="M56" s="606"/>
    </row>
    <row r="57" spans="1:13" s="8" customFormat="1">
      <c r="A57" s="607" t="s">
        <v>46</v>
      </c>
      <c r="B57" s="609" t="s">
        <v>52</v>
      </c>
      <c r="C57" s="609"/>
      <c r="D57" s="473">
        <f>SUM(D51,D54)</f>
        <v>7</v>
      </c>
      <c r="E57" s="473">
        <f>SUM(E51,E54)</f>
        <v>1</v>
      </c>
      <c r="F57" s="32">
        <f t="shared" si="4"/>
        <v>0.14285714285714285</v>
      </c>
      <c r="G57" s="473">
        <f>SUM(G51,G54)</f>
        <v>28</v>
      </c>
      <c r="H57" s="473">
        <f>SUM(H51,H54)</f>
        <v>8</v>
      </c>
      <c r="I57" s="32">
        <f t="shared" si="5"/>
        <v>0.2857142857142857</v>
      </c>
      <c r="J57" s="610"/>
      <c r="K57" s="611"/>
      <c r="L57" s="611"/>
      <c r="M57" s="612"/>
    </row>
    <row r="58" spans="1:13" s="8" customFormat="1">
      <c r="A58" s="607"/>
      <c r="B58" s="609" t="s">
        <v>53</v>
      </c>
      <c r="C58" s="609"/>
      <c r="D58" s="473">
        <f>SUM(D52,D55)</f>
        <v>716</v>
      </c>
      <c r="E58" s="473">
        <f>SUM(E52,E55)</f>
        <v>747</v>
      </c>
      <c r="F58" s="32">
        <f t="shared" si="4"/>
        <v>1.0432960893854748</v>
      </c>
      <c r="G58" s="473">
        <f>SUM(G52,G55)</f>
        <v>2898</v>
      </c>
      <c r="H58" s="473">
        <f>SUM(H52,H55)</f>
        <v>3035</v>
      </c>
      <c r="I58" s="32">
        <f t="shared" si="5"/>
        <v>1.0472739820565908</v>
      </c>
      <c r="J58" s="610"/>
      <c r="K58" s="611"/>
      <c r="L58" s="611"/>
      <c r="M58" s="612"/>
    </row>
    <row r="59" spans="1:13" s="8" customFormat="1" ht="17.25" customHeight="1" thickBot="1">
      <c r="A59" s="608"/>
      <c r="B59" s="613" t="s">
        <v>56</v>
      </c>
      <c r="C59" s="613"/>
      <c r="D59" s="481">
        <f>SUM(D57:D58)</f>
        <v>723</v>
      </c>
      <c r="E59" s="481">
        <f>SUM(E57:E58)</f>
        <v>748</v>
      </c>
      <c r="F59" s="33">
        <f t="shared" si="4"/>
        <v>1.0345781466113417</v>
      </c>
      <c r="G59" s="481">
        <f>SUM(G57:G58)</f>
        <v>2926</v>
      </c>
      <c r="H59" s="481">
        <f>SUM(H57:H58)</f>
        <v>3043</v>
      </c>
      <c r="I59" s="33">
        <f t="shared" si="5"/>
        <v>1.0399863294600136</v>
      </c>
      <c r="J59" s="614"/>
      <c r="K59" s="615"/>
      <c r="L59" s="615"/>
      <c r="M59" s="616"/>
    </row>
    <row r="60" spans="1:13">
      <c r="A60" s="593" t="s">
        <v>57</v>
      </c>
      <c r="B60" s="525" t="s">
        <v>29</v>
      </c>
      <c r="C60" s="27" t="s">
        <v>52</v>
      </c>
      <c r="D60" s="61">
        <v>16</v>
      </c>
      <c r="E60" s="479">
        <f>E69/10</f>
        <v>3.5</v>
      </c>
      <c r="F60" s="28">
        <f t="shared" si="4"/>
        <v>0.21875</v>
      </c>
      <c r="G60" s="479">
        <f>D60+'2017MAR'!G60</f>
        <v>64</v>
      </c>
      <c r="H60" s="479">
        <f>E60+'2017MAR'!H60</f>
        <v>13.5</v>
      </c>
      <c r="I60" s="28">
        <f t="shared" si="5"/>
        <v>0.2109375</v>
      </c>
      <c r="J60" s="596"/>
      <c r="K60" s="597"/>
      <c r="L60" s="597"/>
      <c r="M60" s="598"/>
    </row>
    <row r="61" spans="1:13">
      <c r="A61" s="594"/>
      <c r="B61" s="525"/>
      <c r="C61" s="27" t="s">
        <v>53</v>
      </c>
      <c r="D61" s="61">
        <v>1341</v>
      </c>
      <c r="E61" s="479">
        <f>E70/10</f>
        <v>1134.7</v>
      </c>
      <c r="F61" s="28">
        <f t="shared" si="4"/>
        <v>0.84615958240119316</v>
      </c>
      <c r="G61" s="479">
        <f>D61+'2017MAR'!G61</f>
        <v>5429</v>
      </c>
      <c r="H61" s="479">
        <f>E61+'2017MAR'!H61</f>
        <v>4599.1000000000004</v>
      </c>
      <c r="I61" s="28">
        <f t="shared" si="5"/>
        <v>0.84713575244059691</v>
      </c>
      <c r="J61" s="596"/>
      <c r="K61" s="597"/>
      <c r="L61" s="597"/>
      <c r="M61" s="598"/>
    </row>
    <row r="62" spans="1:13">
      <c r="A62" s="595"/>
      <c r="B62" s="525"/>
      <c r="C62" s="29" t="s">
        <v>54</v>
      </c>
      <c r="D62" s="61">
        <f>SUM(D60:D61)</f>
        <v>1357</v>
      </c>
      <c r="E62" s="487">
        <f>SUM(E60:E61)</f>
        <v>1138.2</v>
      </c>
      <c r="F62" s="30">
        <f t="shared" si="4"/>
        <v>0.83876197494473104</v>
      </c>
      <c r="G62" s="487">
        <f>SUM(G60:G61)</f>
        <v>5493</v>
      </c>
      <c r="H62" s="487">
        <f>SUM(H60:H61)</f>
        <v>4612.6000000000004</v>
      </c>
      <c r="I62" s="30">
        <f t="shared" si="5"/>
        <v>0.8397232841798653</v>
      </c>
      <c r="J62" s="599"/>
      <c r="K62" s="600"/>
      <c r="L62" s="600"/>
      <c r="M62" s="601"/>
    </row>
    <row r="63" spans="1:13">
      <c r="A63" s="602" t="s">
        <v>58</v>
      </c>
      <c r="B63" s="525" t="s">
        <v>52</v>
      </c>
      <c r="C63" s="525"/>
      <c r="D63" s="61">
        <v>2</v>
      </c>
      <c r="E63" s="479">
        <f>E72/10</f>
        <v>0</v>
      </c>
      <c r="F63" s="28">
        <f t="shared" si="4"/>
        <v>0</v>
      </c>
      <c r="G63" s="479">
        <f>D63+'2017MAR'!G63</f>
        <v>8</v>
      </c>
      <c r="H63" s="479">
        <f>E63+'2017MAR'!H63</f>
        <v>7.4</v>
      </c>
      <c r="I63" s="28">
        <f t="shared" si="5"/>
        <v>0.92500000000000004</v>
      </c>
      <c r="J63" s="596"/>
      <c r="K63" s="597"/>
      <c r="L63" s="597"/>
      <c r="M63" s="598"/>
    </row>
    <row r="64" spans="1:13">
      <c r="A64" s="602"/>
      <c r="B64" s="525" t="s">
        <v>53</v>
      </c>
      <c r="C64" s="525"/>
      <c r="D64" s="61">
        <v>459</v>
      </c>
      <c r="E64" s="479">
        <f>E73/10</f>
        <v>410.4</v>
      </c>
      <c r="F64" s="28">
        <f t="shared" si="4"/>
        <v>0.89411764705882346</v>
      </c>
      <c r="G64" s="479">
        <f>D64+'2017MAR'!G64</f>
        <v>1857</v>
      </c>
      <c r="H64" s="479">
        <f>E64+'2017MAR'!H64</f>
        <v>1655.6</v>
      </c>
      <c r="I64" s="28">
        <f t="shared" si="5"/>
        <v>0.89154550350026918</v>
      </c>
      <c r="J64" s="596"/>
      <c r="K64" s="597"/>
      <c r="L64" s="597"/>
      <c r="M64" s="598"/>
    </row>
    <row r="65" spans="1:14">
      <c r="A65" s="602"/>
      <c r="B65" s="603" t="s">
        <v>30</v>
      </c>
      <c r="C65" s="603"/>
      <c r="D65" s="474">
        <f>SUM(D63:D64)</f>
        <v>461</v>
      </c>
      <c r="E65" s="474">
        <f>SUM(E63:E64)</f>
        <v>410.4</v>
      </c>
      <c r="F65" s="31">
        <f t="shared" si="4"/>
        <v>0.89023861171366592</v>
      </c>
      <c r="G65" s="474">
        <f>SUM(G63:G64)</f>
        <v>1865</v>
      </c>
      <c r="H65" s="474">
        <f>SUM(H63:H64)</f>
        <v>1663</v>
      </c>
      <c r="I65" s="31">
        <f t="shared" si="5"/>
        <v>0.89168900804289541</v>
      </c>
      <c r="J65" s="604"/>
      <c r="K65" s="605"/>
      <c r="L65" s="605"/>
      <c r="M65" s="606"/>
    </row>
    <row r="66" spans="1:14" s="8" customFormat="1">
      <c r="A66" s="607" t="s">
        <v>46</v>
      </c>
      <c r="B66" s="609" t="s">
        <v>52</v>
      </c>
      <c r="C66" s="609"/>
      <c r="D66" s="473">
        <f>SUM(D60,D63)</f>
        <v>18</v>
      </c>
      <c r="E66" s="473">
        <f>SUM(E60,E63)</f>
        <v>3.5</v>
      </c>
      <c r="F66" s="32">
        <f t="shared" si="4"/>
        <v>0.19444444444444445</v>
      </c>
      <c r="G66" s="473">
        <f>SUM(G60,G63)</f>
        <v>72</v>
      </c>
      <c r="H66" s="473">
        <f>SUM(H60,H63)</f>
        <v>20.9</v>
      </c>
      <c r="I66" s="32">
        <f t="shared" si="5"/>
        <v>0.29027777777777775</v>
      </c>
      <c r="J66" s="610"/>
      <c r="K66" s="611"/>
      <c r="L66" s="611"/>
      <c r="M66" s="612"/>
    </row>
    <row r="67" spans="1:14" s="8" customFormat="1">
      <c r="A67" s="607"/>
      <c r="B67" s="609" t="s">
        <v>53</v>
      </c>
      <c r="C67" s="609"/>
      <c r="D67" s="473">
        <f>SUM(D61,D64)</f>
        <v>1800</v>
      </c>
      <c r="E67" s="473">
        <f>SUM(E61,E64)</f>
        <v>1545.1</v>
      </c>
      <c r="F67" s="32">
        <f t="shared" si="4"/>
        <v>0.85838888888888887</v>
      </c>
      <c r="G67" s="473">
        <f>SUM(G61,G64)</f>
        <v>7286</v>
      </c>
      <c r="H67" s="473">
        <f>SUM(H61,H64)</f>
        <v>6254.7000000000007</v>
      </c>
      <c r="I67" s="32">
        <f t="shared" si="5"/>
        <v>0.85845457040900364</v>
      </c>
      <c r="J67" s="610"/>
      <c r="K67" s="611"/>
      <c r="L67" s="611"/>
      <c r="M67" s="612"/>
    </row>
    <row r="68" spans="1:14" s="8" customFormat="1" ht="14" thickBot="1">
      <c r="A68" s="608"/>
      <c r="B68" s="613" t="s">
        <v>59</v>
      </c>
      <c r="C68" s="613"/>
      <c r="D68" s="481">
        <f>SUM(D66:D67)</f>
        <v>1818</v>
      </c>
      <c r="E68" s="481">
        <f>SUM(E66:E67)</f>
        <v>1548.6</v>
      </c>
      <c r="F68" s="34">
        <f t="shared" si="4"/>
        <v>0.85181518151815172</v>
      </c>
      <c r="G68" s="481">
        <f>SUM(G66:G67)</f>
        <v>7358</v>
      </c>
      <c r="H68" s="481">
        <f>SUM(H66:H67)</f>
        <v>6275.6</v>
      </c>
      <c r="I68" s="34">
        <f t="shared" si="5"/>
        <v>0.85289480837184017</v>
      </c>
      <c r="J68" s="614"/>
      <c r="K68" s="615"/>
      <c r="L68" s="615"/>
      <c r="M68" s="616"/>
    </row>
    <row r="69" spans="1:14">
      <c r="A69" s="593" t="s">
        <v>60</v>
      </c>
      <c r="B69" s="525" t="s">
        <v>29</v>
      </c>
      <c r="C69" s="27" t="s">
        <v>52</v>
      </c>
      <c r="D69" s="479">
        <v>620</v>
      </c>
      <c r="E69" s="490">
        <v>35</v>
      </c>
      <c r="F69" s="28">
        <f t="shared" si="4"/>
        <v>5.6451612903225805E-2</v>
      </c>
      <c r="G69" s="479">
        <f>D69+'2017MAR'!G69</f>
        <v>1550</v>
      </c>
      <c r="H69" s="479">
        <f>E69+'2017MAR'!H69</f>
        <v>135</v>
      </c>
      <c r="I69" s="28">
        <f t="shared" si="5"/>
        <v>8.7096774193548387E-2</v>
      </c>
      <c r="J69" s="596"/>
      <c r="K69" s="597"/>
      <c r="L69" s="597"/>
      <c r="M69" s="598"/>
    </row>
    <row r="70" spans="1:14">
      <c r="A70" s="594"/>
      <c r="B70" s="525"/>
      <c r="C70" s="27" t="s">
        <v>53</v>
      </c>
      <c r="D70" s="479">
        <v>13415</v>
      </c>
      <c r="E70" s="479">
        <f>E21-E69</f>
        <v>11347</v>
      </c>
      <c r="F70" s="28">
        <f t="shared" si="4"/>
        <v>0.845844204248975</v>
      </c>
      <c r="G70" s="479">
        <f>D70+'2017MAR'!G70</f>
        <v>54299</v>
      </c>
      <c r="H70" s="479">
        <f>E70+'2017MAR'!H70</f>
        <v>45991</v>
      </c>
      <c r="I70" s="28">
        <f t="shared" si="5"/>
        <v>0.84699534061400761</v>
      </c>
      <c r="J70" s="596"/>
      <c r="K70" s="597"/>
      <c r="L70" s="597"/>
      <c r="M70" s="598"/>
    </row>
    <row r="71" spans="1:14">
      <c r="A71" s="595"/>
      <c r="B71" s="525"/>
      <c r="C71" s="29" t="s">
        <v>54</v>
      </c>
      <c r="D71" s="487">
        <f>SUM(D69:D70)</f>
        <v>14035</v>
      </c>
      <c r="E71" s="487">
        <f>SUM(E69:E70)</f>
        <v>11382</v>
      </c>
      <c r="F71" s="30">
        <f t="shared" si="4"/>
        <v>0.8109725685785536</v>
      </c>
      <c r="G71" s="487">
        <f>SUM(G69:G70)</f>
        <v>55849</v>
      </c>
      <c r="H71" s="487">
        <f>SUM(H69:H70)</f>
        <v>46126</v>
      </c>
      <c r="I71" s="30">
        <f t="shared" si="5"/>
        <v>0.82590556679618254</v>
      </c>
      <c r="J71" s="599"/>
      <c r="K71" s="600"/>
      <c r="L71" s="600"/>
      <c r="M71" s="601"/>
    </row>
    <row r="72" spans="1:14">
      <c r="A72" s="602" t="s">
        <v>61</v>
      </c>
      <c r="B72" s="525" t="s">
        <v>52</v>
      </c>
      <c r="C72" s="525"/>
      <c r="D72" s="479">
        <v>80</v>
      </c>
      <c r="E72" s="490">
        <v>0</v>
      </c>
      <c r="F72" s="28">
        <f t="shared" si="4"/>
        <v>0</v>
      </c>
      <c r="G72" s="479">
        <f>D72+'2017MAR'!G72</f>
        <v>200</v>
      </c>
      <c r="H72" s="479">
        <f>E72+'2017MAR'!H72</f>
        <v>74</v>
      </c>
      <c r="I72" s="28">
        <f t="shared" si="5"/>
        <v>0.37</v>
      </c>
      <c r="J72" s="596"/>
      <c r="K72" s="597"/>
      <c r="L72" s="597"/>
      <c r="M72" s="598"/>
    </row>
    <row r="73" spans="1:14">
      <c r="A73" s="602"/>
      <c r="B73" s="525" t="s">
        <v>53</v>
      </c>
      <c r="C73" s="525"/>
      <c r="D73" s="479">
        <v>4586</v>
      </c>
      <c r="E73" s="479">
        <f>E23-E72</f>
        <v>4104</v>
      </c>
      <c r="F73" s="28">
        <f t="shared" si="4"/>
        <v>0.89489751417357177</v>
      </c>
      <c r="G73" s="479">
        <f>D73+'2017MAR'!G73</f>
        <v>18562</v>
      </c>
      <c r="H73" s="479">
        <f>E73+'2017MAR'!H73</f>
        <v>16556</v>
      </c>
      <c r="I73" s="28">
        <f t="shared" si="5"/>
        <v>0.89192974894946664</v>
      </c>
      <c r="J73" s="596"/>
      <c r="K73" s="597"/>
      <c r="L73" s="597"/>
      <c r="M73" s="598"/>
    </row>
    <row r="74" spans="1:14">
      <c r="A74" s="602"/>
      <c r="B74" s="603" t="s">
        <v>30</v>
      </c>
      <c r="C74" s="603"/>
      <c r="D74" s="474">
        <f>SUM(D72:D73)</f>
        <v>4666</v>
      </c>
      <c r="E74" s="474">
        <f>SUM(E72:E73)</f>
        <v>4104</v>
      </c>
      <c r="F74" s="31">
        <f t="shared" si="4"/>
        <v>0.87955422203171885</v>
      </c>
      <c r="G74" s="474">
        <f>SUM(G72:G73)</f>
        <v>18762</v>
      </c>
      <c r="H74" s="474">
        <f>SUM(H72:H73)</f>
        <v>16630</v>
      </c>
      <c r="I74" s="31">
        <f t="shared" si="5"/>
        <v>0.88636605905553778</v>
      </c>
      <c r="J74" s="604"/>
      <c r="K74" s="605"/>
      <c r="L74" s="605"/>
      <c r="M74" s="606"/>
    </row>
    <row r="75" spans="1:14" s="8" customFormat="1">
      <c r="A75" s="607" t="s">
        <v>46</v>
      </c>
      <c r="B75" s="609" t="s">
        <v>52</v>
      </c>
      <c r="C75" s="609"/>
      <c r="D75" s="473">
        <f>SUM(D69,D72)</f>
        <v>700</v>
      </c>
      <c r="E75" s="473">
        <f>SUM(E69,E72)</f>
        <v>35</v>
      </c>
      <c r="F75" s="32">
        <f t="shared" si="4"/>
        <v>0.05</v>
      </c>
      <c r="G75" s="473">
        <f>SUM(G69,G72)</f>
        <v>1750</v>
      </c>
      <c r="H75" s="473">
        <f>SUM(H69,H72)</f>
        <v>209</v>
      </c>
      <c r="I75" s="32">
        <f t="shared" si="5"/>
        <v>0.11942857142857143</v>
      </c>
      <c r="J75" s="610"/>
      <c r="K75" s="611"/>
      <c r="L75" s="611"/>
      <c r="M75" s="612"/>
    </row>
    <row r="76" spans="1:14" s="8" customFormat="1">
      <c r="A76" s="607"/>
      <c r="B76" s="609" t="s">
        <v>53</v>
      </c>
      <c r="C76" s="609"/>
      <c r="D76" s="473">
        <f>SUM(D70,D73)</f>
        <v>18001</v>
      </c>
      <c r="E76" s="473">
        <f>SUM(E70,E73)</f>
        <v>15451</v>
      </c>
      <c r="F76" s="32">
        <f t="shared" si="4"/>
        <v>0.85834120326648522</v>
      </c>
      <c r="G76" s="473">
        <f>SUM(G70,G73)</f>
        <v>72861</v>
      </c>
      <c r="H76" s="473">
        <f>SUM(H70,H73)</f>
        <v>62547</v>
      </c>
      <c r="I76" s="32">
        <f t="shared" si="5"/>
        <v>0.85844278832297116</v>
      </c>
      <c r="J76" s="610"/>
      <c r="K76" s="611"/>
      <c r="L76" s="611"/>
      <c r="M76" s="612"/>
    </row>
    <row r="77" spans="1:14" s="8" customFormat="1" ht="14" thickBot="1">
      <c r="A77" s="608"/>
      <c r="B77" s="613" t="s">
        <v>62</v>
      </c>
      <c r="C77" s="613"/>
      <c r="D77" s="481">
        <f>SUM(D75:D76)</f>
        <v>18701</v>
      </c>
      <c r="E77" s="481">
        <f>SUM(E75:E76)</f>
        <v>15486</v>
      </c>
      <c r="F77" s="34">
        <f t="shared" si="4"/>
        <v>0.82808405967595311</v>
      </c>
      <c r="G77" s="481">
        <f>SUM(G75:G76)</f>
        <v>74611</v>
      </c>
      <c r="H77" s="481">
        <f>SUM(H75:H76)</f>
        <v>62756</v>
      </c>
      <c r="I77" s="34">
        <f t="shared" si="5"/>
        <v>0.84110921982013376</v>
      </c>
      <c r="J77" s="614"/>
      <c r="K77" s="615"/>
      <c r="L77" s="615"/>
      <c r="M77" s="616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581" t="s">
        <v>65</v>
      </c>
      <c r="B82" s="582" t="s">
        <v>66</v>
      </c>
      <c r="C82" s="582" t="s">
        <v>50</v>
      </c>
      <c r="D82" s="582" t="s">
        <v>20</v>
      </c>
      <c r="E82" s="582"/>
      <c r="F82" s="582"/>
      <c r="G82" s="582" t="s">
        <v>21</v>
      </c>
      <c r="H82" s="582"/>
      <c r="I82" s="582"/>
      <c r="J82" s="582" t="s">
        <v>10</v>
      </c>
      <c r="K82" s="582"/>
      <c r="L82" s="582"/>
      <c r="M82" s="585"/>
    </row>
    <row r="83" spans="1:13">
      <c r="A83" s="583"/>
      <c r="B83" s="584"/>
      <c r="C83" s="584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584"/>
      <c r="K83" s="584"/>
      <c r="L83" s="584"/>
      <c r="M83" s="586"/>
    </row>
    <row r="84" spans="1:13">
      <c r="A84" s="573" t="s">
        <v>67</v>
      </c>
      <c r="B84" s="525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D84+'2017MAR'!G84</f>
        <v>2</v>
      </c>
      <c r="H84" s="479">
        <f>E84+'2017MAR'!H84</f>
        <v>0</v>
      </c>
      <c r="I84" s="498">
        <f>H84/G84</f>
        <v>0</v>
      </c>
      <c r="J84" s="596"/>
      <c r="K84" s="597"/>
      <c r="L84" s="597"/>
      <c r="M84" s="598"/>
    </row>
    <row r="85" spans="1:13">
      <c r="A85" s="573"/>
      <c r="B85" s="525"/>
      <c r="C85" s="27" t="s">
        <v>70</v>
      </c>
      <c r="D85" s="479">
        <v>85</v>
      </c>
      <c r="E85" s="490">
        <v>66.5</v>
      </c>
      <c r="F85" s="28">
        <f t="shared" ref="F85:F98" si="6">E85/D85</f>
        <v>0.78235294117647058</v>
      </c>
      <c r="G85" s="479">
        <f>D85+'2017MAR'!G85</f>
        <v>338</v>
      </c>
      <c r="H85" s="479">
        <f>E85+'2017MAR'!H85</f>
        <v>272</v>
      </c>
      <c r="I85" s="28">
        <f t="shared" ref="I85:I98" si="7">H85/G85</f>
        <v>0.80473372781065089</v>
      </c>
      <c r="J85" s="596"/>
      <c r="K85" s="597"/>
      <c r="L85" s="597"/>
      <c r="M85" s="598"/>
    </row>
    <row r="86" spans="1:13">
      <c r="A86" s="573"/>
      <c r="B86" s="525"/>
      <c r="C86" s="38" t="s">
        <v>71</v>
      </c>
      <c r="D86" s="487">
        <f>SUM(D84:D85)</f>
        <v>85</v>
      </c>
      <c r="E86" s="487">
        <f>SUM(E84:E85)</f>
        <v>66.5</v>
      </c>
      <c r="F86" s="30">
        <f t="shared" si="6"/>
        <v>0.78235294117647058</v>
      </c>
      <c r="G86" s="487">
        <f>SUM(G84:G85)</f>
        <v>340</v>
      </c>
      <c r="H86" s="487">
        <f>SUM(H84:H85)</f>
        <v>272</v>
      </c>
      <c r="I86" s="30">
        <f t="shared" si="7"/>
        <v>0.8</v>
      </c>
      <c r="J86" s="599"/>
      <c r="K86" s="600"/>
      <c r="L86" s="600"/>
      <c r="M86" s="601"/>
    </row>
    <row r="87" spans="1:13">
      <c r="A87" s="573"/>
      <c r="B87" s="525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D87+'2017MAR'!G87</f>
        <v>1</v>
      </c>
      <c r="H87" s="479">
        <f>E87+'2017MAR'!H87</f>
        <v>0</v>
      </c>
      <c r="I87" s="28">
        <f t="shared" si="7"/>
        <v>0</v>
      </c>
      <c r="J87" s="596"/>
      <c r="K87" s="597"/>
      <c r="L87" s="597"/>
      <c r="M87" s="598"/>
    </row>
    <row r="88" spans="1:13">
      <c r="A88" s="573"/>
      <c r="B88" s="525"/>
      <c r="C88" s="27" t="s">
        <v>70</v>
      </c>
      <c r="D88" s="479">
        <v>20</v>
      </c>
      <c r="E88" s="490">
        <v>17.5</v>
      </c>
      <c r="F88" s="28">
        <f t="shared" si="6"/>
        <v>0.875</v>
      </c>
      <c r="G88" s="479">
        <f>D88+'2017MAR'!G88</f>
        <v>79</v>
      </c>
      <c r="H88" s="479">
        <f>E88+'2017MAR'!H88</f>
        <v>70</v>
      </c>
      <c r="I88" s="28">
        <f t="shared" si="7"/>
        <v>0.88607594936708856</v>
      </c>
      <c r="J88" s="596"/>
      <c r="K88" s="597"/>
      <c r="L88" s="597"/>
      <c r="M88" s="598"/>
    </row>
    <row r="89" spans="1:13">
      <c r="A89" s="573"/>
      <c r="B89" s="525"/>
      <c r="C89" s="38" t="s">
        <v>71</v>
      </c>
      <c r="D89" s="487">
        <f>SUM(D87:D88)</f>
        <v>20</v>
      </c>
      <c r="E89" s="487">
        <f>SUM(E87:E88)</f>
        <v>17.5</v>
      </c>
      <c r="F89" s="30">
        <f t="shared" si="6"/>
        <v>0.875</v>
      </c>
      <c r="G89" s="487">
        <f>SUM(G87:G88)</f>
        <v>80</v>
      </c>
      <c r="H89" s="487">
        <f>SUM(H87:H88)</f>
        <v>70</v>
      </c>
      <c r="I89" s="30">
        <f t="shared" si="7"/>
        <v>0.875</v>
      </c>
      <c r="J89" s="599"/>
      <c r="K89" s="600"/>
      <c r="L89" s="600"/>
      <c r="M89" s="601"/>
    </row>
    <row r="90" spans="1:13">
      <c r="A90" s="573"/>
      <c r="B90" s="525" t="s">
        <v>73</v>
      </c>
      <c r="C90" s="27" t="s">
        <v>69</v>
      </c>
      <c r="D90" s="479">
        <v>0</v>
      </c>
      <c r="E90" s="490">
        <v>1</v>
      </c>
      <c r="F90" s="28" t="e">
        <f t="shared" si="6"/>
        <v>#DIV/0!</v>
      </c>
      <c r="G90" s="479">
        <f>D90+'2017MAR'!G90</f>
        <v>2</v>
      </c>
      <c r="H90" s="479">
        <f>E90+'2017MAR'!H90</f>
        <v>2</v>
      </c>
      <c r="I90" s="28">
        <f t="shared" si="7"/>
        <v>1</v>
      </c>
      <c r="J90" s="596"/>
      <c r="K90" s="597"/>
      <c r="L90" s="597"/>
      <c r="M90" s="598"/>
    </row>
    <row r="91" spans="1:13">
      <c r="A91" s="573"/>
      <c r="B91" s="525"/>
      <c r="C91" s="27" t="s">
        <v>70</v>
      </c>
      <c r="D91" s="479">
        <v>51</v>
      </c>
      <c r="E91" s="490">
        <v>47.5</v>
      </c>
      <c r="F91" s="28">
        <f t="shared" si="6"/>
        <v>0.93137254901960786</v>
      </c>
      <c r="G91" s="479">
        <f>D91+'2017MAR'!G91</f>
        <v>200</v>
      </c>
      <c r="H91" s="479">
        <f>E91+'2017MAR'!H91</f>
        <v>186</v>
      </c>
      <c r="I91" s="28">
        <f t="shared" si="7"/>
        <v>0.93</v>
      </c>
      <c r="J91" s="596"/>
      <c r="K91" s="597"/>
      <c r="L91" s="597"/>
      <c r="M91" s="598"/>
    </row>
    <row r="92" spans="1:13">
      <c r="A92" s="573"/>
      <c r="B92" s="525"/>
      <c r="C92" s="38" t="s">
        <v>71</v>
      </c>
      <c r="D92" s="487">
        <f>SUM(D90:D91)</f>
        <v>51</v>
      </c>
      <c r="E92" s="487">
        <f>SUM(E90:E91)</f>
        <v>48.5</v>
      </c>
      <c r="F92" s="30">
        <f t="shared" si="6"/>
        <v>0.9509803921568627</v>
      </c>
      <c r="G92" s="487">
        <f>SUM(G90:G91)</f>
        <v>202</v>
      </c>
      <c r="H92" s="487">
        <f>SUM(H90:H91)</f>
        <v>188</v>
      </c>
      <c r="I92" s="30">
        <f t="shared" si="7"/>
        <v>0.93069306930693074</v>
      </c>
      <c r="J92" s="599"/>
      <c r="K92" s="600"/>
      <c r="L92" s="600"/>
      <c r="M92" s="601"/>
    </row>
    <row r="93" spans="1:13">
      <c r="A93" s="573"/>
      <c r="B93" s="525" t="s">
        <v>74</v>
      </c>
      <c r="C93" s="27" t="s">
        <v>69</v>
      </c>
      <c r="D93" s="479">
        <v>0</v>
      </c>
      <c r="E93" s="490">
        <v>0.5</v>
      </c>
      <c r="F93" s="28" t="e">
        <f t="shared" si="6"/>
        <v>#DIV/0!</v>
      </c>
      <c r="G93" s="479">
        <f>D93+'2017MAR'!G93</f>
        <v>3</v>
      </c>
      <c r="H93" s="479">
        <f>E93+'2017MAR'!H93</f>
        <v>2.5</v>
      </c>
      <c r="I93" s="28">
        <f t="shared" si="7"/>
        <v>0.83333333333333337</v>
      </c>
      <c r="J93" s="596"/>
      <c r="K93" s="597"/>
      <c r="L93" s="597"/>
      <c r="M93" s="598"/>
    </row>
    <row r="94" spans="1:13">
      <c r="A94" s="573"/>
      <c r="B94" s="525"/>
      <c r="C94" s="27" t="s">
        <v>70</v>
      </c>
      <c r="D94" s="479">
        <v>92</v>
      </c>
      <c r="E94" s="490">
        <v>82</v>
      </c>
      <c r="F94" s="28">
        <f t="shared" si="6"/>
        <v>0.89130434782608692</v>
      </c>
      <c r="G94" s="479">
        <f>D94+'2017MAR'!G94</f>
        <v>365</v>
      </c>
      <c r="H94" s="479">
        <f>E94+'2017MAR'!H94</f>
        <v>330.5</v>
      </c>
      <c r="I94" s="28">
        <f t="shared" si="7"/>
        <v>0.90547945205479452</v>
      </c>
      <c r="J94" s="596"/>
      <c r="K94" s="597"/>
      <c r="L94" s="597"/>
      <c r="M94" s="598"/>
    </row>
    <row r="95" spans="1:13">
      <c r="A95" s="573"/>
      <c r="B95" s="525"/>
      <c r="C95" s="38" t="s">
        <v>71</v>
      </c>
      <c r="D95" s="487">
        <f>SUM(D93:D94)</f>
        <v>92</v>
      </c>
      <c r="E95" s="487">
        <f>SUM(E93:E94)</f>
        <v>82.5</v>
      </c>
      <c r="F95" s="30">
        <f t="shared" si="6"/>
        <v>0.89673913043478259</v>
      </c>
      <c r="G95" s="487">
        <f>SUM(G93:G94)</f>
        <v>368</v>
      </c>
      <c r="H95" s="487">
        <f>SUM(H93:H94)</f>
        <v>333</v>
      </c>
      <c r="I95" s="30">
        <f t="shared" si="7"/>
        <v>0.90489130434782605</v>
      </c>
      <c r="J95" s="599"/>
      <c r="K95" s="600"/>
      <c r="L95" s="600"/>
      <c r="M95" s="601"/>
    </row>
    <row r="96" spans="1:13">
      <c r="A96" s="573"/>
      <c r="B96" s="603" t="s">
        <v>46</v>
      </c>
      <c r="C96" s="39" t="s">
        <v>69</v>
      </c>
      <c r="D96" s="474">
        <f>SUM(D84,D87,D90,D93)</f>
        <v>0</v>
      </c>
      <c r="E96" s="474">
        <f>SUM(E84,E87,E90,E93)</f>
        <v>1.5</v>
      </c>
      <c r="F96" s="31" t="e">
        <f t="shared" si="6"/>
        <v>#DIV/0!</v>
      </c>
      <c r="G96" s="474">
        <f>SUM(G84,G87,G90,G93)</f>
        <v>8</v>
      </c>
      <c r="H96" s="474">
        <f>SUM(H84,H87,H90,H93)</f>
        <v>4.5</v>
      </c>
      <c r="I96" s="31">
        <f t="shared" si="7"/>
        <v>0.5625</v>
      </c>
      <c r="J96" s="604"/>
      <c r="K96" s="605"/>
      <c r="L96" s="605"/>
      <c r="M96" s="606"/>
    </row>
    <row r="97" spans="1:13">
      <c r="A97" s="573"/>
      <c r="B97" s="603"/>
      <c r="C97" s="39" t="s">
        <v>70</v>
      </c>
      <c r="D97" s="474">
        <f>SUM(D85,D88,D91,D94)</f>
        <v>248</v>
      </c>
      <c r="E97" s="474">
        <f>SUM(E85,E88,E91,E94)</f>
        <v>213.5</v>
      </c>
      <c r="F97" s="31">
        <f t="shared" si="6"/>
        <v>0.86088709677419351</v>
      </c>
      <c r="G97" s="474">
        <f>SUM(G85,G88,G91,G94)</f>
        <v>982</v>
      </c>
      <c r="H97" s="474">
        <f>SUM(H85,H88,H91,H94)</f>
        <v>858.5</v>
      </c>
      <c r="I97" s="31">
        <f t="shared" si="7"/>
        <v>0.87423625254582482</v>
      </c>
      <c r="J97" s="604"/>
      <c r="K97" s="605"/>
      <c r="L97" s="605"/>
      <c r="M97" s="606"/>
    </row>
    <row r="98" spans="1:13" ht="14" thickBot="1">
      <c r="A98" s="623"/>
      <c r="B98" s="624"/>
      <c r="C98" s="40" t="s">
        <v>46</v>
      </c>
      <c r="D98" s="475">
        <f>SUM(D96:D97)</f>
        <v>248</v>
      </c>
      <c r="E98" s="475">
        <f>SUM(E96:E97)</f>
        <v>215</v>
      </c>
      <c r="F98" s="41">
        <f t="shared" si="6"/>
        <v>0.86693548387096775</v>
      </c>
      <c r="G98" s="475">
        <f>SUM(G96:G97)</f>
        <v>990</v>
      </c>
      <c r="H98" s="475">
        <f>SUM(H96:H97)</f>
        <v>863</v>
      </c>
      <c r="I98" s="41">
        <f t="shared" si="7"/>
        <v>0.87171717171717167</v>
      </c>
      <c r="J98" s="625"/>
      <c r="K98" s="626"/>
      <c r="L98" s="626"/>
      <c r="M98" s="627"/>
    </row>
    <row r="99" spans="1:13">
      <c r="A99" s="617" t="s">
        <v>75</v>
      </c>
      <c r="B99" s="619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D99+'2017MAR'!G99</f>
        <v>2</v>
      </c>
      <c r="H99" s="478">
        <f>E99+'2017MAR'!H99</f>
        <v>0</v>
      </c>
      <c r="I99" s="499">
        <f>H99/G99</f>
        <v>0</v>
      </c>
      <c r="J99" s="620"/>
      <c r="K99" s="621"/>
      <c r="L99" s="621"/>
      <c r="M99" s="622"/>
    </row>
    <row r="100" spans="1:13" ht="13.5" customHeight="1">
      <c r="A100" s="562"/>
      <c r="B100" s="525"/>
      <c r="C100" s="27" t="s">
        <v>70</v>
      </c>
      <c r="D100" s="479">
        <v>75</v>
      </c>
      <c r="E100" s="490">
        <v>57</v>
      </c>
      <c r="F100" s="28">
        <f t="shared" ref="F100:F109" si="8">E100/D100</f>
        <v>0.76</v>
      </c>
      <c r="G100" s="477">
        <f>D100+'2017MAR'!G100</f>
        <v>298</v>
      </c>
      <c r="H100" s="477">
        <f>E100+'2017MAR'!H100</f>
        <v>234</v>
      </c>
      <c r="I100" s="28">
        <f t="shared" ref="I100:I109" si="9">H100/G100</f>
        <v>0.78523489932885904</v>
      </c>
      <c r="J100" s="596"/>
      <c r="K100" s="597"/>
      <c r="L100" s="597"/>
      <c r="M100" s="598"/>
    </row>
    <row r="101" spans="1:13" ht="13.5" customHeight="1">
      <c r="A101" s="562"/>
      <c r="B101" s="525"/>
      <c r="C101" s="38" t="s">
        <v>71</v>
      </c>
      <c r="D101" s="487">
        <f>SUM(D99:D100)</f>
        <v>75</v>
      </c>
      <c r="E101" s="487">
        <f>SUM(E99:E100)</f>
        <v>57</v>
      </c>
      <c r="F101" s="30">
        <f t="shared" si="8"/>
        <v>0.76</v>
      </c>
      <c r="G101" s="487">
        <f>SUM(G99:G100)</f>
        <v>300</v>
      </c>
      <c r="H101" s="487">
        <f>SUM(H99:H100)</f>
        <v>234</v>
      </c>
      <c r="I101" s="30">
        <f t="shared" si="9"/>
        <v>0.78</v>
      </c>
      <c r="J101" s="599"/>
      <c r="K101" s="600"/>
      <c r="L101" s="600"/>
      <c r="M101" s="601"/>
    </row>
    <row r="102" spans="1:13" ht="13.5" customHeight="1">
      <c r="A102" s="562"/>
      <c r="B102" s="525" t="s">
        <v>77</v>
      </c>
      <c r="C102" s="27" t="s">
        <v>69</v>
      </c>
      <c r="D102" s="479">
        <v>0</v>
      </c>
      <c r="E102" s="490">
        <v>0</v>
      </c>
      <c r="F102" s="28" t="e">
        <f t="shared" si="8"/>
        <v>#DIV/0!</v>
      </c>
      <c r="G102" s="479">
        <f>D102+'2017MAR'!G102</f>
        <v>2</v>
      </c>
      <c r="H102" s="479">
        <f>E102+'2017MAR'!H102</f>
        <v>0</v>
      </c>
      <c r="I102" s="28">
        <f t="shared" si="9"/>
        <v>0</v>
      </c>
      <c r="J102" s="596"/>
      <c r="K102" s="597"/>
      <c r="L102" s="597"/>
      <c r="M102" s="598"/>
    </row>
    <row r="103" spans="1:13" ht="13.5" customHeight="1">
      <c r="A103" s="562"/>
      <c r="B103" s="525"/>
      <c r="C103" s="27" t="s">
        <v>70</v>
      </c>
      <c r="D103" s="479">
        <v>41</v>
      </c>
      <c r="E103" s="490">
        <v>33.5</v>
      </c>
      <c r="F103" s="28">
        <f t="shared" si="8"/>
        <v>0.81707317073170727</v>
      </c>
      <c r="G103" s="479">
        <f>D103+'2017MAR'!G103</f>
        <v>162</v>
      </c>
      <c r="H103" s="479">
        <f>E103+'2017MAR'!H103</f>
        <v>139.5</v>
      </c>
      <c r="I103" s="28">
        <f t="shared" si="9"/>
        <v>0.86111111111111116</v>
      </c>
      <c r="J103" s="596"/>
      <c r="K103" s="597"/>
      <c r="L103" s="597"/>
      <c r="M103" s="598"/>
    </row>
    <row r="104" spans="1:13" ht="13.5" customHeight="1">
      <c r="A104" s="562"/>
      <c r="B104" s="525"/>
      <c r="C104" s="38" t="s">
        <v>71</v>
      </c>
      <c r="D104" s="487">
        <f>SUM(D102:D103)</f>
        <v>41</v>
      </c>
      <c r="E104" s="487">
        <f>SUM(E102:E103)</f>
        <v>33.5</v>
      </c>
      <c r="F104" s="30">
        <f t="shared" si="8"/>
        <v>0.81707317073170727</v>
      </c>
      <c r="G104" s="487">
        <f>SUM(G102:G103)</f>
        <v>164</v>
      </c>
      <c r="H104" s="487">
        <f>SUM(H102:H103)</f>
        <v>139.5</v>
      </c>
      <c r="I104" s="30">
        <f t="shared" si="9"/>
        <v>0.85060975609756095</v>
      </c>
      <c r="J104" s="599"/>
      <c r="K104" s="600"/>
      <c r="L104" s="600"/>
      <c r="M104" s="601"/>
    </row>
    <row r="105" spans="1:13" ht="13.5" customHeight="1">
      <c r="A105" s="562"/>
      <c r="B105" s="603" t="s">
        <v>46</v>
      </c>
      <c r="C105" s="39" t="s">
        <v>69</v>
      </c>
      <c r="D105" s="474">
        <f>SUM(D99,D102)</f>
        <v>0</v>
      </c>
      <c r="E105" s="474">
        <f>SUM(E99,E102)</f>
        <v>0</v>
      </c>
      <c r="F105" s="30" t="e">
        <f t="shared" si="8"/>
        <v>#DIV/0!</v>
      </c>
      <c r="G105" s="474">
        <f>SUM(G99,G102)</f>
        <v>4</v>
      </c>
      <c r="H105" s="474">
        <f>SUM(H99,H102)</f>
        <v>0</v>
      </c>
      <c r="I105" s="30">
        <f t="shared" si="9"/>
        <v>0</v>
      </c>
      <c r="J105" s="604"/>
      <c r="K105" s="605"/>
      <c r="L105" s="605"/>
      <c r="M105" s="606"/>
    </row>
    <row r="106" spans="1:13" ht="13.5" customHeight="1">
      <c r="A106" s="562"/>
      <c r="B106" s="603"/>
      <c r="C106" s="39" t="s">
        <v>70</v>
      </c>
      <c r="D106" s="474">
        <f>SUM(D100,D103)</f>
        <v>116</v>
      </c>
      <c r="E106" s="474">
        <f>SUM(E100,E103)</f>
        <v>90.5</v>
      </c>
      <c r="F106" s="30">
        <f t="shared" si="8"/>
        <v>0.78017241379310343</v>
      </c>
      <c r="G106" s="474">
        <f>SUM(G100,G103)</f>
        <v>460</v>
      </c>
      <c r="H106" s="474">
        <f>SUM(H100,H103)</f>
        <v>373.5</v>
      </c>
      <c r="I106" s="30">
        <f t="shared" si="9"/>
        <v>0.81195652173913047</v>
      </c>
      <c r="J106" s="604"/>
      <c r="K106" s="605"/>
      <c r="L106" s="605"/>
      <c r="M106" s="606"/>
    </row>
    <row r="107" spans="1:13" ht="14.25" customHeight="1" thickBot="1">
      <c r="A107" s="618"/>
      <c r="B107" s="624"/>
      <c r="C107" s="40" t="s">
        <v>46</v>
      </c>
      <c r="D107" s="475">
        <f>SUM(D105:D106)</f>
        <v>116</v>
      </c>
      <c r="E107" s="475">
        <f>SUM(E105:E106)</f>
        <v>90.5</v>
      </c>
      <c r="F107" s="41">
        <f t="shared" si="8"/>
        <v>0.78017241379310343</v>
      </c>
      <c r="G107" s="475">
        <f>SUM(G105:G106)</f>
        <v>464</v>
      </c>
      <c r="H107" s="475">
        <f>SUM(H105:H106)</f>
        <v>373.5</v>
      </c>
      <c r="I107" s="41">
        <f t="shared" si="9"/>
        <v>0.80495689655172409</v>
      </c>
      <c r="J107" s="625"/>
      <c r="K107" s="626"/>
      <c r="L107" s="626"/>
      <c r="M107" s="627"/>
    </row>
    <row r="108" spans="1:13">
      <c r="A108" s="635" t="s">
        <v>46</v>
      </c>
      <c r="B108" s="635"/>
      <c r="C108" s="44" t="s">
        <v>69</v>
      </c>
      <c r="D108" s="472">
        <f>SUM(D96,D105)</f>
        <v>0</v>
      </c>
      <c r="E108" s="472">
        <f>SUM(E96,E105)</f>
        <v>1.5</v>
      </c>
      <c r="F108" s="45" t="e">
        <f t="shared" si="8"/>
        <v>#DIV/0!</v>
      </c>
      <c r="G108" s="46">
        <f>SUM(G96,G105)</f>
        <v>12</v>
      </c>
      <c r="H108" s="46">
        <f>SUM(H96,H105)</f>
        <v>4.5</v>
      </c>
      <c r="I108" s="45">
        <f t="shared" si="9"/>
        <v>0.375</v>
      </c>
      <c r="J108" s="636"/>
      <c r="K108" s="637"/>
      <c r="L108" s="637"/>
      <c r="M108" s="638"/>
    </row>
    <row r="109" spans="1:13">
      <c r="A109" s="609"/>
      <c r="B109" s="609"/>
      <c r="C109" s="47" t="s">
        <v>70</v>
      </c>
      <c r="D109" s="473">
        <f>SUM(D97,D106)</f>
        <v>364</v>
      </c>
      <c r="E109" s="473">
        <f>SUM(E97,E106)</f>
        <v>304</v>
      </c>
      <c r="F109" s="32">
        <f t="shared" si="8"/>
        <v>0.8351648351648352</v>
      </c>
      <c r="G109" s="473">
        <f>SUM(G97,G106)</f>
        <v>1442</v>
      </c>
      <c r="H109" s="473">
        <f>SUM(H97,H106)</f>
        <v>1232</v>
      </c>
      <c r="I109" s="32">
        <f t="shared" si="9"/>
        <v>0.85436893203883491</v>
      </c>
      <c r="J109" s="639"/>
      <c r="K109" s="640"/>
      <c r="L109" s="640"/>
      <c r="M109" s="641"/>
    </row>
    <row r="110" spans="1:13">
      <c r="A110" s="609"/>
      <c r="B110" s="609"/>
      <c r="C110" s="48" t="s">
        <v>46</v>
      </c>
      <c r="D110" s="473">
        <f>SUM(D108:D109)</f>
        <v>364</v>
      </c>
      <c r="E110" s="473">
        <f>SUM(E108:E109)</f>
        <v>305.5</v>
      </c>
      <c r="F110" s="49">
        <f>E110/D110</f>
        <v>0.8392857142857143</v>
      </c>
      <c r="G110" s="472">
        <f>SUM(G108:G109)</f>
        <v>1454</v>
      </c>
      <c r="H110" s="472">
        <f>SUM(H108:H109)</f>
        <v>1236.5</v>
      </c>
      <c r="I110" s="49">
        <f>H110/G110</f>
        <v>0.85041265474552963</v>
      </c>
      <c r="J110" s="639"/>
      <c r="K110" s="640"/>
      <c r="L110" s="640"/>
      <c r="M110" s="641"/>
    </row>
    <row r="113" spans="1:13" ht="15" thickBot="1">
      <c r="A113" s="127" t="s">
        <v>78</v>
      </c>
    </row>
    <row r="114" spans="1:13">
      <c r="A114" s="642" t="s">
        <v>79</v>
      </c>
      <c r="B114" s="643"/>
      <c r="C114" s="644" t="s">
        <v>80</v>
      </c>
      <c r="D114" s="645"/>
      <c r="E114" s="644" t="s">
        <v>81</v>
      </c>
      <c r="F114" s="645"/>
      <c r="G114" s="644" t="s">
        <v>136</v>
      </c>
      <c r="H114" s="703"/>
      <c r="I114" s="646"/>
      <c r="J114" s="647"/>
      <c r="K114" s="646"/>
      <c r="L114" s="648"/>
    </row>
    <row r="115" spans="1:13">
      <c r="A115" s="628" t="s">
        <v>82</v>
      </c>
      <c r="B115" s="629"/>
      <c r="C115" s="630" t="s">
        <v>83</v>
      </c>
      <c r="D115" s="631"/>
      <c r="E115" s="630" t="s">
        <v>84</v>
      </c>
      <c r="F115" s="631"/>
      <c r="G115" s="630" t="s">
        <v>84</v>
      </c>
      <c r="H115" s="631"/>
      <c r="I115" s="632"/>
      <c r="J115" s="633"/>
      <c r="K115" s="632"/>
      <c r="L115" s="634"/>
    </row>
    <row r="116" spans="1:13">
      <c r="A116" s="628" t="s">
        <v>85</v>
      </c>
      <c r="B116" s="629"/>
      <c r="C116" s="630" t="s">
        <v>86</v>
      </c>
      <c r="D116" s="631"/>
      <c r="E116" s="630" t="s">
        <v>87</v>
      </c>
      <c r="F116" s="631"/>
      <c r="G116" s="630" t="s">
        <v>87</v>
      </c>
      <c r="H116" s="631"/>
      <c r="I116" s="632"/>
      <c r="J116" s="633"/>
      <c r="K116" s="632"/>
      <c r="L116" s="634"/>
    </row>
    <row r="117" spans="1:13">
      <c r="A117" s="628" t="s">
        <v>88</v>
      </c>
      <c r="B117" s="629"/>
      <c r="C117" s="630" t="s">
        <v>89</v>
      </c>
      <c r="D117" s="631"/>
      <c r="E117" s="630" t="s">
        <v>90</v>
      </c>
      <c r="F117" s="631"/>
      <c r="G117" s="630" t="s">
        <v>138</v>
      </c>
      <c r="H117" s="631"/>
      <c r="I117" s="632"/>
      <c r="J117" s="633"/>
      <c r="K117" s="632"/>
      <c r="L117" s="634"/>
    </row>
    <row r="118" spans="1:13">
      <c r="A118" s="628" t="s">
        <v>91</v>
      </c>
      <c r="B118" s="629"/>
      <c r="C118" s="649">
        <v>791</v>
      </c>
      <c r="D118" s="650"/>
      <c r="E118" s="649">
        <v>7</v>
      </c>
      <c r="F118" s="650"/>
      <c r="G118" s="649">
        <v>2</v>
      </c>
      <c r="H118" s="650"/>
      <c r="I118" s="632"/>
      <c r="J118" s="633"/>
      <c r="K118" s="632"/>
      <c r="L118" s="634"/>
    </row>
    <row r="119" spans="1:13">
      <c r="A119" s="628" t="s">
        <v>92</v>
      </c>
      <c r="B119" s="629"/>
      <c r="C119" s="630" t="s">
        <v>93</v>
      </c>
      <c r="D119" s="631"/>
      <c r="E119" s="630" t="s">
        <v>94</v>
      </c>
      <c r="F119" s="631"/>
      <c r="G119" s="630" t="s">
        <v>94</v>
      </c>
      <c r="H119" s="631"/>
      <c r="I119" s="632"/>
      <c r="J119" s="633"/>
      <c r="K119" s="632"/>
      <c r="L119" s="634"/>
    </row>
    <row r="120" spans="1:13">
      <c r="A120" s="628" t="s">
        <v>311</v>
      </c>
      <c r="B120" s="471" t="s">
        <v>96</v>
      </c>
      <c r="C120" s="630">
        <v>0</v>
      </c>
      <c r="D120" s="631"/>
      <c r="E120" s="630">
        <v>0</v>
      </c>
      <c r="F120" s="631"/>
      <c r="G120" s="630">
        <v>0</v>
      </c>
      <c r="H120" s="631"/>
      <c r="I120" s="632"/>
      <c r="J120" s="633"/>
      <c r="K120" s="632"/>
      <c r="L120" s="634"/>
    </row>
    <row r="121" spans="1:13">
      <c r="A121" s="628"/>
      <c r="B121" s="471" t="s">
        <v>97</v>
      </c>
      <c r="C121" s="630">
        <v>0</v>
      </c>
      <c r="D121" s="631"/>
      <c r="E121" s="630">
        <v>0</v>
      </c>
      <c r="F121" s="631"/>
      <c r="G121" s="630">
        <v>0</v>
      </c>
      <c r="H121" s="631"/>
      <c r="I121" s="632"/>
      <c r="J121" s="633"/>
      <c r="K121" s="632"/>
      <c r="L121" s="634"/>
    </row>
    <row r="122" spans="1:13">
      <c r="A122" s="628"/>
      <c r="B122" s="471" t="s">
        <v>98</v>
      </c>
      <c r="C122" s="651">
        <v>0</v>
      </c>
      <c r="D122" s="652"/>
      <c r="E122" s="651">
        <v>0</v>
      </c>
      <c r="F122" s="652"/>
      <c r="G122" s="651">
        <v>0</v>
      </c>
      <c r="H122" s="652"/>
      <c r="I122" s="653"/>
      <c r="J122" s="654"/>
      <c r="K122" s="653"/>
      <c r="L122" s="655"/>
    </row>
    <row r="123" spans="1:13">
      <c r="A123" s="628"/>
      <c r="B123" s="471" t="s">
        <v>99</v>
      </c>
      <c r="C123" s="656">
        <v>349</v>
      </c>
      <c r="D123" s="656"/>
      <c r="E123" s="656">
        <v>157</v>
      </c>
      <c r="F123" s="656"/>
      <c r="G123" s="656">
        <v>797</v>
      </c>
      <c r="H123" s="656"/>
      <c r="I123" s="653"/>
      <c r="J123" s="654"/>
      <c r="K123" s="653"/>
      <c r="L123" s="655"/>
    </row>
    <row r="124" spans="1:13" ht="13.5" customHeight="1" thickBot="1">
      <c r="A124" s="673" t="s">
        <v>10</v>
      </c>
      <c r="B124" s="674"/>
      <c r="C124" s="675"/>
      <c r="D124" s="676"/>
      <c r="E124" s="675"/>
      <c r="F124" s="676"/>
      <c r="G124" s="660"/>
      <c r="H124" s="677"/>
      <c r="I124" s="660"/>
      <c r="J124" s="677"/>
      <c r="K124" s="660"/>
      <c r="L124" s="661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31" t="s">
        <v>101</v>
      </c>
      <c r="B128" s="533"/>
      <c r="C128" s="662" t="s">
        <v>328</v>
      </c>
      <c r="D128" s="663"/>
      <c r="E128" s="664"/>
      <c r="F128" s="662" t="s">
        <v>329</v>
      </c>
      <c r="G128" s="663"/>
      <c r="H128" s="663"/>
      <c r="I128" s="664"/>
      <c r="J128" s="662" t="s">
        <v>333</v>
      </c>
      <c r="K128" s="663"/>
      <c r="L128" s="663"/>
      <c r="M128" s="665"/>
    </row>
    <row r="129" spans="1:13" ht="35.25" customHeight="1">
      <c r="A129" s="716" t="s">
        <v>103</v>
      </c>
      <c r="B129" s="717"/>
      <c r="C129" s="722" t="s">
        <v>334</v>
      </c>
      <c r="D129" s="723"/>
      <c r="E129" s="724"/>
      <c r="F129" s="725" t="s">
        <v>330</v>
      </c>
      <c r="G129" s="726"/>
      <c r="H129" s="726"/>
      <c r="I129" s="727"/>
      <c r="J129" s="728" t="s">
        <v>335</v>
      </c>
      <c r="K129" s="728"/>
      <c r="L129" s="728"/>
      <c r="M129" s="729"/>
    </row>
    <row r="130" spans="1:13" ht="35.25" customHeight="1">
      <c r="A130" s="716" t="s">
        <v>104</v>
      </c>
      <c r="B130" s="717"/>
      <c r="C130" s="722" t="s">
        <v>15</v>
      </c>
      <c r="D130" s="723"/>
      <c r="E130" s="724"/>
      <c r="F130" s="722" t="s">
        <v>15</v>
      </c>
      <c r="G130" s="723"/>
      <c r="H130" s="723"/>
      <c r="I130" s="724"/>
      <c r="J130" s="730" t="s">
        <v>15</v>
      </c>
      <c r="K130" s="731"/>
      <c r="L130" s="731"/>
      <c r="M130" s="732"/>
    </row>
    <row r="131" spans="1:13" ht="67.5" customHeight="1">
      <c r="A131" s="716" t="s">
        <v>105</v>
      </c>
      <c r="B131" s="717"/>
      <c r="C131" s="718" t="s">
        <v>336</v>
      </c>
      <c r="D131" s="719"/>
      <c r="E131" s="720"/>
      <c r="F131" s="718" t="s">
        <v>337</v>
      </c>
      <c r="G131" s="719"/>
      <c r="H131" s="719"/>
      <c r="I131" s="720"/>
      <c r="J131" s="718" t="s">
        <v>336</v>
      </c>
      <c r="K131" s="719"/>
      <c r="L131" s="719"/>
      <c r="M131" s="721"/>
    </row>
    <row r="132" spans="1:13" ht="35.25" customHeight="1" thickBot="1">
      <c r="A132" s="733" t="s">
        <v>106</v>
      </c>
      <c r="B132" s="734"/>
      <c r="C132" s="735"/>
      <c r="D132" s="736"/>
      <c r="E132" s="737"/>
      <c r="F132" s="738" t="s">
        <v>338</v>
      </c>
      <c r="G132" s="739"/>
      <c r="H132" s="739"/>
      <c r="I132" s="740"/>
      <c r="J132" s="741" t="s">
        <v>339</v>
      </c>
      <c r="K132" s="742"/>
      <c r="L132" s="742"/>
      <c r="M132" s="743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701" t="s">
        <v>112</v>
      </c>
      <c r="F137" s="701"/>
      <c r="G137" s="701"/>
      <c r="H137" s="54" t="s">
        <v>113</v>
      </c>
    </row>
    <row r="138" spans="1:13" ht="40.5" customHeight="1" thickBot="1">
      <c r="A138" s="62">
        <f>E42</f>
        <v>51000</v>
      </c>
      <c r="B138" s="63">
        <f>'2017MAR'!H138</f>
        <v>5459</v>
      </c>
      <c r="C138" s="63">
        <f>E43-E42</f>
        <v>20412</v>
      </c>
      <c r="D138" s="504">
        <v>48161</v>
      </c>
      <c r="E138" s="681" t="s">
        <v>114</v>
      </c>
      <c r="F138" s="681"/>
      <c r="G138" s="681"/>
      <c r="H138" s="505">
        <f>C138+A138+B138-D138</f>
        <v>28710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679" t="s">
        <v>117</v>
      </c>
      <c r="C140" s="679"/>
      <c r="D140" s="679"/>
      <c r="E140" s="679"/>
      <c r="F140" s="679"/>
      <c r="G140" s="680"/>
    </row>
    <row r="141" spans="1:13" ht="45" customHeight="1" thickBot="1">
      <c r="A141" s="56">
        <v>17000</v>
      </c>
      <c r="B141" s="681" t="s">
        <v>114</v>
      </c>
      <c r="C141" s="681"/>
      <c r="D141" s="681"/>
      <c r="E141" s="681"/>
      <c r="F141" s="681"/>
      <c r="G141" s="682"/>
    </row>
    <row r="143" spans="1:13" ht="14">
      <c r="A143" s="127" t="s">
        <v>118</v>
      </c>
    </row>
    <row r="144" spans="1:13">
      <c r="A144" s="629" t="s">
        <v>50</v>
      </c>
      <c r="B144" s="629"/>
      <c r="C144" s="629"/>
      <c r="D144" s="629"/>
      <c r="E144" s="629"/>
      <c r="F144" s="629"/>
      <c r="G144" s="486" t="s">
        <v>119</v>
      </c>
      <c r="H144" s="683" t="s">
        <v>10</v>
      </c>
      <c r="I144" s="684"/>
      <c r="J144" s="684"/>
      <c r="K144" s="685"/>
    </row>
    <row r="145" spans="1:11">
      <c r="A145" s="574" t="s">
        <v>120</v>
      </c>
      <c r="B145" s="686" t="s">
        <v>121</v>
      </c>
      <c r="C145" s="686"/>
      <c r="D145" s="686"/>
      <c r="E145" s="686"/>
      <c r="F145" s="686"/>
      <c r="G145" s="506">
        <v>10</v>
      </c>
      <c r="H145" s="687"/>
      <c r="I145" s="688"/>
      <c r="J145" s="688"/>
      <c r="K145" s="689"/>
    </row>
    <row r="146" spans="1:11">
      <c r="A146" s="574"/>
      <c r="B146" s="686" t="s">
        <v>122</v>
      </c>
      <c r="C146" s="686"/>
      <c r="D146" s="686"/>
      <c r="E146" s="686"/>
      <c r="F146" s="686"/>
      <c r="G146" s="507">
        <v>16615</v>
      </c>
      <c r="H146" s="690"/>
      <c r="I146" s="691"/>
      <c r="J146" s="691"/>
      <c r="K146" s="692"/>
    </row>
    <row r="147" spans="1:11">
      <c r="A147" s="574" t="s">
        <v>123</v>
      </c>
      <c r="B147" s="686" t="s">
        <v>124</v>
      </c>
      <c r="C147" s="686"/>
      <c r="D147" s="686"/>
      <c r="E147" s="686"/>
      <c r="F147" s="686"/>
      <c r="G147" s="479">
        <v>10</v>
      </c>
      <c r="H147" s="670"/>
      <c r="I147" s="671"/>
      <c r="J147" s="671"/>
      <c r="K147" s="672"/>
    </row>
    <row r="148" spans="1:11">
      <c r="A148" s="574"/>
      <c r="B148" s="686" t="s">
        <v>125</v>
      </c>
      <c r="C148" s="686"/>
      <c r="D148" s="686"/>
      <c r="E148" s="686"/>
      <c r="F148" s="686"/>
      <c r="G148" s="508">
        <v>17251</v>
      </c>
      <c r="H148" s="670"/>
      <c r="I148" s="671"/>
      <c r="J148" s="671"/>
      <c r="K148" s="672"/>
    </row>
    <row r="149" spans="1:11" ht="14">
      <c r="A149" s="488" t="s">
        <v>126</v>
      </c>
      <c r="B149" s="686" t="s">
        <v>127</v>
      </c>
      <c r="C149" s="686"/>
      <c r="D149" s="686"/>
      <c r="E149" s="686"/>
      <c r="F149" s="686"/>
      <c r="G149" s="509">
        <v>1868</v>
      </c>
      <c r="H149" s="670"/>
      <c r="I149" s="671"/>
      <c r="J149" s="671"/>
      <c r="K149" s="672"/>
    </row>
    <row r="150" spans="1:11" ht="14">
      <c r="A150" s="488" t="s">
        <v>128</v>
      </c>
      <c r="B150" s="686" t="s">
        <v>129</v>
      </c>
      <c r="C150" s="686"/>
      <c r="D150" s="686"/>
      <c r="E150" s="686"/>
      <c r="F150" s="686"/>
      <c r="G150" s="479"/>
      <c r="H150" s="670"/>
      <c r="I150" s="671"/>
      <c r="J150" s="671"/>
      <c r="K150" s="672"/>
    </row>
  </sheetData>
  <mergeCells count="274"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1:F1"/>
    <mergeCell ref="J3:K3"/>
    <mergeCell ref="L3:M3"/>
    <mergeCell ref="J5:K5"/>
    <mergeCell ref="L5:M5"/>
    <mergeCell ref="J6:K6"/>
    <mergeCell ref="L6:M6"/>
    <mergeCell ref="A14:B14"/>
    <mergeCell ref="E14:I14"/>
  </mergeCells>
  <dataValidations count="2">
    <dataValidation type="list" allowBlank="1" showInputMessage="1" showErrorMessage="1" sqref="G1" xr:uid="{77CE2780-333C-444E-B884-1682797890B2}">
      <formula1>"Jan, Feb, March, April, May, June, July, Aug, Sep, Oct, Nov, Dec"</formula1>
    </dataValidation>
    <dataValidation type="list" allowBlank="1" showInputMessage="1" showErrorMessage="1" sqref="L3" xr:uid="{955D4179-44E7-E74A-A7CF-871F0FED9036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0F26F-02D4-0146-B77F-D2206AF8F8AD}">
  <sheetPr codeName="Sheet6">
    <pageSetUpPr fitToPage="1"/>
  </sheetPr>
  <dimension ref="A1:N150"/>
  <sheetViews>
    <sheetView topLeftCell="A17" zoomScale="70" zoomScaleNormal="70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142</v>
      </c>
      <c r="H1" s="2">
        <v>2017</v>
      </c>
      <c r="I1" s="491"/>
      <c r="J1" s="491"/>
      <c r="K1" s="491"/>
      <c r="L1" s="491"/>
      <c r="M1" s="491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4</v>
      </c>
      <c r="M6" s="525"/>
    </row>
    <row r="7" spans="1:13">
      <c r="J7" s="525" t="s">
        <v>6</v>
      </c>
      <c r="K7" s="525"/>
      <c r="L7" s="702">
        <v>42894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470" t="s">
        <v>305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79" t="s">
        <v>306</v>
      </c>
      <c r="C10" s="61">
        <v>5</v>
      </c>
      <c r="D10" s="490">
        <v>4</v>
      </c>
      <c r="E10" s="538" t="s">
        <v>332</v>
      </c>
      <c r="F10" s="538"/>
      <c r="G10" s="538"/>
      <c r="H10" s="538"/>
      <c r="I10" s="539"/>
    </row>
    <row r="11" spans="1:13">
      <c r="A11" s="537"/>
      <c r="B11" s="479" t="s">
        <v>12</v>
      </c>
      <c r="C11" s="61">
        <v>0</v>
      </c>
      <c r="D11" s="490">
        <v>1</v>
      </c>
      <c r="E11" s="540" t="s">
        <v>308</v>
      </c>
      <c r="F11" s="541"/>
      <c r="G11" s="541"/>
      <c r="H11" s="541"/>
      <c r="I11" s="542"/>
    </row>
    <row r="12" spans="1:13">
      <c r="A12" s="537"/>
      <c r="B12" s="479" t="s">
        <v>309</v>
      </c>
      <c r="C12" s="61">
        <v>1</v>
      </c>
      <c r="D12" s="490">
        <v>1</v>
      </c>
      <c r="E12" s="538" t="s">
        <v>130</v>
      </c>
      <c r="F12" s="538"/>
      <c r="G12" s="538"/>
      <c r="H12" s="538"/>
      <c r="I12" s="539"/>
    </row>
    <row r="13" spans="1:13">
      <c r="A13" s="537"/>
      <c r="B13" s="479" t="s">
        <v>13</v>
      </c>
      <c r="C13" s="61">
        <v>5</v>
      </c>
      <c r="D13" s="490">
        <v>1</v>
      </c>
      <c r="E13" s="538" t="s">
        <v>310</v>
      </c>
      <c r="F13" s="538"/>
      <c r="G13" s="538"/>
      <c r="H13" s="538"/>
      <c r="I13" s="539"/>
    </row>
    <row r="14" spans="1:13" s="8" customFormat="1" ht="14" thickBot="1">
      <c r="A14" s="526" t="s">
        <v>14</v>
      </c>
      <c r="B14" s="527"/>
      <c r="C14" s="7">
        <f>SUM(C10:C13)</f>
        <v>11</v>
      </c>
      <c r="D14" s="7">
        <f>SUM(D10:D13)</f>
        <v>7</v>
      </c>
      <c r="E14" s="528" t="s">
        <v>15</v>
      </c>
      <c r="F14" s="529"/>
      <c r="G14" s="529"/>
      <c r="H14" s="529"/>
      <c r="I14" s="530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31" t="s">
        <v>18</v>
      </c>
      <c r="B18" s="533" t="s">
        <v>19</v>
      </c>
      <c r="C18" s="533"/>
      <c r="D18" s="533" t="s">
        <v>20</v>
      </c>
      <c r="E18" s="533"/>
      <c r="F18" s="533"/>
      <c r="G18" s="533" t="s">
        <v>21</v>
      </c>
      <c r="H18" s="533"/>
      <c r="I18" s="533"/>
      <c r="J18" s="533" t="s">
        <v>22</v>
      </c>
      <c r="K18" s="533"/>
      <c r="L18" s="533"/>
      <c r="M18" s="536"/>
    </row>
    <row r="19" spans="1:13">
      <c r="A19" s="532"/>
      <c r="B19" s="534"/>
      <c r="C19" s="534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534"/>
      <c r="K19" s="534"/>
      <c r="L19" s="534"/>
      <c r="M19" s="543"/>
    </row>
    <row r="20" spans="1:13">
      <c r="A20" s="544" t="s">
        <v>26</v>
      </c>
      <c r="B20" s="545"/>
      <c r="C20" s="545"/>
      <c r="D20" s="545"/>
      <c r="E20" s="545"/>
      <c r="F20" s="545"/>
      <c r="G20" s="545"/>
      <c r="H20" s="545"/>
      <c r="I20" s="545"/>
      <c r="J20" s="545"/>
      <c r="K20" s="545"/>
      <c r="L20" s="545"/>
      <c r="M20" s="546"/>
    </row>
    <row r="21" spans="1:13">
      <c r="A21" s="547" t="s">
        <v>27</v>
      </c>
      <c r="B21" s="550" t="s">
        <v>28</v>
      </c>
      <c r="C21" s="128" t="s">
        <v>29</v>
      </c>
      <c r="D21" s="61">
        <v>14085</v>
      </c>
      <c r="E21" s="490">
        <v>11109</v>
      </c>
      <c r="F21" s="14">
        <f t="shared" ref="F21:F26" si="0">E21/D21</f>
        <v>0.7887113951011715</v>
      </c>
      <c r="G21" s="479">
        <f>D21+'2017APR'!G21</f>
        <v>69934</v>
      </c>
      <c r="H21" s="479">
        <f>E21+'2017APR'!H21</f>
        <v>57235</v>
      </c>
      <c r="I21" s="14">
        <f t="shared" ref="I21:I26" si="1">H21/G21</f>
        <v>0.81841450510481306</v>
      </c>
      <c r="J21" s="525"/>
      <c r="K21" s="525"/>
      <c r="L21" s="525"/>
      <c r="M21" s="552"/>
    </row>
    <row r="22" spans="1:13" ht="13.5" customHeight="1">
      <c r="A22" s="548"/>
      <c r="B22" s="551"/>
      <c r="C22" s="15" t="s">
        <v>30</v>
      </c>
      <c r="D22" s="487">
        <f>SUM(D21:D21)</f>
        <v>14085</v>
      </c>
      <c r="E22" s="487">
        <f>SUM(E21:E21)</f>
        <v>11109</v>
      </c>
      <c r="F22" s="16">
        <f t="shared" si="0"/>
        <v>0.7887113951011715</v>
      </c>
      <c r="G22" s="487">
        <f>SUM(G21:G21)</f>
        <v>69934</v>
      </c>
      <c r="H22" s="487">
        <f>SUM(H21:H21)</f>
        <v>57235</v>
      </c>
      <c r="I22" s="16">
        <f t="shared" si="1"/>
        <v>0.81841450510481306</v>
      </c>
      <c r="J22" s="553"/>
      <c r="K22" s="553"/>
      <c r="L22" s="553"/>
      <c r="M22" s="554"/>
    </row>
    <row r="23" spans="1:13" ht="13.5" customHeight="1">
      <c r="A23" s="548"/>
      <c r="B23" s="555" t="s">
        <v>31</v>
      </c>
      <c r="C23" s="128" t="s">
        <v>29</v>
      </c>
      <c r="D23" s="61">
        <v>4650</v>
      </c>
      <c r="E23" s="490">
        <v>4070</v>
      </c>
      <c r="F23" s="14">
        <f t="shared" si="0"/>
        <v>0.87526881720430105</v>
      </c>
      <c r="G23" s="479">
        <f>D23+'2017APR'!G23</f>
        <v>23412</v>
      </c>
      <c r="H23" s="479">
        <f>E23+'2017APR'!H23</f>
        <v>20700</v>
      </c>
      <c r="I23" s="14">
        <f t="shared" si="1"/>
        <v>0.8841619682214249</v>
      </c>
      <c r="J23" s="525"/>
      <c r="K23" s="525"/>
      <c r="L23" s="525"/>
      <c r="M23" s="552"/>
    </row>
    <row r="24" spans="1:13" ht="13.5" customHeight="1">
      <c r="A24" s="548"/>
      <c r="B24" s="555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525"/>
      <c r="K24" s="525"/>
      <c r="L24" s="525"/>
      <c r="M24" s="552"/>
    </row>
    <row r="25" spans="1:13" ht="13.5" customHeight="1">
      <c r="A25" s="548"/>
      <c r="B25" s="555"/>
      <c r="C25" s="15" t="s">
        <v>30</v>
      </c>
      <c r="D25" s="487">
        <f>SUM(D23:D24)</f>
        <v>4650</v>
      </c>
      <c r="E25" s="487">
        <f>SUM(E23:E24)</f>
        <v>4070</v>
      </c>
      <c r="F25" s="16">
        <f t="shared" si="0"/>
        <v>0.87526881720430105</v>
      </c>
      <c r="G25" s="487">
        <f>SUM(G23:G24)</f>
        <v>23412</v>
      </c>
      <c r="H25" s="487">
        <f>SUM(H23:H24)</f>
        <v>20700</v>
      </c>
      <c r="I25" s="16">
        <f t="shared" si="1"/>
        <v>0.8841619682214249</v>
      </c>
      <c r="J25" s="553"/>
      <c r="K25" s="553"/>
      <c r="L25" s="553"/>
      <c r="M25" s="554"/>
    </row>
    <row r="26" spans="1:13" s="8" customFormat="1" ht="14.25" customHeight="1" thickBot="1">
      <c r="A26" s="549"/>
      <c r="B26" s="556" t="s">
        <v>30</v>
      </c>
      <c r="C26" s="556"/>
      <c r="D26" s="489">
        <f>SUM(D22,D25)</f>
        <v>18735</v>
      </c>
      <c r="E26" s="489">
        <f>SUM(E22,E25)</f>
        <v>15179</v>
      </c>
      <c r="F26" s="17">
        <f t="shared" si="0"/>
        <v>0.81019482252468644</v>
      </c>
      <c r="G26" s="489">
        <f>SUM(G22,G25)</f>
        <v>93346</v>
      </c>
      <c r="H26" s="489">
        <f>SUM(H22,H25)</f>
        <v>77935</v>
      </c>
      <c r="I26" s="17">
        <f t="shared" si="1"/>
        <v>0.83490454866839503</v>
      </c>
      <c r="J26" s="556"/>
      <c r="K26" s="556"/>
      <c r="L26" s="556"/>
      <c r="M26" s="557"/>
    </row>
    <row r="27" spans="1:13">
      <c r="A27" s="558" t="s">
        <v>33</v>
      </c>
      <c r="B27" s="559"/>
      <c r="C27" s="559"/>
      <c r="D27" s="559"/>
      <c r="E27" s="559"/>
      <c r="F27" s="559"/>
      <c r="G27" s="559"/>
      <c r="H27" s="559"/>
      <c r="I27" s="559"/>
      <c r="J27" s="559"/>
      <c r="K27" s="559"/>
      <c r="L27" s="559"/>
      <c r="M27" s="560"/>
    </row>
    <row r="28" spans="1:13" ht="12.75" customHeight="1">
      <c r="A28" s="561" t="s">
        <v>34</v>
      </c>
      <c r="B28" s="564" t="s">
        <v>35</v>
      </c>
      <c r="C28" s="128" t="s">
        <v>29</v>
      </c>
      <c r="D28" s="61">
        <v>200</v>
      </c>
      <c r="E28" s="490">
        <v>201</v>
      </c>
      <c r="F28" s="14">
        <f>E28/D28</f>
        <v>1.0049999999999999</v>
      </c>
      <c r="G28" s="479">
        <f>D28+'2017APR'!G28</f>
        <v>1000</v>
      </c>
      <c r="H28" s="479">
        <f>E28+'2017APR'!H28</f>
        <v>5208</v>
      </c>
      <c r="I28" s="14">
        <f>H28/G28</f>
        <v>5.2080000000000002</v>
      </c>
      <c r="J28" s="525"/>
      <c r="K28" s="525"/>
      <c r="L28" s="525"/>
      <c r="M28" s="552"/>
    </row>
    <row r="29" spans="1:13">
      <c r="A29" s="562"/>
      <c r="B29" s="565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525"/>
      <c r="K29" s="525"/>
      <c r="L29" s="525"/>
      <c r="M29" s="552"/>
    </row>
    <row r="30" spans="1:13">
      <c r="A30" s="562"/>
      <c r="B30" s="566"/>
      <c r="C30" s="15" t="s">
        <v>30</v>
      </c>
      <c r="D30" s="487">
        <f>SUM(D28:D29)</f>
        <v>200</v>
      </c>
      <c r="E30" s="487">
        <f>SUM(E28:E29)</f>
        <v>201</v>
      </c>
      <c r="F30" s="14">
        <f t="shared" si="2"/>
        <v>1.0049999999999999</v>
      </c>
      <c r="G30" s="487">
        <f>SUM(G28:G29)</f>
        <v>1000</v>
      </c>
      <c r="H30" s="487">
        <f>SUM(H28:H29)</f>
        <v>5208</v>
      </c>
      <c r="I30" s="14">
        <f t="shared" si="3"/>
        <v>5.2080000000000002</v>
      </c>
      <c r="J30" s="553"/>
      <c r="K30" s="553"/>
      <c r="L30" s="553"/>
      <c r="M30" s="554"/>
    </row>
    <row r="31" spans="1:13" ht="12.75" customHeight="1">
      <c r="A31" s="562"/>
      <c r="B31" s="567" t="s">
        <v>36</v>
      </c>
      <c r="C31" s="568"/>
      <c r="D31" s="61">
        <v>3200</v>
      </c>
      <c r="E31" s="490">
        <v>1389</v>
      </c>
      <c r="F31" s="14">
        <f t="shared" si="2"/>
        <v>0.43406250000000002</v>
      </c>
      <c r="G31" s="479">
        <f>D31+'2017APR'!G31</f>
        <v>11000</v>
      </c>
      <c r="H31" s="479">
        <f>E31+'2017APR'!H31</f>
        <v>20247</v>
      </c>
      <c r="I31" s="14">
        <f t="shared" si="3"/>
        <v>1.8406363636363636</v>
      </c>
      <c r="J31" s="525"/>
      <c r="K31" s="525"/>
      <c r="L31" s="525"/>
      <c r="M31" s="552"/>
    </row>
    <row r="32" spans="1:13" s="8" customFormat="1">
      <c r="A32" s="563"/>
      <c r="B32" s="534" t="s">
        <v>30</v>
      </c>
      <c r="C32" s="534"/>
      <c r="D32" s="485">
        <f>SUM(D30,D31)</f>
        <v>3400</v>
      </c>
      <c r="E32" s="485">
        <f>SUM(E30,E31)</f>
        <v>1590</v>
      </c>
      <c r="F32" s="14">
        <f t="shared" si="2"/>
        <v>0.46764705882352942</v>
      </c>
      <c r="G32" s="485">
        <f>SUM(G30,G31)</f>
        <v>12000</v>
      </c>
      <c r="H32" s="485">
        <f>SUM(H30,H31)</f>
        <v>25455</v>
      </c>
      <c r="I32" s="14">
        <f t="shared" si="3"/>
        <v>2.1212499999999999</v>
      </c>
      <c r="J32" s="534"/>
      <c r="K32" s="534"/>
      <c r="L32" s="534"/>
      <c r="M32" s="543"/>
    </row>
    <row r="33" spans="1:13">
      <c r="A33" s="573" t="s">
        <v>37</v>
      </c>
      <c r="B33" s="555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D33+'2017APR'!G33</f>
        <v>175000</v>
      </c>
      <c r="H33" s="479">
        <f>E33+'2017APR'!H33</f>
        <v>0</v>
      </c>
      <c r="I33" s="14">
        <f t="shared" si="3"/>
        <v>0</v>
      </c>
      <c r="J33" s="525"/>
      <c r="K33" s="525"/>
      <c r="L33" s="525"/>
      <c r="M33" s="552"/>
    </row>
    <row r="34" spans="1:13">
      <c r="A34" s="573"/>
      <c r="B34" s="555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525"/>
      <c r="K34" s="525"/>
      <c r="L34" s="525"/>
      <c r="M34" s="552"/>
    </row>
    <row r="35" spans="1:13">
      <c r="A35" s="573"/>
      <c r="B35" s="555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175000</v>
      </c>
      <c r="H35" s="487">
        <f>SUM(H33:H34)</f>
        <v>0</v>
      </c>
      <c r="I35" s="16">
        <f t="shared" si="3"/>
        <v>0</v>
      </c>
      <c r="J35" s="553"/>
      <c r="K35" s="553"/>
      <c r="L35" s="553"/>
      <c r="M35" s="554"/>
    </row>
    <row r="36" spans="1:13" ht="12" customHeight="1">
      <c r="A36" s="573"/>
      <c r="B36" s="574" t="s">
        <v>41</v>
      </c>
      <c r="C36" s="128" t="s">
        <v>270</v>
      </c>
      <c r="D36" s="479">
        <v>2222</v>
      </c>
      <c r="E36" s="479"/>
      <c r="F36" s="14">
        <f t="shared" si="2"/>
        <v>0</v>
      </c>
      <c r="G36" s="479">
        <f>D36+'2017APR'!G36</f>
        <v>4444</v>
      </c>
      <c r="H36" s="479"/>
      <c r="I36" s="14">
        <f t="shared" si="3"/>
        <v>0</v>
      </c>
      <c r="J36" s="525"/>
      <c r="K36" s="525"/>
      <c r="L36" s="525"/>
      <c r="M36" s="552"/>
    </row>
    <row r="37" spans="1:13" ht="12" customHeight="1">
      <c r="A37" s="573"/>
      <c r="B37" s="574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525"/>
      <c r="K37" s="525"/>
      <c r="L37" s="525"/>
      <c r="M37" s="552"/>
    </row>
    <row r="38" spans="1:13" ht="12" customHeight="1">
      <c r="A38" s="573"/>
      <c r="B38" s="574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4444</v>
      </c>
      <c r="H38" s="487">
        <f>SUM(H36:H37)</f>
        <v>0</v>
      </c>
      <c r="I38" s="16">
        <f t="shared" si="3"/>
        <v>0</v>
      </c>
      <c r="J38" s="553"/>
      <c r="K38" s="553"/>
      <c r="L38" s="553"/>
      <c r="M38" s="554"/>
    </row>
    <row r="39" spans="1:13" s="8" customFormat="1" ht="12" customHeight="1">
      <c r="A39" s="573"/>
      <c r="B39" s="534" t="s">
        <v>30</v>
      </c>
      <c r="C39" s="534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179444</v>
      </c>
      <c r="H39" s="485">
        <f>SUM(H35,H38)</f>
        <v>0</v>
      </c>
      <c r="I39" s="19">
        <f t="shared" si="3"/>
        <v>0</v>
      </c>
      <c r="J39" s="534"/>
      <c r="K39" s="534"/>
      <c r="L39" s="534"/>
      <c r="M39" s="543"/>
    </row>
    <row r="40" spans="1:13" s="8" customFormat="1">
      <c r="A40" s="569" t="s">
        <v>42</v>
      </c>
      <c r="B40" s="570"/>
      <c r="C40" s="570"/>
      <c r="D40" s="483">
        <v>300</v>
      </c>
      <c r="E40" s="510">
        <v>799</v>
      </c>
      <c r="F40" s="21">
        <f t="shared" si="2"/>
        <v>2.6633333333333336</v>
      </c>
      <c r="G40" s="483">
        <f>D40+'2017APR'!G40</f>
        <v>1500</v>
      </c>
      <c r="H40" s="483">
        <f>E40+'2017APR'!H40</f>
        <v>4142</v>
      </c>
      <c r="I40" s="21">
        <f t="shared" si="3"/>
        <v>2.7613333333333334</v>
      </c>
      <c r="J40" s="570"/>
      <c r="K40" s="570"/>
      <c r="L40" s="570"/>
      <c r="M40" s="571"/>
    </row>
    <row r="41" spans="1:13" s="8" customFormat="1">
      <c r="A41" s="569" t="s">
        <v>43</v>
      </c>
      <c r="B41" s="570"/>
      <c r="C41" s="570"/>
      <c r="D41" s="483">
        <v>3750</v>
      </c>
      <c r="E41" s="483">
        <v>0</v>
      </c>
      <c r="F41" s="21">
        <f t="shared" si="2"/>
        <v>0</v>
      </c>
      <c r="G41" s="483">
        <f>D41+'2017APR'!G41</f>
        <v>14250</v>
      </c>
      <c r="H41" s="483">
        <f>E41+'2017APR'!H41</f>
        <v>0</v>
      </c>
      <c r="I41" s="21">
        <f t="shared" si="3"/>
        <v>0</v>
      </c>
      <c r="J41" s="572" t="s">
        <v>44</v>
      </c>
      <c r="K41" s="570"/>
      <c r="L41" s="570"/>
      <c r="M41" s="571"/>
    </row>
    <row r="42" spans="1:13" s="8" customFormat="1">
      <c r="A42" s="569" t="s">
        <v>45</v>
      </c>
      <c r="B42" s="570"/>
      <c r="C42" s="570"/>
      <c r="D42" s="483">
        <v>17000</v>
      </c>
      <c r="E42" s="20">
        <v>0</v>
      </c>
      <c r="F42" s="21">
        <f t="shared" si="2"/>
        <v>0</v>
      </c>
      <c r="G42" s="483">
        <f>D42+'2017APR'!G42</f>
        <v>85000</v>
      </c>
      <c r="H42" s="483">
        <f>E42+'2017APR'!H42</f>
        <v>102000</v>
      </c>
      <c r="I42" s="21">
        <f t="shared" si="3"/>
        <v>1.2</v>
      </c>
      <c r="J42" s="570"/>
      <c r="K42" s="570"/>
      <c r="L42" s="570"/>
      <c r="M42" s="571"/>
    </row>
    <row r="43" spans="1:13" s="8" customFormat="1">
      <c r="A43" s="587" t="s">
        <v>46</v>
      </c>
      <c r="B43" s="588"/>
      <c r="C43" s="589"/>
      <c r="D43" s="484">
        <f>SUM(D26,D32,D39,D40:D42)</f>
        <v>80407</v>
      </c>
      <c r="E43" s="484">
        <f>SUM(E26,E32,E39,E40:E42)</f>
        <v>17568</v>
      </c>
      <c r="F43" s="22">
        <f t="shared" si="2"/>
        <v>0.2184884400611887</v>
      </c>
      <c r="G43" s="484">
        <f>SUM(G26,G32,G39,G40:G42)</f>
        <v>385540</v>
      </c>
      <c r="H43" s="484">
        <f>SUM(H26,H32,H39,H40:H42)</f>
        <v>209532</v>
      </c>
      <c r="I43" s="22">
        <f t="shared" si="3"/>
        <v>0.54347668205633659</v>
      </c>
      <c r="J43" s="590" t="s">
        <v>15</v>
      </c>
      <c r="K43" s="591"/>
      <c r="L43" s="591"/>
      <c r="M43" s="592"/>
    </row>
    <row r="44" spans="1:13" s="8" customFormat="1">
      <c r="A44" s="587" t="s">
        <v>47</v>
      </c>
      <c r="B44" s="588"/>
      <c r="C44" s="589"/>
      <c r="D44" s="484">
        <f>D43-D40</f>
        <v>80107</v>
      </c>
      <c r="E44" s="484">
        <f>E43-E40</f>
        <v>16769</v>
      </c>
      <c r="F44" s="22">
        <f t="shared" si="2"/>
        <v>0.20933251775749934</v>
      </c>
      <c r="G44" s="484">
        <f>G43-G40</f>
        <v>384040</v>
      </c>
      <c r="H44" s="484">
        <f>H43-H40</f>
        <v>205390</v>
      </c>
      <c r="I44" s="22">
        <f t="shared" si="3"/>
        <v>0.53481408186647228</v>
      </c>
      <c r="J44" s="590" t="s">
        <v>15</v>
      </c>
      <c r="K44" s="591"/>
      <c r="L44" s="591"/>
      <c r="M44" s="592"/>
    </row>
    <row r="45" spans="1:13" s="8" customFormat="1" ht="14" thickBot="1">
      <c r="A45" s="575" t="s">
        <v>48</v>
      </c>
      <c r="B45" s="576"/>
      <c r="C45" s="577"/>
      <c r="D45" s="482">
        <f>D44-D42</f>
        <v>63107</v>
      </c>
      <c r="E45" s="482">
        <f>E44-E42</f>
        <v>16769</v>
      </c>
      <c r="F45" s="23">
        <f t="shared" si="2"/>
        <v>0.26572329535550732</v>
      </c>
      <c r="G45" s="482">
        <f>G44-G42</f>
        <v>299040</v>
      </c>
      <c r="H45" s="482">
        <f>H44-H42</f>
        <v>103390</v>
      </c>
      <c r="I45" s="23">
        <f t="shared" si="3"/>
        <v>0.34573970037453183</v>
      </c>
      <c r="J45" s="578" t="s">
        <v>15</v>
      </c>
      <c r="K45" s="579"/>
      <c r="L45" s="579"/>
      <c r="M45" s="580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581" t="s">
        <v>50</v>
      </c>
      <c r="B49" s="582"/>
      <c r="C49" s="582"/>
      <c r="D49" s="582" t="s">
        <v>20</v>
      </c>
      <c r="E49" s="582"/>
      <c r="F49" s="582"/>
      <c r="G49" s="582" t="s">
        <v>21</v>
      </c>
      <c r="H49" s="582"/>
      <c r="I49" s="582"/>
      <c r="J49" s="582" t="s">
        <v>10</v>
      </c>
      <c r="K49" s="582"/>
      <c r="L49" s="582"/>
      <c r="M49" s="585"/>
    </row>
    <row r="50" spans="1:13">
      <c r="A50" s="583"/>
      <c r="B50" s="584"/>
      <c r="C50" s="584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584"/>
      <c r="K50" s="584"/>
      <c r="L50" s="584"/>
      <c r="M50" s="586"/>
    </row>
    <row r="51" spans="1:13" ht="13.5" customHeight="1">
      <c r="A51" s="593" t="s">
        <v>51</v>
      </c>
      <c r="B51" s="525" t="s">
        <v>29</v>
      </c>
      <c r="C51" s="27" t="s">
        <v>52</v>
      </c>
      <c r="D51" s="61">
        <v>5</v>
      </c>
      <c r="E51" s="490">
        <v>8</v>
      </c>
      <c r="F51" s="28">
        <f t="shared" ref="F51:F77" si="4">E51/D51</f>
        <v>1.6</v>
      </c>
      <c r="G51" s="479">
        <f>D51+'2017APR'!G51</f>
        <v>25</v>
      </c>
      <c r="H51" s="479">
        <f>E51+'2017APR'!H51</f>
        <v>13</v>
      </c>
      <c r="I51" s="28">
        <f t="shared" ref="I51:I77" si="5">H51/G51</f>
        <v>0.52</v>
      </c>
      <c r="J51" s="596"/>
      <c r="K51" s="597"/>
      <c r="L51" s="597"/>
      <c r="M51" s="598"/>
    </row>
    <row r="52" spans="1:13">
      <c r="A52" s="594"/>
      <c r="B52" s="525"/>
      <c r="C52" s="27" t="s">
        <v>53</v>
      </c>
      <c r="D52" s="61">
        <v>407</v>
      </c>
      <c r="E52" s="490">
        <v>385</v>
      </c>
      <c r="F52" s="28">
        <f t="shared" si="4"/>
        <v>0.94594594594594594</v>
      </c>
      <c r="G52" s="479">
        <f>D52+'2017APR'!G52</f>
        <v>2067</v>
      </c>
      <c r="H52" s="479">
        <f>E52+'2017APR'!H52</f>
        <v>1999</v>
      </c>
      <c r="I52" s="28">
        <f t="shared" si="5"/>
        <v>0.96710208030962752</v>
      </c>
      <c r="J52" s="596"/>
      <c r="K52" s="597"/>
      <c r="L52" s="597"/>
      <c r="M52" s="598"/>
    </row>
    <row r="53" spans="1:13">
      <c r="A53" s="595"/>
      <c r="B53" s="525"/>
      <c r="C53" s="29" t="s">
        <v>54</v>
      </c>
      <c r="D53" s="487">
        <f>SUM(D51:D52)</f>
        <v>412</v>
      </c>
      <c r="E53" s="487">
        <f>SUM(E51:E52)</f>
        <v>393</v>
      </c>
      <c r="F53" s="30">
        <f t="shared" si="4"/>
        <v>0.95388349514563109</v>
      </c>
      <c r="G53" s="487">
        <f>SUM(G51:G52)</f>
        <v>2092</v>
      </c>
      <c r="H53" s="487">
        <f>SUM(H51:H52)</f>
        <v>2012</v>
      </c>
      <c r="I53" s="30">
        <f t="shared" si="5"/>
        <v>0.96175908221797324</v>
      </c>
      <c r="J53" s="599"/>
      <c r="K53" s="600"/>
      <c r="L53" s="600"/>
      <c r="M53" s="601"/>
    </row>
    <row r="54" spans="1:13">
      <c r="A54" s="602" t="s">
        <v>55</v>
      </c>
      <c r="B54" s="525" t="s">
        <v>52</v>
      </c>
      <c r="C54" s="525"/>
      <c r="D54" s="61">
        <v>2</v>
      </c>
      <c r="E54" s="490">
        <v>0</v>
      </c>
      <c r="F54" s="28">
        <f t="shared" si="4"/>
        <v>0</v>
      </c>
      <c r="G54" s="479">
        <f>D54+'2017APR'!G54</f>
        <v>10</v>
      </c>
      <c r="H54" s="479">
        <f>E54+'2017APR'!H54</f>
        <v>3</v>
      </c>
      <c r="I54" s="28">
        <f t="shared" si="5"/>
        <v>0.3</v>
      </c>
      <c r="J54" s="596"/>
      <c r="K54" s="597"/>
      <c r="L54" s="597"/>
      <c r="M54" s="598"/>
    </row>
    <row r="55" spans="1:13">
      <c r="A55" s="602"/>
      <c r="B55" s="525" t="s">
        <v>53</v>
      </c>
      <c r="C55" s="525"/>
      <c r="D55" s="61">
        <v>303</v>
      </c>
      <c r="E55" s="490">
        <v>346</v>
      </c>
      <c r="F55" s="28">
        <f t="shared" si="4"/>
        <v>1.141914191419142</v>
      </c>
      <c r="G55" s="479">
        <f>D55+'2017APR'!G55</f>
        <v>1541</v>
      </c>
      <c r="H55" s="479">
        <f>E55+'2017APR'!H55</f>
        <v>1767</v>
      </c>
      <c r="I55" s="28">
        <f t="shared" si="5"/>
        <v>1.1466580142764438</v>
      </c>
      <c r="J55" s="596"/>
      <c r="K55" s="597"/>
      <c r="L55" s="597"/>
      <c r="M55" s="598"/>
    </row>
    <row r="56" spans="1:13">
      <c r="A56" s="602"/>
      <c r="B56" s="603" t="s">
        <v>30</v>
      </c>
      <c r="C56" s="603"/>
      <c r="D56" s="474">
        <f>SUM(D54:D55)</f>
        <v>305</v>
      </c>
      <c r="E56" s="474">
        <f>SUM(E54:E55)</f>
        <v>346</v>
      </c>
      <c r="F56" s="28">
        <f t="shared" si="4"/>
        <v>1.1344262295081968</v>
      </c>
      <c r="G56" s="474">
        <f>SUM(G54:G55)</f>
        <v>1551</v>
      </c>
      <c r="H56" s="474">
        <f>SUM(H54:H55)</f>
        <v>1770</v>
      </c>
      <c r="I56" s="31">
        <f t="shared" si="5"/>
        <v>1.1411992263056092</v>
      </c>
      <c r="J56" s="604"/>
      <c r="K56" s="605"/>
      <c r="L56" s="605"/>
      <c r="M56" s="606"/>
    </row>
    <row r="57" spans="1:13" s="8" customFormat="1">
      <c r="A57" s="607" t="s">
        <v>46</v>
      </c>
      <c r="B57" s="609" t="s">
        <v>52</v>
      </c>
      <c r="C57" s="609"/>
      <c r="D57" s="473">
        <f>SUM(D51,D54)</f>
        <v>7</v>
      </c>
      <c r="E57" s="473">
        <f>SUM(E51,E54)</f>
        <v>8</v>
      </c>
      <c r="F57" s="32">
        <f t="shared" si="4"/>
        <v>1.1428571428571428</v>
      </c>
      <c r="G57" s="473">
        <f>SUM(G51,G54)</f>
        <v>35</v>
      </c>
      <c r="H57" s="473">
        <f>SUM(H51,H54)</f>
        <v>16</v>
      </c>
      <c r="I57" s="32">
        <f t="shared" si="5"/>
        <v>0.45714285714285713</v>
      </c>
      <c r="J57" s="610"/>
      <c r="K57" s="611"/>
      <c r="L57" s="611"/>
      <c r="M57" s="612"/>
    </row>
    <row r="58" spans="1:13" s="8" customFormat="1">
      <c r="A58" s="607"/>
      <c r="B58" s="609" t="s">
        <v>53</v>
      </c>
      <c r="C58" s="609"/>
      <c r="D58" s="473">
        <f>SUM(D52,D55)</f>
        <v>710</v>
      </c>
      <c r="E58" s="473">
        <f>SUM(E52,E55)</f>
        <v>731</v>
      </c>
      <c r="F58" s="32">
        <f t="shared" si="4"/>
        <v>1.0295774647887324</v>
      </c>
      <c r="G58" s="473">
        <f>SUM(G52,G55)</f>
        <v>3608</v>
      </c>
      <c r="H58" s="473">
        <f>SUM(H52,H55)</f>
        <v>3766</v>
      </c>
      <c r="I58" s="32">
        <f t="shared" si="5"/>
        <v>1.0437915742793791</v>
      </c>
      <c r="J58" s="610"/>
      <c r="K58" s="611"/>
      <c r="L58" s="611"/>
      <c r="M58" s="612"/>
    </row>
    <row r="59" spans="1:13" s="8" customFormat="1" ht="17.25" customHeight="1" thickBot="1">
      <c r="A59" s="608"/>
      <c r="B59" s="613" t="s">
        <v>56</v>
      </c>
      <c r="C59" s="613"/>
      <c r="D59" s="481">
        <f>SUM(D57:D58)</f>
        <v>717</v>
      </c>
      <c r="E59" s="481">
        <f>SUM(E57:E58)</f>
        <v>739</v>
      </c>
      <c r="F59" s="33">
        <f t="shared" si="4"/>
        <v>1.0306834030683403</v>
      </c>
      <c r="G59" s="481">
        <f>SUM(G57:G58)</f>
        <v>3643</v>
      </c>
      <c r="H59" s="481">
        <f>SUM(H57:H58)</f>
        <v>3782</v>
      </c>
      <c r="I59" s="33">
        <f t="shared" si="5"/>
        <v>1.0381553664562173</v>
      </c>
      <c r="J59" s="614"/>
      <c r="K59" s="615"/>
      <c r="L59" s="615"/>
      <c r="M59" s="616"/>
    </row>
    <row r="60" spans="1:13">
      <c r="A60" s="593" t="s">
        <v>57</v>
      </c>
      <c r="B60" s="525" t="s">
        <v>29</v>
      </c>
      <c r="C60" s="27" t="s">
        <v>52</v>
      </c>
      <c r="D60" s="61">
        <v>16</v>
      </c>
      <c r="E60" s="479">
        <f>E69/10</f>
        <v>27.8</v>
      </c>
      <c r="F60" s="28">
        <f t="shared" si="4"/>
        <v>1.7375</v>
      </c>
      <c r="G60" s="479">
        <f>D60+'2017APR'!G60</f>
        <v>80</v>
      </c>
      <c r="H60" s="479">
        <f>E60+'2017APR'!H60</f>
        <v>41.3</v>
      </c>
      <c r="I60" s="28">
        <f t="shared" si="5"/>
        <v>0.51624999999999999</v>
      </c>
      <c r="J60" s="596"/>
      <c r="K60" s="597"/>
      <c r="L60" s="597"/>
      <c r="M60" s="598"/>
    </row>
    <row r="61" spans="1:13">
      <c r="A61" s="594"/>
      <c r="B61" s="525"/>
      <c r="C61" s="27" t="s">
        <v>53</v>
      </c>
      <c r="D61" s="61">
        <v>1331</v>
      </c>
      <c r="E61" s="479">
        <f>E70/10</f>
        <v>1083.0999999999999</v>
      </c>
      <c r="F61" s="28">
        <f t="shared" si="4"/>
        <v>0.81374906085649878</v>
      </c>
      <c r="G61" s="479">
        <f>D61+'2017APR'!G61</f>
        <v>6760</v>
      </c>
      <c r="H61" s="479">
        <f>E61+'2017APR'!H61</f>
        <v>5682.2000000000007</v>
      </c>
      <c r="I61" s="28">
        <f t="shared" si="5"/>
        <v>0.84056213017751491</v>
      </c>
      <c r="J61" s="596"/>
      <c r="K61" s="597"/>
      <c r="L61" s="597"/>
      <c r="M61" s="598"/>
    </row>
    <row r="62" spans="1:13">
      <c r="A62" s="595"/>
      <c r="B62" s="525"/>
      <c r="C62" s="29" t="s">
        <v>54</v>
      </c>
      <c r="D62" s="61">
        <f>SUM(D60:D61)</f>
        <v>1347</v>
      </c>
      <c r="E62" s="487">
        <f>SUM(E60:E61)</f>
        <v>1110.8999999999999</v>
      </c>
      <c r="F62" s="30">
        <f t="shared" si="4"/>
        <v>0.82472160356347424</v>
      </c>
      <c r="G62" s="487">
        <f>SUM(G60:G61)</f>
        <v>6840</v>
      </c>
      <c r="H62" s="487">
        <f>SUM(H60:H61)</f>
        <v>5723.5000000000009</v>
      </c>
      <c r="I62" s="30">
        <f t="shared" si="5"/>
        <v>0.83676900584795333</v>
      </c>
      <c r="J62" s="599"/>
      <c r="K62" s="600"/>
      <c r="L62" s="600"/>
      <c r="M62" s="601"/>
    </row>
    <row r="63" spans="1:13">
      <c r="A63" s="602" t="s">
        <v>58</v>
      </c>
      <c r="B63" s="525" t="s">
        <v>52</v>
      </c>
      <c r="C63" s="525"/>
      <c r="D63" s="61">
        <v>2</v>
      </c>
      <c r="E63" s="479">
        <f>E72/10</f>
        <v>0</v>
      </c>
      <c r="F63" s="28">
        <f t="shared" si="4"/>
        <v>0</v>
      </c>
      <c r="G63" s="479">
        <f>D63+'2017APR'!G63</f>
        <v>10</v>
      </c>
      <c r="H63" s="479">
        <f>E63+'2017APR'!H63</f>
        <v>7.4</v>
      </c>
      <c r="I63" s="28">
        <f t="shared" si="5"/>
        <v>0.74</v>
      </c>
      <c r="J63" s="596"/>
      <c r="K63" s="597"/>
      <c r="L63" s="597"/>
      <c r="M63" s="598"/>
    </row>
    <row r="64" spans="1:13">
      <c r="A64" s="602"/>
      <c r="B64" s="525" t="s">
        <v>53</v>
      </c>
      <c r="C64" s="525"/>
      <c r="D64" s="61">
        <v>455</v>
      </c>
      <c r="E64" s="479">
        <f>E73/10</f>
        <v>407</v>
      </c>
      <c r="F64" s="28">
        <f t="shared" si="4"/>
        <v>0.89450549450549455</v>
      </c>
      <c r="G64" s="479">
        <f>D64+'2017APR'!G64</f>
        <v>2312</v>
      </c>
      <c r="H64" s="479">
        <f>E64+'2017APR'!H64</f>
        <v>2062.6</v>
      </c>
      <c r="I64" s="28">
        <f t="shared" si="5"/>
        <v>0.89212802768166088</v>
      </c>
      <c r="J64" s="596"/>
      <c r="K64" s="597"/>
      <c r="L64" s="597"/>
      <c r="M64" s="598"/>
    </row>
    <row r="65" spans="1:14">
      <c r="A65" s="602"/>
      <c r="B65" s="603" t="s">
        <v>30</v>
      </c>
      <c r="C65" s="603"/>
      <c r="D65" s="474">
        <f>SUM(D63:D64)</f>
        <v>457</v>
      </c>
      <c r="E65" s="474">
        <f>SUM(E63:E64)</f>
        <v>407</v>
      </c>
      <c r="F65" s="31">
        <f t="shared" si="4"/>
        <v>0.89059080962800874</v>
      </c>
      <c r="G65" s="474">
        <f>SUM(G63:G64)</f>
        <v>2322</v>
      </c>
      <c r="H65" s="474">
        <f>SUM(H63:H64)</f>
        <v>2070</v>
      </c>
      <c r="I65" s="31">
        <f t="shared" si="5"/>
        <v>0.89147286821705429</v>
      </c>
      <c r="J65" s="604"/>
      <c r="K65" s="605"/>
      <c r="L65" s="605"/>
      <c r="M65" s="606"/>
    </row>
    <row r="66" spans="1:14" s="8" customFormat="1">
      <c r="A66" s="607" t="s">
        <v>46</v>
      </c>
      <c r="B66" s="609" t="s">
        <v>52</v>
      </c>
      <c r="C66" s="609"/>
      <c r="D66" s="473">
        <f>SUM(D60,D63)</f>
        <v>18</v>
      </c>
      <c r="E66" s="473">
        <f>SUM(E60,E63)</f>
        <v>27.8</v>
      </c>
      <c r="F66" s="32">
        <f t="shared" si="4"/>
        <v>1.5444444444444445</v>
      </c>
      <c r="G66" s="473">
        <f>SUM(G60,G63)</f>
        <v>90</v>
      </c>
      <c r="H66" s="473">
        <f>SUM(H60,H63)</f>
        <v>48.699999999999996</v>
      </c>
      <c r="I66" s="32">
        <f t="shared" si="5"/>
        <v>0.5411111111111111</v>
      </c>
      <c r="J66" s="610"/>
      <c r="K66" s="611"/>
      <c r="L66" s="611"/>
      <c r="M66" s="612"/>
    </row>
    <row r="67" spans="1:14" s="8" customFormat="1">
      <c r="A67" s="607"/>
      <c r="B67" s="609" t="s">
        <v>53</v>
      </c>
      <c r="C67" s="609"/>
      <c r="D67" s="473">
        <f>SUM(D61,D64)</f>
        <v>1786</v>
      </c>
      <c r="E67" s="473">
        <f>SUM(E61,E64)</f>
        <v>1490.1</v>
      </c>
      <c r="F67" s="32">
        <f t="shared" si="4"/>
        <v>0.83432250839865618</v>
      </c>
      <c r="G67" s="473">
        <f>SUM(G61,G64)</f>
        <v>9072</v>
      </c>
      <c r="H67" s="473">
        <f>SUM(H61,H64)</f>
        <v>7744.8000000000011</v>
      </c>
      <c r="I67" s="32">
        <f t="shared" si="5"/>
        <v>0.85370370370370385</v>
      </c>
      <c r="J67" s="610"/>
      <c r="K67" s="611"/>
      <c r="L67" s="611"/>
      <c r="M67" s="612"/>
    </row>
    <row r="68" spans="1:14" s="8" customFormat="1" ht="14" thickBot="1">
      <c r="A68" s="608"/>
      <c r="B68" s="613" t="s">
        <v>59</v>
      </c>
      <c r="C68" s="613"/>
      <c r="D68" s="481">
        <f>SUM(D66:D67)</f>
        <v>1804</v>
      </c>
      <c r="E68" s="481">
        <f>SUM(E66:E67)</f>
        <v>1517.8999999999999</v>
      </c>
      <c r="F68" s="34">
        <f t="shared" si="4"/>
        <v>0.84140798226164071</v>
      </c>
      <c r="G68" s="481">
        <f>SUM(G66:G67)</f>
        <v>9162</v>
      </c>
      <c r="H68" s="481">
        <f>SUM(H66:H67)</f>
        <v>7793.5000000000009</v>
      </c>
      <c r="I68" s="34">
        <f t="shared" si="5"/>
        <v>0.85063304955249952</v>
      </c>
      <c r="J68" s="614"/>
      <c r="K68" s="615"/>
      <c r="L68" s="615"/>
      <c r="M68" s="616"/>
    </row>
    <row r="69" spans="1:14">
      <c r="A69" s="593" t="s">
        <v>60</v>
      </c>
      <c r="B69" s="525" t="s">
        <v>29</v>
      </c>
      <c r="C69" s="27" t="s">
        <v>52</v>
      </c>
      <c r="D69" s="479">
        <v>775</v>
      </c>
      <c r="E69" s="490">
        <v>278</v>
      </c>
      <c r="F69" s="28">
        <f t="shared" si="4"/>
        <v>0.35870967741935483</v>
      </c>
      <c r="G69" s="479">
        <f>D69+'2017APR'!G69</f>
        <v>2325</v>
      </c>
      <c r="H69" s="479">
        <f>E69+'2017APR'!H69</f>
        <v>413</v>
      </c>
      <c r="I69" s="28">
        <f t="shared" si="5"/>
        <v>0.17763440860215055</v>
      </c>
      <c r="J69" s="596"/>
      <c r="K69" s="597"/>
      <c r="L69" s="597"/>
      <c r="M69" s="598"/>
    </row>
    <row r="70" spans="1:14">
      <c r="A70" s="594"/>
      <c r="B70" s="525"/>
      <c r="C70" s="27" t="s">
        <v>53</v>
      </c>
      <c r="D70" s="479">
        <v>13310</v>
      </c>
      <c r="E70" s="479">
        <f>E21-E69</f>
        <v>10831</v>
      </c>
      <c r="F70" s="28">
        <f t="shared" si="4"/>
        <v>0.8137490608564989</v>
      </c>
      <c r="G70" s="479">
        <f>D70+'2017APR'!G70</f>
        <v>67609</v>
      </c>
      <c r="H70" s="479">
        <f>E70+'2017APR'!H70</f>
        <v>56822</v>
      </c>
      <c r="I70" s="28">
        <f t="shared" si="5"/>
        <v>0.84045023591533674</v>
      </c>
      <c r="J70" s="596"/>
      <c r="K70" s="597"/>
      <c r="L70" s="597"/>
      <c r="M70" s="598"/>
    </row>
    <row r="71" spans="1:14">
      <c r="A71" s="595"/>
      <c r="B71" s="525"/>
      <c r="C71" s="29" t="s">
        <v>54</v>
      </c>
      <c r="D71" s="487">
        <f>SUM(D69:D70)</f>
        <v>14085</v>
      </c>
      <c r="E71" s="487">
        <f>SUM(E69:E70)</f>
        <v>11109</v>
      </c>
      <c r="F71" s="30">
        <f t="shared" si="4"/>
        <v>0.7887113951011715</v>
      </c>
      <c r="G71" s="487">
        <f>SUM(G69:G70)</f>
        <v>69934</v>
      </c>
      <c r="H71" s="487">
        <f>SUM(H69:H70)</f>
        <v>57235</v>
      </c>
      <c r="I71" s="30">
        <f t="shared" si="5"/>
        <v>0.81841450510481306</v>
      </c>
      <c r="J71" s="599"/>
      <c r="K71" s="600"/>
      <c r="L71" s="600"/>
      <c r="M71" s="601"/>
    </row>
    <row r="72" spans="1:14">
      <c r="A72" s="602" t="s">
        <v>61</v>
      </c>
      <c r="B72" s="525" t="s">
        <v>52</v>
      </c>
      <c r="C72" s="525"/>
      <c r="D72" s="479">
        <v>100</v>
      </c>
      <c r="E72" s="490">
        <v>0</v>
      </c>
      <c r="F72" s="28">
        <f t="shared" si="4"/>
        <v>0</v>
      </c>
      <c r="G72" s="479">
        <f>D72+'2017APR'!G72</f>
        <v>300</v>
      </c>
      <c r="H72" s="479">
        <f>E72+'2017APR'!H72</f>
        <v>74</v>
      </c>
      <c r="I72" s="28">
        <f t="shared" si="5"/>
        <v>0.24666666666666667</v>
      </c>
      <c r="J72" s="596"/>
      <c r="K72" s="597"/>
      <c r="L72" s="597"/>
      <c r="M72" s="598"/>
    </row>
    <row r="73" spans="1:14">
      <c r="A73" s="602"/>
      <c r="B73" s="525" t="s">
        <v>53</v>
      </c>
      <c r="C73" s="525"/>
      <c r="D73" s="479">
        <v>4550</v>
      </c>
      <c r="E73" s="479">
        <f>E23-E72</f>
        <v>4070</v>
      </c>
      <c r="F73" s="28">
        <f t="shared" si="4"/>
        <v>0.89450549450549455</v>
      </c>
      <c r="G73" s="479">
        <f>D73+'2017APR'!G73</f>
        <v>23112</v>
      </c>
      <c r="H73" s="479">
        <f>E73+'2017APR'!H73</f>
        <v>20626</v>
      </c>
      <c r="I73" s="28">
        <f t="shared" si="5"/>
        <v>0.89243682935271718</v>
      </c>
      <c r="J73" s="596"/>
      <c r="K73" s="597"/>
      <c r="L73" s="597"/>
      <c r="M73" s="598"/>
    </row>
    <row r="74" spans="1:14">
      <c r="A74" s="602"/>
      <c r="B74" s="603" t="s">
        <v>30</v>
      </c>
      <c r="C74" s="603"/>
      <c r="D74" s="474">
        <f>SUM(D72:D73)</f>
        <v>4650</v>
      </c>
      <c r="E74" s="474">
        <f>SUM(E72:E73)</f>
        <v>4070</v>
      </c>
      <c r="F74" s="31">
        <f t="shared" si="4"/>
        <v>0.87526881720430105</v>
      </c>
      <c r="G74" s="474">
        <f>SUM(G72:G73)</f>
        <v>23412</v>
      </c>
      <c r="H74" s="474">
        <f>SUM(H72:H73)</f>
        <v>20700</v>
      </c>
      <c r="I74" s="31">
        <f t="shared" si="5"/>
        <v>0.8841619682214249</v>
      </c>
      <c r="J74" s="604"/>
      <c r="K74" s="605"/>
      <c r="L74" s="605"/>
      <c r="M74" s="606"/>
    </row>
    <row r="75" spans="1:14" s="8" customFormat="1">
      <c r="A75" s="607" t="s">
        <v>46</v>
      </c>
      <c r="B75" s="609" t="s">
        <v>52</v>
      </c>
      <c r="C75" s="609"/>
      <c r="D75" s="473">
        <f>SUM(D69,D72)</f>
        <v>875</v>
      </c>
      <c r="E75" s="473">
        <f>SUM(E69,E72)</f>
        <v>278</v>
      </c>
      <c r="F75" s="32">
        <f t="shared" si="4"/>
        <v>0.31771428571428573</v>
      </c>
      <c r="G75" s="473">
        <f>SUM(G69,G72)</f>
        <v>2625</v>
      </c>
      <c r="H75" s="473">
        <f>SUM(H69,H72)</f>
        <v>487</v>
      </c>
      <c r="I75" s="32">
        <f t="shared" si="5"/>
        <v>0.18552380952380954</v>
      </c>
      <c r="J75" s="610"/>
      <c r="K75" s="611"/>
      <c r="L75" s="611"/>
      <c r="M75" s="612"/>
    </row>
    <row r="76" spans="1:14" s="8" customFormat="1">
      <c r="A76" s="607"/>
      <c r="B76" s="609" t="s">
        <v>53</v>
      </c>
      <c r="C76" s="609"/>
      <c r="D76" s="473">
        <f>SUM(D70,D73)</f>
        <v>17860</v>
      </c>
      <c r="E76" s="473">
        <f>SUM(E70,E73)</f>
        <v>14901</v>
      </c>
      <c r="F76" s="32">
        <f t="shared" si="4"/>
        <v>0.83432250839865618</v>
      </c>
      <c r="G76" s="473">
        <f>SUM(G70,G73)</f>
        <v>90721</v>
      </c>
      <c r="H76" s="473">
        <f>SUM(H70,H73)</f>
        <v>77448</v>
      </c>
      <c r="I76" s="32">
        <f t="shared" si="5"/>
        <v>0.85369429349323755</v>
      </c>
      <c r="J76" s="610"/>
      <c r="K76" s="611"/>
      <c r="L76" s="611"/>
      <c r="M76" s="612"/>
    </row>
    <row r="77" spans="1:14" s="8" customFormat="1" ht="14" thickBot="1">
      <c r="A77" s="608"/>
      <c r="B77" s="613" t="s">
        <v>62</v>
      </c>
      <c r="C77" s="613"/>
      <c r="D77" s="481">
        <f>SUM(D75:D76)</f>
        <v>18735</v>
      </c>
      <c r="E77" s="481">
        <f>SUM(E75:E76)</f>
        <v>15179</v>
      </c>
      <c r="F77" s="34">
        <f t="shared" si="4"/>
        <v>0.81019482252468644</v>
      </c>
      <c r="G77" s="481">
        <f>SUM(G75:G76)</f>
        <v>93346</v>
      </c>
      <c r="H77" s="481">
        <f>SUM(H75:H76)</f>
        <v>77935</v>
      </c>
      <c r="I77" s="34">
        <f t="shared" si="5"/>
        <v>0.83490454866839503</v>
      </c>
      <c r="J77" s="614"/>
      <c r="K77" s="615"/>
      <c r="L77" s="615"/>
      <c r="M77" s="616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581" t="s">
        <v>65</v>
      </c>
      <c r="B82" s="582" t="s">
        <v>66</v>
      </c>
      <c r="C82" s="582" t="s">
        <v>50</v>
      </c>
      <c r="D82" s="582" t="s">
        <v>20</v>
      </c>
      <c r="E82" s="582"/>
      <c r="F82" s="582"/>
      <c r="G82" s="582" t="s">
        <v>21</v>
      </c>
      <c r="H82" s="582"/>
      <c r="I82" s="582"/>
      <c r="J82" s="582" t="s">
        <v>10</v>
      </c>
      <c r="K82" s="582"/>
      <c r="L82" s="582"/>
      <c r="M82" s="585"/>
    </row>
    <row r="83" spans="1:13">
      <c r="A83" s="583"/>
      <c r="B83" s="584"/>
      <c r="C83" s="584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584"/>
      <c r="K83" s="584"/>
      <c r="L83" s="584"/>
      <c r="M83" s="586"/>
    </row>
    <row r="84" spans="1:13">
      <c r="A84" s="573" t="s">
        <v>67</v>
      </c>
      <c r="B84" s="525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D84+'2017APR'!G84</f>
        <v>2</v>
      </c>
      <c r="H84" s="479">
        <f>E84+'2017APR'!H84</f>
        <v>0</v>
      </c>
      <c r="I84" s="498">
        <f>H84/G84</f>
        <v>0</v>
      </c>
      <c r="J84" s="596"/>
      <c r="K84" s="597"/>
      <c r="L84" s="597"/>
      <c r="M84" s="598"/>
    </row>
    <row r="85" spans="1:13">
      <c r="A85" s="573"/>
      <c r="B85" s="525"/>
      <c r="C85" s="27" t="s">
        <v>70</v>
      </c>
      <c r="D85" s="479">
        <v>85</v>
      </c>
      <c r="E85" s="490">
        <v>65.5</v>
      </c>
      <c r="F85" s="28">
        <f t="shared" ref="F85:F98" si="6">E85/D85</f>
        <v>0.77058823529411768</v>
      </c>
      <c r="G85" s="479">
        <f>D85+'2017APR'!G85</f>
        <v>423</v>
      </c>
      <c r="H85" s="479">
        <f>E85+'2017APR'!H85</f>
        <v>337.5</v>
      </c>
      <c r="I85" s="28">
        <f t="shared" ref="I85:I98" si="7">H85/G85</f>
        <v>0.7978723404255319</v>
      </c>
      <c r="J85" s="596"/>
      <c r="K85" s="597"/>
      <c r="L85" s="597"/>
      <c r="M85" s="598"/>
    </row>
    <row r="86" spans="1:13">
      <c r="A86" s="573"/>
      <c r="B86" s="525"/>
      <c r="C86" s="38" t="s">
        <v>71</v>
      </c>
      <c r="D86" s="487">
        <f>SUM(D84:D85)</f>
        <v>85</v>
      </c>
      <c r="E86" s="487">
        <f>SUM(E84:E85)</f>
        <v>65.5</v>
      </c>
      <c r="F86" s="30">
        <f t="shared" si="6"/>
        <v>0.77058823529411768</v>
      </c>
      <c r="G86" s="487">
        <f>SUM(G84:G85)</f>
        <v>425</v>
      </c>
      <c r="H86" s="487">
        <f>SUM(H84:H85)</f>
        <v>337.5</v>
      </c>
      <c r="I86" s="30">
        <f t="shared" si="7"/>
        <v>0.79411764705882348</v>
      </c>
      <c r="J86" s="599"/>
      <c r="K86" s="600"/>
      <c r="L86" s="600"/>
      <c r="M86" s="601"/>
    </row>
    <row r="87" spans="1:13">
      <c r="A87" s="573"/>
      <c r="B87" s="525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D87+'2017APR'!G87</f>
        <v>1</v>
      </c>
      <c r="H87" s="479">
        <f>E87+'2017APR'!H87</f>
        <v>0</v>
      </c>
      <c r="I87" s="28">
        <f t="shared" si="7"/>
        <v>0</v>
      </c>
      <c r="J87" s="596"/>
      <c r="K87" s="597"/>
      <c r="L87" s="597"/>
      <c r="M87" s="598"/>
    </row>
    <row r="88" spans="1:13">
      <c r="A88" s="573"/>
      <c r="B88" s="525"/>
      <c r="C88" s="27" t="s">
        <v>70</v>
      </c>
      <c r="D88" s="479">
        <v>20</v>
      </c>
      <c r="E88" s="490">
        <v>16.5</v>
      </c>
      <c r="F88" s="28">
        <f t="shared" si="6"/>
        <v>0.82499999999999996</v>
      </c>
      <c r="G88" s="479">
        <f>D88+'2017APR'!G88</f>
        <v>99</v>
      </c>
      <c r="H88" s="479">
        <f>E88+'2017APR'!H88</f>
        <v>86.5</v>
      </c>
      <c r="I88" s="28">
        <f t="shared" si="7"/>
        <v>0.8737373737373737</v>
      </c>
      <c r="J88" s="596"/>
      <c r="K88" s="597"/>
      <c r="L88" s="597"/>
      <c r="M88" s="598"/>
    </row>
    <row r="89" spans="1:13">
      <c r="A89" s="573"/>
      <c r="B89" s="525"/>
      <c r="C89" s="38" t="s">
        <v>71</v>
      </c>
      <c r="D89" s="487">
        <f>SUM(D87:D88)</f>
        <v>20</v>
      </c>
      <c r="E89" s="487">
        <f>SUM(E87:E88)</f>
        <v>16.5</v>
      </c>
      <c r="F89" s="30">
        <f t="shared" si="6"/>
        <v>0.82499999999999996</v>
      </c>
      <c r="G89" s="487">
        <f>SUM(G87:G88)</f>
        <v>100</v>
      </c>
      <c r="H89" s="487">
        <f>SUM(H87:H88)</f>
        <v>86.5</v>
      </c>
      <c r="I89" s="30">
        <f t="shared" si="7"/>
        <v>0.86499999999999999</v>
      </c>
      <c r="J89" s="599"/>
      <c r="K89" s="600"/>
      <c r="L89" s="600"/>
      <c r="M89" s="601"/>
    </row>
    <row r="90" spans="1:13">
      <c r="A90" s="573"/>
      <c r="B90" s="525" t="s">
        <v>73</v>
      </c>
      <c r="C90" s="27" t="s">
        <v>69</v>
      </c>
      <c r="D90" s="479">
        <v>0</v>
      </c>
      <c r="E90" s="490">
        <v>2</v>
      </c>
      <c r="F90" s="28" t="e">
        <f t="shared" si="6"/>
        <v>#DIV/0!</v>
      </c>
      <c r="G90" s="479">
        <f>D90+'2017APR'!G90</f>
        <v>2</v>
      </c>
      <c r="H90" s="479">
        <f>E90+'2017APR'!H90</f>
        <v>4</v>
      </c>
      <c r="I90" s="28">
        <f t="shared" si="7"/>
        <v>2</v>
      </c>
      <c r="J90" s="596"/>
      <c r="K90" s="597"/>
      <c r="L90" s="597"/>
      <c r="M90" s="598"/>
    </row>
    <row r="91" spans="1:13">
      <c r="A91" s="573"/>
      <c r="B91" s="525"/>
      <c r="C91" s="27" t="s">
        <v>70</v>
      </c>
      <c r="D91" s="479">
        <v>51</v>
      </c>
      <c r="E91" s="490">
        <v>38.5</v>
      </c>
      <c r="F91" s="28">
        <f t="shared" si="6"/>
        <v>0.75490196078431371</v>
      </c>
      <c r="G91" s="479">
        <f>D91+'2017APR'!G91</f>
        <v>251</v>
      </c>
      <c r="H91" s="479">
        <f>E91+'2017APR'!H91</f>
        <v>224.5</v>
      </c>
      <c r="I91" s="28">
        <f t="shared" si="7"/>
        <v>0.89442231075697209</v>
      </c>
      <c r="J91" s="596"/>
      <c r="K91" s="597"/>
      <c r="L91" s="597"/>
      <c r="M91" s="598"/>
    </row>
    <row r="92" spans="1:13">
      <c r="A92" s="573"/>
      <c r="B92" s="525"/>
      <c r="C92" s="38" t="s">
        <v>71</v>
      </c>
      <c r="D92" s="487">
        <f>SUM(D90:D91)</f>
        <v>51</v>
      </c>
      <c r="E92" s="487">
        <f>SUM(E90:E91)</f>
        <v>40.5</v>
      </c>
      <c r="F92" s="30">
        <f t="shared" si="6"/>
        <v>0.79411764705882348</v>
      </c>
      <c r="G92" s="487">
        <f>SUM(G90:G91)</f>
        <v>253</v>
      </c>
      <c r="H92" s="487">
        <f>SUM(H90:H91)</f>
        <v>228.5</v>
      </c>
      <c r="I92" s="30">
        <f t="shared" si="7"/>
        <v>0.90316205533596838</v>
      </c>
      <c r="J92" s="599"/>
      <c r="K92" s="600"/>
      <c r="L92" s="600"/>
      <c r="M92" s="601"/>
    </row>
    <row r="93" spans="1:13">
      <c r="A93" s="573"/>
      <c r="B93" s="525" t="s">
        <v>74</v>
      </c>
      <c r="C93" s="27" t="s">
        <v>69</v>
      </c>
      <c r="D93" s="479">
        <v>0</v>
      </c>
      <c r="E93" s="490">
        <v>6</v>
      </c>
      <c r="F93" s="28" t="e">
        <f t="shared" si="6"/>
        <v>#DIV/0!</v>
      </c>
      <c r="G93" s="479">
        <f>D93+'2017APR'!G93</f>
        <v>3</v>
      </c>
      <c r="H93" s="479">
        <f>E93+'2017APR'!H93</f>
        <v>8.5</v>
      </c>
      <c r="I93" s="28">
        <f t="shared" si="7"/>
        <v>2.8333333333333335</v>
      </c>
      <c r="J93" s="596"/>
      <c r="K93" s="597"/>
      <c r="L93" s="597"/>
      <c r="M93" s="598"/>
    </row>
    <row r="94" spans="1:13">
      <c r="A94" s="573"/>
      <c r="B94" s="525"/>
      <c r="C94" s="27" t="s">
        <v>70</v>
      </c>
      <c r="D94" s="479">
        <v>92</v>
      </c>
      <c r="E94" s="490">
        <v>87.5</v>
      </c>
      <c r="F94" s="28">
        <f t="shared" si="6"/>
        <v>0.95108695652173914</v>
      </c>
      <c r="G94" s="479">
        <f>D94+'2017APR'!G94</f>
        <v>457</v>
      </c>
      <c r="H94" s="479">
        <f>E94+'2017APR'!H94</f>
        <v>418</v>
      </c>
      <c r="I94" s="28">
        <f t="shared" si="7"/>
        <v>0.91466083150984678</v>
      </c>
      <c r="J94" s="596"/>
      <c r="K94" s="597"/>
      <c r="L94" s="597"/>
      <c r="M94" s="598"/>
    </row>
    <row r="95" spans="1:13">
      <c r="A95" s="573"/>
      <c r="B95" s="525"/>
      <c r="C95" s="38" t="s">
        <v>71</v>
      </c>
      <c r="D95" s="487">
        <f>SUM(D93:D94)</f>
        <v>92</v>
      </c>
      <c r="E95" s="487">
        <f>SUM(E93:E94)</f>
        <v>93.5</v>
      </c>
      <c r="F95" s="30">
        <f t="shared" si="6"/>
        <v>1.0163043478260869</v>
      </c>
      <c r="G95" s="487">
        <f>SUM(G93:G94)</f>
        <v>460</v>
      </c>
      <c r="H95" s="487">
        <f>SUM(H93:H94)</f>
        <v>426.5</v>
      </c>
      <c r="I95" s="30">
        <f t="shared" si="7"/>
        <v>0.92717391304347829</v>
      </c>
      <c r="J95" s="599"/>
      <c r="K95" s="600"/>
      <c r="L95" s="600"/>
      <c r="M95" s="601"/>
    </row>
    <row r="96" spans="1:13">
      <c r="A96" s="573"/>
      <c r="B96" s="603" t="s">
        <v>46</v>
      </c>
      <c r="C96" s="39" t="s">
        <v>69</v>
      </c>
      <c r="D96" s="474">
        <f>SUM(D84,D87,D90,D93)</f>
        <v>0</v>
      </c>
      <c r="E96" s="474">
        <f>SUM(E84,E87,E90,E93)</f>
        <v>8</v>
      </c>
      <c r="F96" s="31" t="e">
        <f t="shared" si="6"/>
        <v>#DIV/0!</v>
      </c>
      <c r="G96" s="474">
        <f>SUM(G84,G87,G90,G93)</f>
        <v>8</v>
      </c>
      <c r="H96" s="474">
        <f>SUM(H84,H87,H90,H93)</f>
        <v>12.5</v>
      </c>
      <c r="I96" s="31">
        <f t="shared" si="7"/>
        <v>1.5625</v>
      </c>
      <c r="J96" s="604"/>
      <c r="K96" s="605"/>
      <c r="L96" s="605"/>
      <c r="M96" s="606"/>
    </row>
    <row r="97" spans="1:13">
      <c r="A97" s="573"/>
      <c r="B97" s="603"/>
      <c r="C97" s="39" t="s">
        <v>70</v>
      </c>
      <c r="D97" s="474">
        <f>SUM(D85,D88,D91,D94)</f>
        <v>248</v>
      </c>
      <c r="E97" s="474">
        <f>SUM(E85,E88,E91,E94)</f>
        <v>208</v>
      </c>
      <c r="F97" s="31">
        <f t="shared" si="6"/>
        <v>0.83870967741935487</v>
      </c>
      <c r="G97" s="474">
        <f>SUM(G85,G88,G91,G94)</f>
        <v>1230</v>
      </c>
      <c r="H97" s="474">
        <f>SUM(H85,H88,H91,H94)</f>
        <v>1066.5</v>
      </c>
      <c r="I97" s="31">
        <f t="shared" si="7"/>
        <v>0.86707317073170731</v>
      </c>
      <c r="J97" s="604"/>
      <c r="K97" s="605"/>
      <c r="L97" s="605"/>
      <c r="M97" s="606"/>
    </row>
    <row r="98" spans="1:13" ht="14" thickBot="1">
      <c r="A98" s="623"/>
      <c r="B98" s="624"/>
      <c r="C98" s="40" t="s">
        <v>46</v>
      </c>
      <c r="D98" s="475">
        <f>SUM(D96:D97)</f>
        <v>248</v>
      </c>
      <c r="E98" s="475">
        <f>SUM(E96:E97)</f>
        <v>216</v>
      </c>
      <c r="F98" s="41">
        <f t="shared" si="6"/>
        <v>0.87096774193548387</v>
      </c>
      <c r="G98" s="475">
        <f>SUM(G96:G97)</f>
        <v>1238</v>
      </c>
      <c r="H98" s="475">
        <f>SUM(H96:H97)</f>
        <v>1079</v>
      </c>
      <c r="I98" s="41">
        <f t="shared" si="7"/>
        <v>0.87156704361873993</v>
      </c>
      <c r="J98" s="625"/>
      <c r="K98" s="626"/>
      <c r="L98" s="626"/>
      <c r="M98" s="627"/>
    </row>
    <row r="99" spans="1:13">
      <c r="A99" s="617" t="s">
        <v>75</v>
      </c>
      <c r="B99" s="619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D99+'2017APR'!G99</f>
        <v>2</v>
      </c>
      <c r="H99" s="478">
        <f>E99+'2017APR'!H99</f>
        <v>0</v>
      </c>
      <c r="I99" s="499">
        <f>H99/G99</f>
        <v>0</v>
      </c>
      <c r="J99" s="620"/>
      <c r="K99" s="621"/>
      <c r="L99" s="621"/>
      <c r="M99" s="622"/>
    </row>
    <row r="100" spans="1:13" ht="13.5" customHeight="1">
      <c r="A100" s="562"/>
      <c r="B100" s="525"/>
      <c r="C100" s="27" t="s">
        <v>70</v>
      </c>
      <c r="D100" s="479">
        <v>75</v>
      </c>
      <c r="E100" s="490">
        <v>56</v>
      </c>
      <c r="F100" s="28">
        <f t="shared" ref="F100:F109" si="8">E100/D100</f>
        <v>0.7466666666666667</v>
      </c>
      <c r="G100" s="477">
        <f>D100+'2017APR'!G100</f>
        <v>373</v>
      </c>
      <c r="H100" s="477">
        <f>E100+'2017APR'!H100</f>
        <v>290</v>
      </c>
      <c r="I100" s="28">
        <f t="shared" ref="I100:I109" si="9">H100/G100</f>
        <v>0.77747989276139406</v>
      </c>
      <c r="J100" s="596"/>
      <c r="K100" s="597"/>
      <c r="L100" s="597"/>
      <c r="M100" s="598"/>
    </row>
    <row r="101" spans="1:13" ht="13.5" customHeight="1">
      <c r="A101" s="562"/>
      <c r="B101" s="525"/>
      <c r="C101" s="38" t="s">
        <v>71</v>
      </c>
      <c r="D101" s="487">
        <f>SUM(D99:D100)</f>
        <v>75</v>
      </c>
      <c r="E101" s="487">
        <f>SUM(E99:E100)</f>
        <v>56</v>
      </c>
      <c r="F101" s="30">
        <f t="shared" si="8"/>
        <v>0.7466666666666667</v>
      </c>
      <c r="G101" s="487">
        <f>SUM(G99:G100)</f>
        <v>375</v>
      </c>
      <c r="H101" s="487">
        <f>SUM(H99:H100)</f>
        <v>290</v>
      </c>
      <c r="I101" s="30">
        <f t="shared" si="9"/>
        <v>0.77333333333333332</v>
      </c>
      <c r="J101" s="599"/>
      <c r="K101" s="600"/>
      <c r="L101" s="600"/>
      <c r="M101" s="601"/>
    </row>
    <row r="102" spans="1:13" ht="13.5" customHeight="1">
      <c r="A102" s="562"/>
      <c r="B102" s="525" t="s">
        <v>77</v>
      </c>
      <c r="C102" s="27" t="s">
        <v>69</v>
      </c>
      <c r="D102" s="479">
        <v>0</v>
      </c>
      <c r="E102" s="490">
        <v>0</v>
      </c>
      <c r="F102" s="28" t="e">
        <f t="shared" si="8"/>
        <v>#DIV/0!</v>
      </c>
      <c r="G102" s="479">
        <f>D102+'2017APR'!G102</f>
        <v>2</v>
      </c>
      <c r="H102" s="479">
        <f>E102+'2017APR'!H102</f>
        <v>0</v>
      </c>
      <c r="I102" s="28">
        <f t="shared" si="9"/>
        <v>0</v>
      </c>
      <c r="J102" s="596"/>
      <c r="K102" s="597"/>
      <c r="L102" s="597"/>
      <c r="M102" s="598"/>
    </row>
    <row r="103" spans="1:13" ht="13.5" customHeight="1">
      <c r="A103" s="562"/>
      <c r="B103" s="525"/>
      <c r="C103" s="27" t="s">
        <v>70</v>
      </c>
      <c r="D103" s="479">
        <v>41</v>
      </c>
      <c r="E103" s="490">
        <v>33.5</v>
      </c>
      <c r="F103" s="28">
        <f t="shared" si="8"/>
        <v>0.81707317073170727</v>
      </c>
      <c r="G103" s="479">
        <f>D103+'2017APR'!G103</f>
        <v>203</v>
      </c>
      <c r="H103" s="479">
        <f>E103+'2017APR'!H103</f>
        <v>173</v>
      </c>
      <c r="I103" s="28">
        <f t="shared" si="9"/>
        <v>0.85221674876847286</v>
      </c>
      <c r="J103" s="596"/>
      <c r="K103" s="597"/>
      <c r="L103" s="597"/>
      <c r="M103" s="598"/>
    </row>
    <row r="104" spans="1:13" ht="13.5" customHeight="1">
      <c r="A104" s="562"/>
      <c r="B104" s="525"/>
      <c r="C104" s="38" t="s">
        <v>71</v>
      </c>
      <c r="D104" s="487">
        <f>SUM(D102:D103)</f>
        <v>41</v>
      </c>
      <c r="E104" s="487">
        <f>SUM(E102:E103)</f>
        <v>33.5</v>
      </c>
      <c r="F104" s="30">
        <f t="shared" si="8"/>
        <v>0.81707317073170727</v>
      </c>
      <c r="G104" s="487">
        <f>SUM(G102:G103)</f>
        <v>205</v>
      </c>
      <c r="H104" s="487">
        <f>SUM(H102:H103)</f>
        <v>173</v>
      </c>
      <c r="I104" s="30">
        <f t="shared" si="9"/>
        <v>0.84390243902439022</v>
      </c>
      <c r="J104" s="599"/>
      <c r="K104" s="600"/>
      <c r="L104" s="600"/>
      <c r="M104" s="601"/>
    </row>
    <row r="105" spans="1:13" ht="13.5" customHeight="1">
      <c r="A105" s="562"/>
      <c r="B105" s="603" t="s">
        <v>46</v>
      </c>
      <c r="C105" s="39" t="s">
        <v>69</v>
      </c>
      <c r="D105" s="474">
        <f>SUM(D99,D102)</f>
        <v>0</v>
      </c>
      <c r="E105" s="474">
        <f>SUM(E99,E102)</f>
        <v>0</v>
      </c>
      <c r="F105" s="30" t="e">
        <f t="shared" si="8"/>
        <v>#DIV/0!</v>
      </c>
      <c r="G105" s="474">
        <f>SUM(G99,G102)</f>
        <v>4</v>
      </c>
      <c r="H105" s="474">
        <f>SUM(H99,H102)</f>
        <v>0</v>
      </c>
      <c r="I105" s="30">
        <f t="shared" si="9"/>
        <v>0</v>
      </c>
      <c r="J105" s="604"/>
      <c r="K105" s="605"/>
      <c r="L105" s="605"/>
      <c r="M105" s="606"/>
    </row>
    <row r="106" spans="1:13" ht="13.5" customHeight="1">
      <c r="A106" s="562"/>
      <c r="B106" s="603"/>
      <c r="C106" s="39" t="s">
        <v>70</v>
      </c>
      <c r="D106" s="474">
        <f>SUM(D100,D103)</f>
        <v>116</v>
      </c>
      <c r="E106" s="474">
        <f>SUM(E100,E103)</f>
        <v>89.5</v>
      </c>
      <c r="F106" s="30">
        <f t="shared" si="8"/>
        <v>0.77155172413793105</v>
      </c>
      <c r="G106" s="474">
        <f>SUM(G100,G103)</f>
        <v>576</v>
      </c>
      <c r="H106" s="474">
        <f>SUM(H100,H103)</f>
        <v>463</v>
      </c>
      <c r="I106" s="30">
        <f t="shared" si="9"/>
        <v>0.80381944444444442</v>
      </c>
      <c r="J106" s="604"/>
      <c r="K106" s="605"/>
      <c r="L106" s="605"/>
      <c r="M106" s="606"/>
    </row>
    <row r="107" spans="1:13" ht="14.25" customHeight="1" thickBot="1">
      <c r="A107" s="618"/>
      <c r="B107" s="624"/>
      <c r="C107" s="40" t="s">
        <v>46</v>
      </c>
      <c r="D107" s="475">
        <f>SUM(D105:D106)</f>
        <v>116</v>
      </c>
      <c r="E107" s="475">
        <f>SUM(E105:E106)</f>
        <v>89.5</v>
      </c>
      <c r="F107" s="41">
        <f t="shared" si="8"/>
        <v>0.77155172413793105</v>
      </c>
      <c r="G107" s="475">
        <f>SUM(G105:G106)</f>
        <v>580</v>
      </c>
      <c r="H107" s="475">
        <f>SUM(H105:H106)</f>
        <v>463</v>
      </c>
      <c r="I107" s="41">
        <f t="shared" si="9"/>
        <v>0.7982758620689655</v>
      </c>
      <c r="J107" s="625"/>
      <c r="K107" s="626"/>
      <c r="L107" s="626"/>
      <c r="M107" s="627"/>
    </row>
    <row r="108" spans="1:13">
      <c r="A108" s="635" t="s">
        <v>46</v>
      </c>
      <c r="B108" s="635"/>
      <c r="C108" s="44" t="s">
        <v>69</v>
      </c>
      <c r="D108" s="472">
        <f>SUM(D96,D105)</f>
        <v>0</v>
      </c>
      <c r="E108" s="472">
        <f>SUM(E96,E105)</f>
        <v>8</v>
      </c>
      <c r="F108" s="45" t="e">
        <f t="shared" si="8"/>
        <v>#DIV/0!</v>
      </c>
      <c r="G108" s="46">
        <f>SUM(G96,G105)</f>
        <v>12</v>
      </c>
      <c r="H108" s="46">
        <f>SUM(H96,H105)</f>
        <v>12.5</v>
      </c>
      <c r="I108" s="45">
        <f t="shared" si="9"/>
        <v>1.0416666666666667</v>
      </c>
      <c r="J108" s="636"/>
      <c r="K108" s="637"/>
      <c r="L108" s="637"/>
      <c r="M108" s="638"/>
    </row>
    <row r="109" spans="1:13">
      <c r="A109" s="609"/>
      <c r="B109" s="609"/>
      <c r="C109" s="47" t="s">
        <v>70</v>
      </c>
      <c r="D109" s="473">
        <f>SUM(D97,D106)</f>
        <v>364</v>
      </c>
      <c r="E109" s="473">
        <f>SUM(E97,E106)</f>
        <v>297.5</v>
      </c>
      <c r="F109" s="32">
        <f t="shared" si="8"/>
        <v>0.81730769230769229</v>
      </c>
      <c r="G109" s="473">
        <f>SUM(G97,G106)</f>
        <v>1806</v>
      </c>
      <c r="H109" s="473">
        <f>SUM(H97,H106)</f>
        <v>1529.5</v>
      </c>
      <c r="I109" s="32">
        <f t="shared" si="9"/>
        <v>0.8468992248062015</v>
      </c>
      <c r="J109" s="639"/>
      <c r="K109" s="640"/>
      <c r="L109" s="640"/>
      <c r="M109" s="641"/>
    </row>
    <row r="110" spans="1:13">
      <c r="A110" s="609"/>
      <c r="B110" s="609"/>
      <c r="C110" s="48" t="s">
        <v>46</v>
      </c>
      <c r="D110" s="473">
        <f>SUM(D108:D109)</f>
        <v>364</v>
      </c>
      <c r="E110" s="473">
        <f>SUM(E108:E109)</f>
        <v>305.5</v>
      </c>
      <c r="F110" s="49">
        <f>E110/D110</f>
        <v>0.8392857142857143</v>
      </c>
      <c r="G110" s="472">
        <f>SUM(G108:G109)</f>
        <v>1818</v>
      </c>
      <c r="H110" s="472">
        <f>SUM(H108:H109)</f>
        <v>1542</v>
      </c>
      <c r="I110" s="49">
        <f>H110/G110</f>
        <v>0.84818481848184824</v>
      </c>
      <c r="J110" s="639"/>
      <c r="K110" s="640"/>
      <c r="L110" s="640"/>
      <c r="M110" s="641"/>
    </row>
    <row r="113" spans="1:13" ht="15" thickBot="1">
      <c r="A113" s="127" t="s">
        <v>78</v>
      </c>
    </row>
    <row r="114" spans="1:13">
      <c r="A114" s="642" t="s">
        <v>79</v>
      </c>
      <c r="B114" s="643"/>
      <c r="C114" s="644" t="s">
        <v>80</v>
      </c>
      <c r="D114" s="645"/>
      <c r="E114" s="644" t="s">
        <v>81</v>
      </c>
      <c r="F114" s="645"/>
      <c r="G114" s="644" t="s">
        <v>136</v>
      </c>
      <c r="H114" s="703"/>
      <c r="I114" s="646"/>
      <c r="J114" s="647"/>
      <c r="K114" s="646"/>
      <c r="L114" s="648"/>
    </row>
    <row r="115" spans="1:13">
      <c r="A115" s="628" t="s">
        <v>82</v>
      </c>
      <c r="B115" s="629"/>
      <c r="C115" s="630" t="s">
        <v>83</v>
      </c>
      <c r="D115" s="631"/>
      <c r="E115" s="630" t="s">
        <v>84</v>
      </c>
      <c r="F115" s="631"/>
      <c r="G115" s="630" t="s">
        <v>84</v>
      </c>
      <c r="H115" s="631"/>
      <c r="I115" s="632"/>
      <c r="J115" s="633"/>
      <c r="K115" s="632"/>
      <c r="L115" s="634"/>
    </row>
    <row r="116" spans="1:13">
      <c r="A116" s="628" t="s">
        <v>85</v>
      </c>
      <c r="B116" s="629"/>
      <c r="C116" s="630" t="s">
        <v>86</v>
      </c>
      <c r="D116" s="631"/>
      <c r="E116" s="630" t="s">
        <v>87</v>
      </c>
      <c r="F116" s="631"/>
      <c r="G116" s="630" t="s">
        <v>87</v>
      </c>
      <c r="H116" s="631"/>
      <c r="I116" s="632"/>
      <c r="J116" s="633"/>
      <c r="K116" s="632"/>
      <c r="L116" s="634"/>
    </row>
    <row r="117" spans="1:13">
      <c r="A117" s="628" t="s">
        <v>88</v>
      </c>
      <c r="B117" s="629"/>
      <c r="C117" s="630" t="s">
        <v>89</v>
      </c>
      <c r="D117" s="631"/>
      <c r="E117" s="630" t="s">
        <v>90</v>
      </c>
      <c r="F117" s="631"/>
      <c r="G117" s="630" t="s">
        <v>138</v>
      </c>
      <c r="H117" s="631"/>
      <c r="I117" s="632"/>
      <c r="J117" s="633"/>
      <c r="K117" s="632"/>
      <c r="L117" s="634"/>
    </row>
    <row r="118" spans="1:13">
      <c r="A118" s="628" t="s">
        <v>91</v>
      </c>
      <c r="B118" s="629"/>
      <c r="C118" s="649">
        <v>1133</v>
      </c>
      <c r="D118" s="650"/>
      <c r="E118" s="649">
        <v>8</v>
      </c>
      <c r="F118" s="650"/>
      <c r="G118" s="649">
        <v>5</v>
      </c>
      <c r="H118" s="650"/>
      <c r="I118" s="632"/>
      <c r="J118" s="633"/>
      <c r="K118" s="632"/>
      <c r="L118" s="634"/>
    </row>
    <row r="119" spans="1:13">
      <c r="A119" s="628" t="s">
        <v>92</v>
      </c>
      <c r="B119" s="629"/>
      <c r="C119" s="630" t="s">
        <v>93</v>
      </c>
      <c r="D119" s="631"/>
      <c r="E119" s="630" t="s">
        <v>94</v>
      </c>
      <c r="F119" s="631"/>
      <c r="G119" s="630" t="s">
        <v>94</v>
      </c>
      <c r="H119" s="631"/>
      <c r="I119" s="632"/>
      <c r="J119" s="633"/>
      <c r="K119" s="632"/>
      <c r="L119" s="634"/>
    </row>
    <row r="120" spans="1:13">
      <c r="A120" s="628" t="s">
        <v>311</v>
      </c>
      <c r="B120" s="471" t="s">
        <v>96</v>
      </c>
      <c r="C120" s="630">
        <v>0</v>
      </c>
      <c r="D120" s="631"/>
      <c r="E120" s="630">
        <v>0</v>
      </c>
      <c r="F120" s="631"/>
      <c r="G120" s="630">
        <v>0</v>
      </c>
      <c r="H120" s="631"/>
      <c r="I120" s="632"/>
      <c r="J120" s="633"/>
      <c r="K120" s="632"/>
      <c r="L120" s="634"/>
    </row>
    <row r="121" spans="1:13">
      <c r="A121" s="628"/>
      <c r="B121" s="471" t="s">
        <v>97</v>
      </c>
      <c r="C121" s="630">
        <v>0</v>
      </c>
      <c r="D121" s="631"/>
      <c r="E121" s="630">
        <v>0</v>
      </c>
      <c r="F121" s="631"/>
      <c r="G121" s="630">
        <v>0</v>
      </c>
      <c r="H121" s="631"/>
      <c r="I121" s="632"/>
      <c r="J121" s="633"/>
      <c r="K121" s="632"/>
      <c r="L121" s="634"/>
    </row>
    <row r="122" spans="1:13">
      <c r="A122" s="628"/>
      <c r="B122" s="471" t="s">
        <v>98</v>
      </c>
      <c r="C122" s="651">
        <v>0</v>
      </c>
      <c r="D122" s="652"/>
      <c r="E122" s="651">
        <v>0</v>
      </c>
      <c r="F122" s="652"/>
      <c r="G122" s="651">
        <v>0</v>
      </c>
      <c r="H122" s="652"/>
      <c r="I122" s="653"/>
      <c r="J122" s="654"/>
      <c r="K122" s="653"/>
      <c r="L122" s="655"/>
    </row>
    <row r="123" spans="1:13">
      <c r="A123" s="628"/>
      <c r="B123" s="471" t="s">
        <v>99</v>
      </c>
      <c r="C123" s="656">
        <v>536</v>
      </c>
      <c r="D123" s="656"/>
      <c r="E123" s="656">
        <v>84</v>
      </c>
      <c r="F123" s="656"/>
      <c r="G123" s="656">
        <v>179</v>
      </c>
      <c r="H123" s="656"/>
      <c r="I123" s="653"/>
      <c r="J123" s="654"/>
      <c r="K123" s="653"/>
      <c r="L123" s="655"/>
    </row>
    <row r="124" spans="1:13" ht="13.5" customHeight="1" thickBot="1">
      <c r="A124" s="673" t="s">
        <v>10</v>
      </c>
      <c r="B124" s="674"/>
      <c r="C124" s="675"/>
      <c r="D124" s="676"/>
      <c r="E124" s="675"/>
      <c r="F124" s="676"/>
      <c r="G124" s="660"/>
      <c r="H124" s="677"/>
      <c r="I124" s="660"/>
      <c r="J124" s="677"/>
      <c r="K124" s="660"/>
      <c r="L124" s="661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31" t="s">
        <v>101</v>
      </c>
      <c r="B128" s="533"/>
      <c r="C128" s="662" t="s">
        <v>329</v>
      </c>
      <c r="D128" s="663"/>
      <c r="E128" s="664"/>
      <c r="F128" s="662" t="s">
        <v>333</v>
      </c>
      <c r="G128" s="663"/>
      <c r="H128" s="663"/>
      <c r="I128" s="664"/>
      <c r="J128" s="662" t="s">
        <v>340</v>
      </c>
      <c r="K128" s="663"/>
      <c r="L128" s="663"/>
      <c r="M128" s="665"/>
    </row>
    <row r="129" spans="1:13" ht="35.25" customHeight="1">
      <c r="A129" s="716" t="s">
        <v>103</v>
      </c>
      <c r="B129" s="717"/>
      <c r="C129" s="722" t="s">
        <v>341</v>
      </c>
      <c r="D129" s="723"/>
      <c r="E129" s="724"/>
      <c r="F129" s="747" t="s">
        <v>335</v>
      </c>
      <c r="G129" s="748"/>
      <c r="H129" s="748"/>
      <c r="I129" s="749"/>
      <c r="J129" s="745" t="s">
        <v>15</v>
      </c>
      <c r="K129" s="748"/>
      <c r="L129" s="748"/>
      <c r="M129" s="750"/>
    </row>
    <row r="130" spans="1:13" ht="35.25" customHeight="1">
      <c r="A130" s="716" t="s">
        <v>104</v>
      </c>
      <c r="B130" s="717"/>
      <c r="C130" s="722" t="s">
        <v>15</v>
      </c>
      <c r="D130" s="723"/>
      <c r="E130" s="724"/>
      <c r="F130" s="751" t="s">
        <v>15</v>
      </c>
      <c r="G130" s="752"/>
      <c r="H130" s="752"/>
      <c r="I130" s="753"/>
      <c r="J130" s="730" t="s">
        <v>15</v>
      </c>
      <c r="K130" s="731"/>
      <c r="L130" s="731"/>
      <c r="M130" s="732"/>
    </row>
    <row r="131" spans="1:13" ht="67.5" customHeight="1">
      <c r="A131" s="716" t="s">
        <v>105</v>
      </c>
      <c r="B131" s="717"/>
      <c r="C131" s="718" t="s">
        <v>324</v>
      </c>
      <c r="D131" s="719"/>
      <c r="E131" s="720"/>
      <c r="F131" s="744" t="s">
        <v>337</v>
      </c>
      <c r="G131" s="745"/>
      <c r="H131" s="745"/>
      <c r="I131" s="746"/>
      <c r="J131" s="718" t="s">
        <v>336</v>
      </c>
      <c r="K131" s="719"/>
      <c r="L131" s="719"/>
      <c r="M131" s="721"/>
    </row>
    <row r="132" spans="1:13" ht="35.25" customHeight="1" thickBot="1">
      <c r="A132" s="733" t="s">
        <v>106</v>
      </c>
      <c r="B132" s="734"/>
      <c r="C132" s="735" t="s">
        <v>342</v>
      </c>
      <c r="D132" s="736"/>
      <c r="E132" s="737"/>
      <c r="F132" s="754" t="s">
        <v>339</v>
      </c>
      <c r="G132" s="755"/>
      <c r="H132" s="755"/>
      <c r="I132" s="756"/>
      <c r="J132" s="757" t="s">
        <v>343</v>
      </c>
      <c r="K132" s="742"/>
      <c r="L132" s="742"/>
      <c r="M132" s="743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701" t="s">
        <v>112</v>
      </c>
      <c r="F137" s="701"/>
      <c r="G137" s="701"/>
      <c r="H137" s="54" t="s">
        <v>113</v>
      </c>
    </row>
    <row r="138" spans="1:13" ht="40.5" customHeight="1" thickBot="1">
      <c r="A138" s="62">
        <f>E42</f>
        <v>0</v>
      </c>
      <c r="B138" s="63">
        <f>'2017APR'!H138</f>
        <v>28710</v>
      </c>
      <c r="C138" s="63">
        <f>E43-E42</f>
        <v>17568</v>
      </c>
      <c r="D138" s="504">
        <v>49321</v>
      </c>
      <c r="E138" s="681" t="s">
        <v>114</v>
      </c>
      <c r="F138" s="681"/>
      <c r="G138" s="681"/>
      <c r="H138" s="505">
        <f>C138+A138+B138-D138</f>
        <v>-3043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679" t="s">
        <v>117</v>
      </c>
      <c r="C140" s="679"/>
      <c r="D140" s="679"/>
      <c r="E140" s="679"/>
      <c r="F140" s="679"/>
      <c r="G140" s="680"/>
    </row>
    <row r="141" spans="1:13" ht="45" customHeight="1" thickBot="1">
      <c r="A141" s="56">
        <v>17000</v>
      </c>
      <c r="B141" s="681" t="s">
        <v>114</v>
      </c>
      <c r="C141" s="681"/>
      <c r="D141" s="681"/>
      <c r="E141" s="681"/>
      <c r="F141" s="681"/>
      <c r="G141" s="682"/>
    </row>
    <row r="143" spans="1:13" ht="14">
      <c r="A143" s="127" t="s">
        <v>118</v>
      </c>
    </row>
    <row r="144" spans="1:13">
      <c r="A144" s="629" t="s">
        <v>50</v>
      </c>
      <c r="B144" s="629"/>
      <c r="C144" s="629"/>
      <c r="D144" s="629"/>
      <c r="E144" s="629"/>
      <c r="F144" s="629"/>
      <c r="G144" s="486" t="s">
        <v>119</v>
      </c>
      <c r="H144" s="683" t="s">
        <v>10</v>
      </c>
      <c r="I144" s="684"/>
      <c r="J144" s="684"/>
      <c r="K144" s="685"/>
    </row>
    <row r="145" spans="1:11">
      <c r="A145" s="574" t="s">
        <v>120</v>
      </c>
      <c r="B145" s="686" t="s">
        <v>121</v>
      </c>
      <c r="C145" s="686"/>
      <c r="D145" s="686"/>
      <c r="E145" s="686"/>
      <c r="F145" s="686"/>
      <c r="G145" s="506">
        <v>10</v>
      </c>
      <c r="H145" s="687"/>
      <c r="I145" s="688"/>
      <c r="J145" s="688"/>
      <c r="K145" s="689"/>
    </row>
    <row r="146" spans="1:11">
      <c r="A146" s="574"/>
      <c r="B146" s="686" t="s">
        <v>122</v>
      </c>
      <c r="C146" s="686"/>
      <c r="D146" s="686"/>
      <c r="E146" s="686"/>
      <c r="F146" s="686"/>
      <c r="G146" s="507">
        <v>19607</v>
      </c>
      <c r="H146" s="690"/>
      <c r="I146" s="691"/>
      <c r="J146" s="691"/>
      <c r="K146" s="692"/>
    </row>
    <row r="147" spans="1:11">
      <c r="A147" s="574" t="s">
        <v>123</v>
      </c>
      <c r="B147" s="686" t="s">
        <v>124</v>
      </c>
      <c r="C147" s="686"/>
      <c r="D147" s="686"/>
      <c r="E147" s="686"/>
      <c r="F147" s="686"/>
      <c r="G147" s="479">
        <v>10</v>
      </c>
      <c r="H147" s="670"/>
      <c r="I147" s="671"/>
      <c r="J147" s="671"/>
      <c r="K147" s="672"/>
    </row>
    <row r="148" spans="1:11">
      <c r="A148" s="574"/>
      <c r="B148" s="686" t="s">
        <v>125</v>
      </c>
      <c r="C148" s="686"/>
      <c r="D148" s="686"/>
      <c r="E148" s="686"/>
      <c r="F148" s="686"/>
      <c r="G148" s="508">
        <v>17256</v>
      </c>
      <c r="H148" s="670"/>
      <c r="I148" s="671"/>
      <c r="J148" s="671"/>
      <c r="K148" s="672"/>
    </row>
    <row r="149" spans="1:11" ht="14">
      <c r="A149" s="488" t="s">
        <v>126</v>
      </c>
      <c r="B149" s="686" t="s">
        <v>127</v>
      </c>
      <c r="C149" s="686"/>
      <c r="D149" s="686"/>
      <c r="E149" s="686"/>
      <c r="F149" s="686"/>
      <c r="G149" s="509">
        <v>1872</v>
      </c>
      <c r="H149" s="670"/>
      <c r="I149" s="671"/>
      <c r="J149" s="671"/>
      <c r="K149" s="672"/>
    </row>
    <row r="150" spans="1:11" ht="14">
      <c r="A150" s="488" t="s">
        <v>128</v>
      </c>
      <c r="B150" s="686" t="s">
        <v>129</v>
      </c>
      <c r="C150" s="686"/>
      <c r="D150" s="686"/>
      <c r="E150" s="686"/>
      <c r="F150" s="686"/>
      <c r="G150" s="479"/>
      <c r="H150" s="670"/>
      <c r="I150" s="671"/>
      <c r="J150" s="671"/>
      <c r="K150" s="672"/>
    </row>
  </sheetData>
  <mergeCells count="274"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1:F1"/>
    <mergeCell ref="J3:K3"/>
    <mergeCell ref="L3:M3"/>
    <mergeCell ref="J5:K5"/>
    <mergeCell ref="L5:M5"/>
    <mergeCell ref="J6:K6"/>
    <mergeCell ref="L6:M6"/>
    <mergeCell ref="A14:B14"/>
    <mergeCell ref="E14:I14"/>
  </mergeCells>
  <dataValidations count="2">
    <dataValidation type="list" allowBlank="1" showInputMessage="1" showErrorMessage="1" sqref="L3" xr:uid="{D94C6969-2736-7B4B-8713-67E559307D9F}">
      <formula1>"USA, JAPAN"</formula1>
    </dataValidation>
    <dataValidation type="list" allowBlank="1" showInputMessage="1" showErrorMessage="1" sqref="G1" xr:uid="{17102DE5-7FF9-4B4B-B7DE-53376B6423DB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4DAEF-1632-0749-BC86-4A4D6EDC9B02}">
  <sheetPr codeName="Sheet7">
    <pageSetUpPr fitToPage="1"/>
  </sheetPr>
  <dimension ref="A1:N150"/>
  <sheetViews>
    <sheetView topLeftCell="A16" zoomScale="70" zoomScaleNormal="70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bestFit="1" customWidth="1"/>
    <col min="6" max="6" width="9" style="126"/>
    <col min="7" max="7" width="11" style="126" customWidth="1"/>
    <col min="8" max="8" width="12" style="126" bestFit="1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143</v>
      </c>
      <c r="H1" s="2">
        <v>2017</v>
      </c>
      <c r="I1" s="491"/>
      <c r="J1" s="491"/>
      <c r="K1" s="491"/>
      <c r="L1" s="491"/>
      <c r="M1" s="491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4</v>
      </c>
      <c r="M6" s="525"/>
    </row>
    <row r="7" spans="1:13">
      <c r="J7" s="525" t="s">
        <v>6</v>
      </c>
      <c r="K7" s="525"/>
      <c r="L7" s="702">
        <v>42894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470" t="s">
        <v>305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79" t="s">
        <v>306</v>
      </c>
      <c r="C10" s="61">
        <v>5</v>
      </c>
      <c r="D10" s="490">
        <v>4</v>
      </c>
      <c r="E10" s="538" t="s">
        <v>332</v>
      </c>
      <c r="F10" s="538"/>
      <c r="G10" s="538"/>
      <c r="H10" s="538"/>
      <c r="I10" s="539"/>
    </row>
    <row r="11" spans="1:13">
      <c r="A11" s="537"/>
      <c r="B11" s="479" t="s">
        <v>12</v>
      </c>
      <c r="C11" s="61">
        <v>0</v>
      </c>
      <c r="D11" s="490">
        <v>1</v>
      </c>
      <c r="E11" s="540" t="s">
        <v>308</v>
      </c>
      <c r="F11" s="541"/>
      <c r="G11" s="541"/>
      <c r="H11" s="541"/>
      <c r="I11" s="542"/>
    </row>
    <row r="12" spans="1:13">
      <c r="A12" s="537"/>
      <c r="B12" s="479" t="s">
        <v>309</v>
      </c>
      <c r="C12" s="61">
        <v>1</v>
      </c>
      <c r="D12" s="490">
        <v>1</v>
      </c>
      <c r="E12" s="538" t="s">
        <v>130</v>
      </c>
      <c r="F12" s="538"/>
      <c r="G12" s="538"/>
      <c r="H12" s="538"/>
      <c r="I12" s="539"/>
    </row>
    <row r="13" spans="1:13">
      <c r="A13" s="537"/>
      <c r="B13" s="479" t="s">
        <v>13</v>
      </c>
      <c r="C13" s="61">
        <v>5</v>
      </c>
      <c r="D13" s="490">
        <v>1</v>
      </c>
      <c r="E13" s="538" t="s">
        <v>310</v>
      </c>
      <c r="F13" s="538"/>
      <c r="G13" s="538"/>
      <c r="H13" s="538"/>
      <c r="I13" s="539"/>
    </row>
    <row r="14" spans="1:13" s="8" customFormat="1" ht="14" thickBot="1">
      <c r="A14" s="526" t="s">
        <v>14</v>
      </c>
      <c r="B14" s="527"/>
      <c r="C14" s="7">
        <f>SUM(C10:C13)</f>
        <v>11</v>
      </c>
      <c r="D14" s="7">
        <f>SUM(D10:D13)</f>
        <v>7</v>
      </c>
      <c r="E14" s="528" t="s">
        <v>15</v>
      </c>
      <c r="F14" s="529"/>
      <c r="G14" s="529"/>
      <c r="H14" s="529"/>
      <c r="I14" s="530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31" t="s">
        <v>18</v>
      </c>
      <c r="B18" s="533" t="s">
        <v>19</v>
      </c>
      <c r="C18" s="533"/>
      <c r="D18" s="533" t="s">
        <v>20</v>
      </c>
      <c r="E18" s="533"/>
      <c r="F18" s="533"/>
      <c r="G18" s="533" t="s">
        <v>21</v>
      </c>
      <c r="H18" s="533"/>
      <c r="I18" s="533"/>
      <c r="J18" s="533" t="s">
        <v>22</v>
      </c>
      <c r="K18" s="533"/>
      <c r="L18" s="533"/>
      <c r="M18" s="536"/>
    </row>
    <row r="19" spans="1:13">
      <c r="A19" s="532"/>
      <c r="B19" s="534"/>
      <c r="C19" s="534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534"/>
      <c r="K19" s="534"/>
      <c r="L19" s="534"/>
      <c r="M19" s="543"/>
    </row>
    <row r="20" spans="1:13">
      <c r="A20" s="544" t="s">
        <v>26</v>
      </c>
      <c r="B20" s="545"/>
      <c r="C20" s="545"/>
      <c r="D20" s="545"/>
      <c r="E20" s="545"/>
      <c r="F20" s="545"/>
      <c r="G20" s="545"/>
      <c r="H20" s="545"/>
      <c r="I20" s="545"/>
      <c r="J20" s="545"/>
      <c r="K20" s="545"/>
      <c r="L20" s="545"/>
      <c r="M20" s="546"/>
    </row>
    <row r="21" spans="1:13">
      <c r="A21" s="547" t="s">
        <v>27</v>
      </c>
      <c r="B21" s="550" t="s">
        <v>28</v>
      </c>
      <c r="C21" s="128" t="s">
        <v>29</v>
      </c>
      <c r="D21" s="61">
        <v>14136</v>
      </c>
      <c r="E21" s="490">
        <v>11343</v>
      </c>
      <c r="F21" s="14">
        <f t="shared" ref="F21:F26" si="0">E21/D21</f>
        <v>0.80241935483870963</v>
      </c>
      <c r="G21" s="479">
        <f>D21+'2017MAY'!G21</f>
        <v>84070</v>
      </c>
      <c r="H21" s="479">
        <f>E21+'2017MAY'!H21</f>
        <v>68578</v>
      </c>
      <c r="I21" s="14">
        <f t="shared" ref="I21:I26" si="1">H21/G21</f>
        <v>0.81572499107886287</v>
      </c>
      <c r="J21" s="525"/>
      <c r="K21" s="525"/>
      <c r="L21" s="525"/>
      <c r="M21" s="552"/>
    </row>
    <row r="22" spans="1:13" ht="13.5" customHeight="1">
      <c r="A22" s="548"/>
      <c r="B22" s="551"/>
      <c r="C22" s="15" t="s">
        <v>30</v>
      </c>
      <c r="D22" s="487">
        <f>SUM(D21:D21)</f>
        <v>14136</v>
      </c>
      <c r="E22" s="487">
        <f>SUM(E21:E21)</f>
        <v>11343</v>
      </c>
      <c r="F22" s="16">
        <f t="shared" si="0"/>
        <v>0.80241935483870963</v>
      </c>
      <c r="G22" s="487">
        <f>SUM(G21:G21)</f>
        <v>84070</v>
      </c>
      <c r="H22" s="487">
        <f>SUM(H21:H21)</f>
        <v>68578</v>
      </c>
      <c r="I22" s="16">
        <f t="shared" si="1"/>
        <v>0.81572499107886287</v>
      </c>
      <c r="J22" s="553"/>
      <c r="K22" s="553"/>
      <c r="L22" s="553"/>
      <c r="M22" s="554"/>
    </row>
    <row r="23" spans="1:13" ht="13.5" customHeight="1">
      <c r="A23" s="548"/>
      <c r="B23" s="555" t="s">
        <v>31</v>
      </c>
      <c r="C23" s="128" t="s">
        <v>29</v>
      </c>
      <c r="D23" s="61">
        <v>4634</v>
      </c>
      <c r="E23" s="490">
        <v>4035</v>
      </c>
      <c r="F23" s="14">
        <f t="shared" si="0"/>
        <v>0.87073802330599914</v>
      </c>
      <c r="G23" s="479">
        <f>D23+'2017MAY'!G23</f>
        <v>28046</v>
      </c>
      <c r="H23" s="479">
        <f>E23+'2017MAY'!H23</f>
        <v>24735</v>
      </c>
      <c r="I23" s="14">
        <f t="shared" si="1"/>
        <v>0.88194394922627117</v>
      </c>
      <c r="J23" s="525"/>
      <c r="K23" s="525"/>
      <c r="L23" s="525"/>
      <c r="M23" s="552"/>
    </row>
    <row r="24" spans="1:13" ht="13.5" customHeight="1">
      <c r="A24" s="548"/>
      <c r="B24" s="555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525"/>
      <c r="K24" s="525"/>
      <c r="L24" s="525"/>
      <c r="M24" s="552"/>
    </row>
    <row r="25" spans="1:13" ht="13.5" customHeight="1">
      <c r="A25" s="548"/>
      <c r="B25" s="555"/>
      <c r="C25" s="15" t="s">
        <v>30</v>
      </c>
      <c r="D25" s="487">
        <f>SUM(D23:D24)</f>
        <v>4634</v>
      </c>
      <c r="E25" s="487">
        <f>SUM(E23:E24)</f>
        <v>4035</v>
      </c>
      <c r="F25" s="16">
        <f t="shared" si="0"/>
        <v>0.87073802330599914</v>
      </c>
      <c r="G25" s="487">
        <f>SUM(G23:G24)</f>
        <v>28046</v>
      </c>
      <c r="H25" s="487">
        <f>SUM(H23:H24)</f>
        <v>24735</v>
      </c>
      <c r="I25" s="16">
        <f t="shared" si="1"/>
        <v>0.88194394922627117</v>
      </c>
      <c r="J25" s="553"/>
      <c r="K25" s="553"/>
      <c r="L25" s="553"/>
      <c r="M25" s="554"/>
    </row>
    <row r="26" spans="1:13" s="8" customFormat="1" ht="14.25" customHeight="1" thickBot="1">
      <c r="A26" s="549"/>
      <c r="B26" s="556" t="s">
        <v>30</v>
      </c>
      <c r="C26" s="556"/>
      <c r="D26" s="489">
        <f>SUM(D22,D25)</f>
        <v>18770</v>
      </c>
      <c r="E26" s="489">
        <f>SUM(E22,E25)</f>
        <v>15378</v>
      </c>
      <c r="F26" s="17">
        <f t="shared" si="0"/>
        <v>0.81928609483217896</v>
      </c>
      <c r="G26" s="489">
        <f>SUM(G22,G25)</f>
        <v>112116</v>
      </c>
      <c r="H26" s="489">
        <f>SUM(H22,H25)</f>
        <v>93313</v>
      </c>
      <c r="I26" s="17">
        <f t="shared" si="1"/>
        <v>0.83228977130828785</v>
      </c>
      <c r="J26" s="556"/>
      <c r="K26" s="556"/>
      <c r="L26" s="556"/>
      <c r="M26" s="557"/>
    </row>
    <row r="27" spans="1:13">
      <c r="A27" s="558" t="s">
        <v>33</v>
      </c>
      <c r="B27" s="559"/>
      <c r="C27" s="559"/>
      <c r="D27" s="559"/>
      <c r="E27" s="559"/>
      <c r="F27" s="559"/>
      <c r="G27" s="559"/>
      <c r="H27" s="559"/>
      <c r="I27" s="559"/>
      <c r="J27" s="559"/>
      <c r="K27" s="559"/>
      <c r="L27" s="559"/>
      <c r="M27" s="560"/>
    </row>
    <row r="28" spans="1:13" ht="12.75" customHeight="1">
      <c r="A28" s="561" t="s">
        <v>34</v>
      </c>
      <c r="B28" s="564" t="s">
        <v>35</v>
      </c>
      <c r="C28" s="128" t="s">
        <v>29</v>
      </c>
      <c r="D28" s="61">
        <v>200</v>
      </c>
      <c r="E28" s="490">
        <v>613</v>
      </c>
      <c r="F28" s="14">
        <f>E28/D28</f>
        <v>3.0649999999999999</v>
      </c>
      <c r="G28" s="479">
        <f>D28+'2017MAY'!G28</f>
        <v>1200</v>
      </c>
      <c r="H28" s="479">
        <f>E28+'2017MAY'!H28</f>
        <v>5821</v>
      </c>
      <c r="I28" s="14">
        <f>H28/G28</f>
        <v>4.8508333333333331</v>
      </c>
      <c r="J28" s="525"/>
      <c r="K28" s="525"/>
      <c r="L28" s="525"/>
      <c r="M28" s="552"/>
    </row>
    <row r="29" spans="1:13">
      <c r="A29" s="562"/>
      <c r="B29" s="565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525"/>
      <c r="K29" s="525"/>
      <c r="L29" s="525"/>
      <c r="M29" s="552"/>
    </row>
    <row r="30" spans="1:13">
      <c r="A30" s="562"/>
      <c r="B30" s="566"/>
      <c r="C30" s="15" t="s">
        <v>30</v>
      </c>
      <c r="D30" s="487">
        <f>SUM(D28:D29)</f>
        <v>200</v>
      </c>
      <c r="E30" s="487">
        <f>SUM(E28:E29)</f>
        <v>613</v>
      </c>
      <c r="F30" s="14">
        <f t="shared" si="2"/>
        <v>3.0649999999999999</v>
      </c>
      <c r="G30" s="487">
        <f>SUM(G28:G29)</f>
        <v>1200</v>
      </c>
      <c r="H30" s="487">
        <f>SUM(H28:H29)</f>
        <v>5821</v>
      </c>
      <c r="I30" s="14">
        <f t="shared" si="3"/>
        <v>4.8508333333333331</v>
      </c>
      <c r="J30" s="553"/>
      <c r="K30" s="553"/>
      <c r="L30" s="553"/>
      <c r="M30" s="554"/>
    </row>
    <row r="31" spans="1:13" ht="12.75" customHeight="1">
      <c r="A31" s="562"/>
      <c r="B31" s="567" t="s">
        <v>36</v>
      </c>
      <c r="C31" s="568"/>
      <c r="D31" s="61">
        <v>3700</v>
      </c>
      <c r="E31" s="490">
        <v>2750</v>
      </c>
      <c r="F31" s="14">
        <f t="shared" si="2"/>
        <v>0.7432432432432432</v>
      </c>
      <c r="G31" s="479">
        <f>D31+'2017MAY'!G31</f>
        <v>14700</v>
      </c>
      <c r="H31" s="479">
        <f>E31+'2017MAY'!H31</f>
        <v>22997</v>
      </c>
      <c r="I31" s="14">
        <f t="shared" si="3"/>
        <v>1.5644217687074831</v>
      </c>
      <c r="J31" s="525"/>
      <c r="K31" s="525"/>
      <c r="L31" s="525"/>
      <c r="M31" s="552"/>
    </row>
    <row r="32" spans="1:13" s="8" customFormat="1">
      <c r="A32" s="563"/>
      <c r="B32" s="534" t="s">
        <v>30</v>
      </c>
      <c r="C32" s="534"/>
      <c r="D32" s="485">
        <f>SUM(D30,D31)</f>
        <v>3900</v>
      </c>
      <c r="E32" s="485">
        <f>SUM(E30,E31)</f>
        <v>3363</v>
      </c>
      <c r="F32" s="14">
        <f t="shared" si="2"/>
        <v>0.86230769230769233</v>
      </c>
      <c r="G32" s="485">
        <f>SUM(G30,G31)</f>
        <v>15900</v>
      </c>
      <c r="H32" s="485">
        <f>SUM(H30,H31)</f>
        <v>28818</v>
      </c>
      <c r="I32" s="14">
        <f t="shared" si="3"/>
        <v>1.8124528301886793</v>
      </c>
      <c r="J32" s="534"/>
      <c r="K32" s="534"/>
      <c r="L32" s="534"/>
      <c r="M32" s="543"/>
    </row>
    <row r="33" spans="1:13">
      <c r="A33" s="573" t="s">
        <v>37</v>
      </c>
      <c r="B33" s="555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D33+'2017MAY'!G33</f>
        <v>210000</v>
      </c>
      <c r="H33" s="479">
        <f>E33+'2017MAY'!H33</f>
        <v>0</v>
      </c>
      <c r="I33" s="14">
        <f t="shared" si="3"/>
        <v>0</v>
      </c>
      <c r="J33" s="525"/>
      <c r="K33" s="525"/>
      <c r="L33" s="525"/>
      <c r="M33" s="552"/>
    </row>
    <row r="34" spans="1:13">
      <c r="A34" s="573"/>
      <c r="B34" s="555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525"/>
      <c r="K34" s="525"/>
      <c r="L34" s="525"/>
      <c r="M34" s="552"/>
    </row>
    <row r="35" spans="1:13">
      <c r="A35" s="573"/>
      <c r="B35" s="555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210000</v>
      </c>
      <c r="H35" s="487">
        <f>SUM(H33:H34)</f>
        <v>0</v>
      </c>
      <c r="I35" s="16">
        <f t="shared" si="3"/>
        <v>0</v>
      </c>
      <c r="J35" s="553"/>
      <c r="K35" s="553"/>
      <c r="L35" s="553"/>
      <c r="M35" s="554"/>
    </row>
    <row r="36" spans="1:13" ht="12" customHeight="1">
      <c r="A36" s="573"/>
      <c r="B36" s="574" t="s">
        <v>41</v>
      </c>
      <c r="C36" s="128" t="s">
        <v>270</v>
      </c>
      <c r="D36" s="479">
        <v>2222</v>
      </c>
      <c r="E36" s="479"/>
      <c r="F36" s="14">
        <f t="shared" si="2"/>
        <v>0</v>
      </c>
      <c r="G36" s="479">
        <f>D36+'2017MAY'!G36</f>
        <v>6666</v>
      </c>
      <c r="H36" s="479"/>
      <c r="I36" s="14">
        <f t="shared" si="3"/>
        <v>0</v>
      </c>
      <c r="J36" s="525"/>
      <c r="K36" s="525"/>
      <c r="L36" s="525"/>
      <c r="M36" s="552"/>
    </row>
    <row r="37" spans="1:13" ht="12" customHeight="1">
      <c r="A37" s="573"/>
      <c r="B37" s="574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525"/>
      <c r="K37" s="525"/>
      <c r="L37" s="525"/>
      <c r="M37" s="552"/>
    </row>
    <row r="38" spans="1:13" ht="12" customHeight="1">
      <c r="A38" s="573"/>
      <c r="B38" s="574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6666</v>
      </c>
      <c r="H38" s="487">
        <f>SUM(H36:H37)</f>
        <v>0</v>
      </c>
      <c r="I38" s="16">
        <f t="shared" si="3"/>
        <v>0</v>
      </c>
      <c r="J38" s="553"/>
      <c r="K38" s="553"/>
      <c r="L38" s="553"/>
      <c r="M38" s="554"/>
    </row>
    <row r="39" spans="1:13" s="8" customFormat="1" ht="12" customHeight="1">
      <c r="A39" s="573"/>
      <c r="B39" s="534" t="s">
        <v>30</v>
      </c>
      <c r="C39" s="534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216666</v>
      </c>
      <c r="H39" s="485">
        <f>SUM(H35,H38)</f>
        <v>0</v>
      </c>
      <c r="I39" s="19">
        <f t="shared" si="3"/>
        <v>0</v>
      </c>
      <c r="J39" s="534"/>
      <c r="K39" s="534"/>
      <c r="L39" s="534"/>
      <c r="M39" s="543"/>
    </row>
    <row r="40" spans="1:13" s="8" customFormat="1">
      <c r="A40" s="569" t="s">
        <v>42</v>
      </c>
      <c r="B40" s="570"/>
      <c r="C40" s="570"/>
      <c r="D40" s="483">
        <v>300</v>
      </c>
      <c r="E40" s="510">
        <v>1241</v>
      </c>
      <c r="F40" s="21">
        <f t="shared" si="2"/>
        <v>4.1366666666666667</v>
      </c>
      <c r="G40" s="483">
        <f>D40+'2017MAY'!G40</f>
        <v>1800</v>
      </c>
      <c r="H40" s="483">
        <f>E40+'2017MAY'!H40</f>
        <v>5383</v>
      </c>
      <c r="I40" s="21">
        <f t="shared" si="3"/>
        <v>2.9905555555555554</v>
      </c>
      <c r="J40" s="570"/>
      <c r="K40" s="570"/>
      <c r="L40" s="570"/>
      <c r="M40" s="571"/>
    </row>
    <row r="41" spans="1:13" s="8" customFormat="1">
      <c r="A41" s="569" t="s">
        <v>43</v>
      </c>
      <c r="B41" s="570"/>
      <c r="C41" s="570"/>
      <c r="D41" s="483">
        <v>3750</v>
      </c>
      <c r="E41" s="483">
        <v>0</v>
      </c>
      <c r="F41" s="21">
        <f t="shared" si="2"/>
        <v>0</v>
      </c>
      <c r="G41" s="483">
        <f>D41+'2017MAY'!G41</f>
        <v>18000</v>
      </c>
      <c r="H41" s="483">
        <f>E41+'2017MAY'!H41</f>
        <v>0</v>
      </c>
      <c r="I41" s="21">
        <f t="shared" si="3"/>
        <v>0</v>
      </c>
      <c r="J41" s="572" t="s">
        <v>44</v>
      </c>
      <c r="K41" s="570"/>
      <c r="L41" s="570"/>
      <c r="M41" s="571"/>
    </row>
    <row r="42" spans="1:13" s="8" customFormat="1">
      <c r="A42" s="569" t="s">
        <v>45</v>
      </c>
      <c r="B42" s="570"/>
      <c r="C42" s="570"/>
      <c r="D42" s="483">
        <v>17000</v>
      </c>
      <c r="E42" s="20">
        <v>0</v>
      </c>
      <c r="F42" s="21">
        <f t="shared" si="2"/>
        <v>0</v>
      </c>
      <c r="G42" s="483">
        <f>D42+'2017MAY'!G42</f>
        <v>102000</v>
      </c>
      <c r="H42" s="483">
        <f>E42+'2017MAY'!H42</f>
        <v>102000</v>
      </c>
      <c r="I42" s="21">
        <f t="shared" si="3"/>
        <v>1</v>
      </c>
      <c r="J42" s="570"/>
      <c r="K42" s="570"/>
      <c r="L42" s="570"/>
      <c r="M42" s="571"/>
    </row>
    <row r="43" spans="1:13" s="8" customFormat="1">
      <c r="A43" s="587" t="s">
        <v>46</v>
      </c>
      <c r="B43" s="588"/>
      <c r="C43" s="589"/>
      <c r="D43" s="484">
        <f>SUM(D26,D32,D39,D40:D42)</f>
        <v>80942</v>
      </c>
      <c r="E43" s="484">
        <f>SUM(E26,E32,E39,E40:E42)</f>
        <v>19982</v>
      </c>
      <c r="F43" s="22">
        <f t="shared" si="2"/>
        <v>0.24686812779521139</v>
      </c>
      <c r="G43" s="484">
        <f>SUM(G26,G32,G39,G40:G42)</f>
        <v>466482</v>
      </c>
      <c r="H43" s="484">
        <f>SUM(H26,H32,H39,H40:H42)</f>
        <v>229514</v>
      </c>
      <c r="I43" s="22">
        <f t="shared" si="3"/>
        <v>0.49201040983360561</v>
      </c>
      <c r="J43" s="590" t="s">
        <v>15</v>
      </c>
      <c r="K43" s="591"/>
      <c r="L43" s="591"/>
      <c r="M43" s="592"/>
    </row>
    <row r="44" spans="1:13" s="8" customFormat="1">
      <c r="A44" s="587" t="s">
        <v>47</v>
      </c>
      <c r="B44" s="588"/>
      <c r="C44" s="589"/>
      <c r="D44" s="484">
        <f>D43-D40</f>
        <v>80642</v>
      </c>
      <c r="E44" s="484">
        <f>E43-E40</f>
        <v>18741</v>
      </c>
      <c r="F44" s="22">
        <f t="shared" si="2"/>
        <v>0.23239750998239131</v>
      </c>
      <c r="G44" s="484">
        <f>G43-G40</f>
        <v>464682</v>
      </c>
      <c r="H44" s="484">
        <f>H43-H40</f>
        <v>224131</v>
      </c>
      <c r="I44" s="22">
        <f t="shared" si="3"/>
        <v>0.48233200339156673</v>
      </c>
      <c r="J44" s="590" t="s">
        <v>15</v>
      </c>
      <c r="K44" s="591"/>
      <c r="L44" s="591"/>
      <c r="M44" s="592"/>
    </row>
    <row r="45" spans="1:13" s="8" customFormat="1" ht="14" thickBot="1">
      <c r="A45" s="575" t="s">
        <v>48</v>
      </c>
      <c r="B45" s="576"/>
      <c r="C45" s="577"/>
      <c r="D45" s="482">
        <f>D44-D42</f>
        <v>63642</v>
      </c>
      <c r="E45" s="482">
        <f>E44-E42</f>
        <v>18741</v>
      </c>
      <c r="F45" s="23">
        <f t="shared" si="2"/>
        <v>0.29447534646931273</v>
      </c>
      <c r="G45" s="482">
        <f>G44-G42</f>
        <v>362682</v>
      </c>
      <c r="H45" s="482">
        <f>H44-H42</f>
        <v>122131</v>
      </c>
      <c r="I45" s="23">
        <f t="shared" si="3"/>
        <v>0.33674403471912034</v>
      </c>
      <c r="J45" s="578" t="s">
        <v>15</v>
      </c>
      <c r="K45" s="579"/>
      <c r="L45" s="579"/>
      <c r="M45" s="580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581" t="s">
        <v>50</v>
      </c>
      <c r="B49" s="582"/>
      <c r="C49" s="582"/>
      <c r="D49" s="582" t="s">
        <v>20</v>
      </c>
      <c r="E49" s="582"/>
      <c r="F49" s="582"/>
      <c r="G49" s="582" t="s">
        <v>21</v>
      </c>
      <c r="H49" s="582"/>
      <c r="I49" s="582"/>
      <c r="J49" s="582" t="s">
        <v>10</v>
      </c>
      <c r="K49" s="582"/>
      <c r="L49" s="582"/>
      <c r="M49" s="585"/>
    </row>
    <row r="50" spans="1:13">
      <c r="A50" s="583"/>
      <c r="B50" s="584"/>
      <c r="C50" s="584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584"/>
      <c r="K50" s="584"/>
      <c r="L50" s="584"/>
      <c r="M50" s="586"/>
    </row>
    <row r="51" spans="1:13" ht="13.5" customHeight="1">
      <c r="A51" s="593" t="s">
        <v>51</v>
      </c>
      <c r="B51" s="525" t="s">
        <v>29</v>
      </c>
      <c r="C51" s="27" t="s">
        <v>52</v>
      </c>
      <c r="D51" s="61">
        <v>5</v>
      </c>
      <c r="E51" s="490">
        <v>12</v>
      </c>
      <c r="F51" s="28">
        <f t="shared" ref="F51:F77" si="4">E51/D51</f>
        <v>2.4</v>
      </c>
      <c r="G51" s="479">
        <f>D51+'2017MAY'!G51</f>
        <v>30</v>
      </c>
      <c r="H51" s="479">
        <f>E51+'2017MAY'!H51</f>
        <v>25</v>
      </c>
      <c r="I51" s="28">
        <f t="shared" ref="I51:I77" si="5">H51/G51</f>
        <v>0.83333333333333337</v>
      </c>
      <c r="J51" s="596"/>
      <c r="K51" s="597"/>
      <c r="L51" s="597"/>
      <c r="M51" s="598"/>
    </row>
    <row r="52" spans="1:13">
      <c r="A52" s="594"/>
      <c r="B52" s="525"/>
      <c r="C52" s="27" t="s">
        <v>53</v>
      </c>
      <c r="D52" s="61">
        <v>404</v>
      </c>
      <c r="E52" s="490">
        <v>391</v>
      </c>
      <c r="F52" s="28">
        <f t="shared" si="4"/>
        <v>0.96782178217821779</v>
      </c>
      <c r="G52" s="479">
        <f>D52+'2017MAY'!G52</f>
        <v>2471</v>
      </c>
      <c r="H52" s="479">
        <f>E52+'2017MAY'!H52</f>
        <v>2390</v>
      </c>
      <c r="I52" s="28">
        <f t="shared" si="5"/>
        <v>0.96721974908943742</v>
      </c>
      <c r="J52" s="596"/>
      <c r="K52" s="597"/>
      <c r="L52" s="597"/>
      <c r="M52" s="598"/>
    </row>
    <row r="53" spans="1:13">
      <c r="A53" s="595"/>
      <c r="B53" s="525"/>
      <c r="C53" s="29" t="s">
        <v>54</v>
      </c>
      <c r="D53" s="487">
        <f>SUM(D51:D52)</f>
        <v>409</v>
      </c>
      <c r="E53" s="487">
        <f>SUM(E51:E52)</f>
        <v>403</v>
      </c>
      <c r="F53" s="30">
        <f t="shared" si="4"/>
        <v>0.9853300733496333</v>
      </c>
      <c r="G53" s="487">
        <f>SUM(G51:G52)</f>
        <v>2501</v>
      </c>
      <c r="H53" s="487">
        <f>SUM(H51:H52)</f>
        <v>2415</v>
      </c>
      <c r="I53" s="30">
        <f t="shared" si="5"/>
        <v>0.96561375449820075</v>
      </c>
      <c r="J53" s="599"/>
      <c r="K53" s="600"/>
      <c r="L53" s="600"/>
      <c r="M53" s="601"/>
    </row>
    <row r="54" spans="1:13">
      <c r="A54" s="602" t="s">
        <v>55</v>
      </c>
      <c r="B54" s="525" t="s">
        <v>52</v>
      </c>
      <c r="C54" s="525"/>
      <c r="D54" s="61">
        <v>2</v>
      </c>
      <c r="E54" s="490">
        <v>0</v>
      </c>
      <c r="F54" s="28">
        <f t="shared" si="4"/>
        <v>0</v>
      </c>
      <c r="G54" s="479">
        <f>D54+'2017MAY'!G54</f>
        <v>12</v>
      </c>
      <c r="H54" s="479">
        <f>E54+'2017MAY'!H54</f>
        <v>3</v>
      </c>
      <c r="I54" s="28">
        <f t="shared" si="5"/>
        <v>0.25</v>
      </c>
      <c r="J54" s="596"/>
      <c r="K54" s="597"/>
      <c r="L54" s="597"/>
      <c r="M54" s="598"/>
    </row>
    <row r="55" spans="1:13">
      <c r="A55" s="602"/>
      <c r="B55" s="525" t="s">
        <v>53</v>
      </c>
      <c r="C55" s="525"/>
      <c r="D55" s="61">
        <v>301</v>
      </c>
      <c r="E55" s="490">
        <v>343</v>
      </c>
      <c r="F55" s="28">
        <f t="shared" si="4"/>
        <v>1.1395348837209303</v>
      </c>
      <c r="G55" s="479">
        <f>D55+'2017MAY'!G55</f>
        <v>1842</v>
      </c>
      <c r="H55" s="479">
        <f>E55+'2017MAY'!H55</f>
        <v>2110</v>
      </c>
      <c r="I55" s="28">
        <f t="shared" si="5"/>
        <v>1.1454940282301846</v>
      </c>
      <c r="J55" s="596"/>
      <c r="K55" s="597"/>
      <c r="L55" s="597"/>
      <c r="M55" s="598"/>
    </row>
    <row r="56" spans="1:13">
      <c r="A56" s="602"/>
      <c r="B56" s="603" t="s">
        <v>30</v>
      </c>
      <c r="C56" s="603"/>
      <c r="D56" s="474">
        <f>SUM(D54:D55)</f>
        <v>303</v>
      </c>
      <c r="E56" s="474">
        <f>SUM(E54:E55)</f>
        <v>343</v>
      </c>
      <c r="F56" s="28">
        <f t="shared" si="4"/>
        <v>1.1320132013201321</v>
      </c>
      <c r="G56" s="474">
        <f>SUM(G54:G55)</f>
        <v>1854</v>
      </c>
      <c r="H56" s="474">
        <f>SUM(H54:H55)</f>
        <v>2113</v>
      </c>
      <c r="I56" s="31">
        <f t="shared" si="5"/>
        <v>1.1396979503775619</v>
      </c>
      <c r="J56" s="604"/>
      <c r="K56" s="605"/>
      <c r="L56" s="605"/>
      <c r="M56" s="606"/>
    </row>
    <row r="57" spans="1:13" s="8" customFormat="1">
      <c r="A57" s="607" t="s">
        <v>46</v>
      </c>
      <c r="B57" s="609" t="s">
        <v>52</v>
      </c>
      <c r="C57" s="609"/>
      <c r="D57" s="473">
        <f>SUM(D51,D54)</f>
        <v>7</v>
      </c>
      <c r="E57" s="473">
        <f>SUM(E51,E54)</f>
        <v>12</v>
      </c>
      <c r="F57" s="32">
        <f t="shared" si="4"/>
        <v>1.7142857142857142</v>
      </c>
      <c r="G57" s="473">
        <f>SUM(G51,G54)</f>
        <v>42</v>
      </c>
      <c r="H57" s="473">
        <f>SUM(H51,H54)</f>
        <v>28</v>
      </c>
      <c r="I57" s="32">
        <f t="shared" si="5"/>
        <v>0.66666666666666663</v>
      </c>
      <c r="J57" s="610"/>
      <c r="K57" s="611"/>
      <c r="L57" s="611"/>
      <c r="M57" s="612"/>
    </row>
    <row r="58" spans="1:13" s="8" customFormat="1">
      <c r="A58" s="607"/>
      <c r="B58" s="609" t="s">
        <v>53</v>
      </c>
      <c r="C58" s="609"/>
      <c r="D58" s="473">
        <f>SUM(D52,D55)</f>
        <v>705</v>
      </c>
      <c r="E58" s="473">
        <f>SUM(E52,E55)</f>
        <v>734</v>
      </c>
      <c r="F58" s="32">
        <f t="shared" si="4"/>
        <v>1.0411347517730496</v>
      </c>
      <c r="G58" s="473">
        <f>SUM(G52,G55)</f>
        <v>4313</v>
      </c>
      <c r="H58" s="473">
        <f>SUM(H52,H55)</f>
        <v>4500</v>
      </c>
      <c r="I58" s="32">
        <f t="shared" si="5"/>
        <v>1.0433572919081846</v>
      </c>
      <c r="J58" s="610"/>
      <c r="K58" s="611"/>
      <c r="L58" s="611"/>
      <c r="M58" s="612"/>
    </row>
    <row r="59" spans="1:13" s="8" customFormat="1" ht="17.25" customHeight="1" thickBot="1">
      <c r="A59" s="608"/>
      <c r="B59" s="613" t="s">
        <v>56</v>
      </c>
      <c r="C59" s="613"/>
      <c r="D59" s="481">
        <f>SUM(D57:D58)</f>
        <v>712</v>
      </c>
      <c r="E59" s="481">
        <f>SUM(E57:E58)</f>
        <v>746</v>
      </c>
      <c r="F59" s="33">
        <f t="shared" si="4"/>
        <v>1.047752808988764</v>
      </c>
      <c r="G59" s="481">
        <f>SUM(G57:G58)</f>
        <v>4355</v>
      </c>
      <c r="H59" s="481">
        <f>SUM(H57:H58)</f>
        <v>4528</v>
      </c>
      <c r="I59" s="33">
        <f t="shared" si="5"/>
        <v>1.0397244546498279</v>
      </c>
      <c r="J59" s="614"/>
      <c r="K59" s="615"/>
      <c r="L59" s="615"/>
      <c r="M59" s="616"/>
    </row>
    <row r="60" spans="1:13">
      <c r="A60" s="593" t="s">
        <v>57</v>
      </c>
      <c r="B60" s="525" t="s">
        <v>29</v>
      </c>
      <c r="C60" s="27" t="s">
        <v>52</v>
      </c>
      <c r="D60" s="61">
        <v>16</v>
      </c>
      <c r="E60" s="479">
        <f>E69/10</f>
        <v>41.7</v>
      </c>
      <c r="F60" s="28">
        <f t="shared" si="4"/>
        <v>2.6062500000000002</v>
      </c>
      <c r="G60" s="479">
        <f>D60+'2017MAY'!G60</f>
        <v>96</v>
      </c>
      <c r="H60" s="479">
        <f>E60+'2017MAY'!H60</f>
        <v>83</v>
      </c>
      <c r="I60" s="28">
        <f t="shared" si="5"/>
        <v>0.86458333333333337</v>
      </c>
      <c r="J60" s="596"/>
      <c r="K60" s="597"/>
      <c r="L60" s="597"/>
      <c r="M60" s="598"/>
    </row>
    <row r="61" spans="1:13">
      <c r="A61" s="594"/>
      <c r="B61" s="525"/>
      <c r="C61" s="27" t="s">
        <v>53</v>
      </c>
      <c r="D61" s="61">
        <v>1320</v>
      </c>
      <c r="E61" s="479">
        <f>E70/10</f>
        <v>1092.5999999999999</v>
      </c>
      <c r="F61" s="28">
        <f t="shared" si="4"/>
        <v>0.82772727272727264</v>
      </c>
      <c r="G61" s="479">
        <f>D61+'2017MAY'!G61</f>
        <v>8080</v>
      </c>
      <c r="H61" s="479">
        <f>E61+'2017MAY'!H61</f>
        <v>6774.8000000000011</v>
      </c>
      <c r="I61" s="28">
        <f t="shared" si="5"/>
        <v>0.83846534653465365</v>
      </c>
      <c r="J61" s="596"/>
      <c r="K61" s="597"/>
      <c r="L61" s="597"/>
      <c r="M61" s="598"/>
    </row>
    <row r="62" spans="1:13">
      <c r="A62" s="595"/>
      <c r="B62" s="525"/>
      <c r="C62" s="29" t="s">
        <v>54</v>
      </c>
      <c r="D62" s="61">
        <f>SUM(D60:D61)</f>
        <v>1336</v>
      </c>
      <c r="E62" s="487">
        <f>SUM(E60:E61)</f>
        <v>1134.3</v>
      </c>
      <c r="F62" s="30">
        <f t="shared" si="4"/>
        <v>0.8490269461077844</v>
      </c>
      <c r="G62" s="487">
        <f>SUM(G60:G61)</f>
        <v>8176</v>
      </c>
      <c r="H62" s="487">
        <f>SUM(H60:H61)</f>
        <v>6857.8000000000011</v>
      </c>
      <c r="I62" s="30">
        <f t="shared" si="5"/>
        <v>0.83877201565557746</v>
      </c>
      <c r="J62" s="599"/>
      <c r="K62" s="600"/>
      <c r="L62" s="600"/>
      <c r="M62" s="601"/>
    </row>
    <row r="63" spans="1:13">
      <c r="A63" s="602" t="s">
        <v>58</v>
      </c>
      <c r="B63" s="525" t="s">
        <v>52</v>
      </c>
      <c r="C63" s="525"/>
      <c r="D63" s="61">
        <v>2</v>
      </c>
      <c r="E63" s="479">
        <f>E72/10</f>
        <v>0</v>
      </c>
      <c r="F63" s="28">
        <f t="shared" si="4"/>
        <v>0</v>
      </c>
      <c r="G63" s="479">
        <f>D63+'2017MAY'!G63</f>
        <v>12</v>
      </c>
      <c r="H63" s="479">
        <f>E63+'2017MAY'!H63</f>
        <v>7.4</v>
      </c>
      <c r="I63" s="28">
        <f t="shared" si="5"/>
        <v>0.6166666666666667</v>
      </c>
      <c r="J63" s="596"/>
      <c r="K63" s="597"/>
      <c r="L63" s="597"/>
      <c r="M63" s="598"/>
    </row>
    <row r="64" spans="1:13">
      <c r="A64" s="602"/>
      <c r="B64" s="525" t="s">
        <v>53</v>
      </c>
      <c r="C64" s="525"/>
      <c r="D64" s="61">
        <v>451</v>
      </c>
      <c r="E64" s="479">
        <f>E73/10</f>
        <v>403.5</v>
      </c>
      <c r="F64" s="28">
        <f t="shared" si="4"/>
        <v>0.89467849223946783</v>
      </c>
      <c r="G64" s="479">
        <f>D64+'2017MAY'!G64</f>
        <v>2763</v>
      </c>
      <c r="H64" s="479">
        <f>E64+'2017MAY'!H64</f>
        <v>2466.1</v>
      </c>
      <c r="I64" s="28">
        <f t="shared" si="5"/>
        <v>0.89254433586681137</v>
      </c>
      <c r="J64" s="596"/>
      <c r="K64" s="597"/>
      <c r="L64" s="597"/>
      <c r="M64" s="598"/>
    </row>
    <row r="65" spans="1:14">
      <c r="A65" s="602"/>
      <c r="B65" s="603" t="s">
        <v>30</v>
      </c>
      <c r="C65" s="603"/>
      <c r="D65" s="474">
        <f>SUM(D63:D64)</f>
        <v>453</v>
      </c>
      <c r="E65" s="474">
        <f>SUM(E63:E64)</f>
        <v>403.5</v>
      </c>
      <c r="F65" s="31">
        <f t="shared" si="4"/>
        <v>0.89072847682119205</v>
      </c>
      <c r="G65" s="474">
        <f>SUM(G63:G64)</f>
        <v>2775</v>
      </c>
      <c r="H65" s="474">
        <f>SUM(H63:H64)</f>
        <v>2473.5</v>
      </c>
      <c r="I65" s="31">
        <f t="shared" si="5"/>
        <v>0.89135135135135135</v>
      </c>
      <c r="J65" s="604"/>
      <c r="K65" s="605"/>
      <c r="L65" s="605"/>
      <c r="M65" s="606"/>
    </row>
    <row r="66" spans="1:14" s="8" customFormat="1">
      <c r="A66" s="607" t="s">
        <v>46</v>
      </c>
      <c r="B66" s="609" t="s">
        <v>52</v>
      </c>
      <c r="C66" s="609"/>
      <c r="D66" s="473">
        <f>SUM(D60,D63)</f>
        <v>18</v>
      </c>
      <c r="E66" s="473">
        <f>SUM(E60,E63)</f>
        <v>41.7</v>
      </c>
      <c r="F66" s="32">
        <f t="shared" si="4"/>
        <v>2.3166666666666669</v>
      </c>
      <c r="G66" s="473">
        <f>SUM(G60,G63)</f>
        <v>108</v>
      </c>
      <c r="H66" s="473">
        <f>SUM(H60,H63)</f>
        <v>90.4</v>
      </c>
      <c r="I66" s="32">
        <f t="shared" si="5"/>
        <v>0.83703703703703713</v>
      </c>
      <c r="J66" s="610"/>
      <c r="K66" s="611"/>
      <c r="L66" s="611"/>
      <c r="M66" s="612"/>
    </row>
    <row r="67" spans="1:14" s="8" customFormat="1">
      <c r="A67" s="607"/>
      <c r="B67" s="609" t="s">
        <v>53</v>
      </c>
      <c r="C67" s="609"/>
      <c r="D67" s="473">
        <f>SUM(D61,D64)</f>
        <v>1771</v>
      </c>
      <c r="E67" s="473">
        <f>SUM(E61,E64)</f>
        <v>1496.1</v>
      </c>
      <c r="F67" s="32">
        <f t="shared" si="4"/>
        <v>0.84477696216826648</v>
      </c>
      <c r="G67" s="473">
        <f>SUM(G61,G64)</f>
        <v>10843</v>
      </c>
      <c r="H67" s="473">
        <f>SUM(H61,H64)</f>
        <v>9240.9000000000015</v>
      </c>
      <c r="I67" s="32">
        <f t="shared" si="5"/>
        <v>0.85224568846260274</v>
      </c>
      <c r="J67" s="610"/>
      <c r="K67" s="611"/>
      <c r="L67" s="611"/>
      <c r="M67" s="612"/>
    </row>
    <row r="68" spans="1:14" s="8" customFormat="1" ht="14" thickBot="1">
      <c r="A68" s="608"/>
      <c r="B68" s="613" t="s">
        <v>59</v>
      </c>
      <c r="C68" s="613"/>
      <c r="D68" s="481">
        <f>SUM(D66:D67)</f>
        <v>1789</v>
      </c>
      <c r="E68" s="481">
        <f>SUM(E66:E67)</f>
        <v>1537.8</v>
      </c>
      <c r="F68" s="34">
        <f t="shared" si="4"/>
        <v>0.85958636109558406</v>
      </c>
      <c r="G68" s="481">
        <f>SUM(G66:G67)</f>
        <v>10951</v>
      </c>
      <c r="H68" s="481">
        <f>SUM(H66:H67)</f>
        <v>9331.3000000000011</v>
      </c>
      <c r="I68" s="34">
        <f t="shared" si="5"/>
        <v>0.85209569902292037</v>
      </c>
      <c r="J68" s="614"/>
      <c r="K68" s="615"/>
      <c r="L68" s="615"/>
      <c r="M68" s="616"/>
    </row>
    <row r="69" spans="1:14">
      <c r="A69" s="593" t="s">
        <v>60</v>
      </c>
      <c r="B69" s="525" t="s">
        <v>29</v>
      </c>
      <c r="C69" s="27" t="s">
        <v>52</v>
      </c>
      <c r="D69" s="479">
        <v>930</v>
      </c>
      <c r="E69" s="490">
        <v>417</v>
      </c>
      <c r="F69" s="28">
        <f t="shared" si="4"/>
        <v>0.44838709677419353</v>
      </c>
      <c r="G69" s="479">
        <f>D69+'2017MAY'!G69</f>
        <v>3255</v>
      </c>
      <c r="H69" s="479">
        <f>E69+'2017MAY'!H69</f>
        <v>830</v>
      </c>
      <c r="I69" s="28">
        <f t="shared" si="5"/>
        <v>0.25499231950844853</v>
      </c>
      <c r="J69" s="596"/>
      <c r="K69" s="597"/>
      <c r="L69" s="597"/>
      <c r="M69" s="598"/>
    </row>
    <row r="70" spans="1:14">
      <c r="A70" s="594"/>
      <c r="B70" s="525"/>
      <c r="C70" s="27" t="s">
        <v>53</v>
      </c>
      <c r="D70" s="479">
        <v>13206</v>
      </c>
      <c r="E70" s="479">
        <f>E21-E69</f>
        <v>10926</v>
      </c>
      <c r="F70" s="28">
        <f t="shared" si="4"/>
        <v>0.82735120399818263</v>
      </c>
      <c r="G70" s="479">
        <f>D70+'2017MAY'!G70</f>
        <v>80815</v>
      </c>
      <c r="H70" s="479">
        <f>E70+'2017MAY'!H70</f>
        <v>67748</v>
      </c>
      <c r="I70" s="28">
        <f t="shared" si="5"/>
        <v>0.83830971973024815</v>
      </c>
      <c r="J70" s="596"/>
      <c r="K70" s="597"/>
      <c r="L70" s="597"/>
      <c r="M70" s="598"/>
    </row>
    <row r="71" spans="1:14">
      <c r="A71" s="595"/>
      <c r="B71" s="525"/>
      <c r="C71" s="29" t="s">
        <v>54</v>
      </c>
      <c r="D71" s="487">
        <f>SUM(D69:D70)</f>
        <v>14136</v>
      </c>
      <c r="E71" s="487">
        <f>SUM(E69:E70)</f>
        <v>11343</v>
      </c>
      <c r="F71" s="30">
        <f t="shared" si="4"/>
        <v>0.80241935483870963</v>
      </c>
      <c r="G71" s="487">
        <f>SUM(G69:G70)</f>
        <v>84070</v>
      </c>
      <c r="H71" s="487">
        <f>SUM(H69:H70)</f>
        <v>68578</v>
      </c>
      <c r="I71" s="30">
        <f t="shared" si="5"/>
        <v>0.81572499107886287</v>
      </c>
      <c r="J71" s="599"/>
      <c r="K71" s="600"/>
      <c r="L71" s="600"/>
      <c r="M71" s="601"/>
    </row>
    <row r="72" spans="1:14">
      <c r="A72" s="602" t="s">
        <v>61</v>
      </c>
      <c r="B72" s="525" t="s">
        <v>52</v>
      </c>
      <c r="C72" s="525"/>
      <c r="D72" s="479">
        <v>120</v>
      </c>
      <c r="E72" s="490">
        <v>0</v>
      </c>
      <c r="F72" s="28">
        <f t="shared" si="4"/>
        <v>0</v>
      </c>
      <c r="G72" s="479">
        <f>D72+'2017MAY'!G72</f>
        <v>420</v>
      </c>
      <c r="H72" s="479">
        <f>E72+'2017MAY'!H72</f>
        <v>74</v>
      </c>
      <c r="I72" s="28">
        <f t="shared" si="5"/>
        <v>0.1761904761904762</v>
      </c>
      <c r="J72" s="596"/>
      <c r="K72" s="597"/>
      <c r="L72" s="597"/>
      <c r="M72" s="598"/>
    </row>
    <row r="73" spans="1:14">
      <c r="A73" s="602"/>
      <c r="B73" s="525" t="s">
        <v>53</v>
      </c>
      <c r="C73" s="525"/>
      <c r="D73" s="479">
        <v>4514</v>
      </c>
      <c r="E73" s="479">
        <f>E23-E72</f>
        <v>4035</v>
      </c>
      <c r="F73" s="28">
        <f t="shared" si="4"/>
        <v>0.89388568896765619</v>
      </c>
      <c r="G73" s="479">
        <f>D73+'2017MAY'!G73</f>
        <v>27626</v>
      </c>
      <c r="H73" s="479">
        <f>E73+'2017MAY'!H73</f>
        <v>24661</v>
      </c>
      <c r="I73" s="28">
        <f t="shared" si="5"/>
        <v>0.89267356837761525</v>
      </c>
      <c r="J73" s="596"/>
      <c r="K73" s="597"/>
      <c r="L73" s="597"/>
      <c r="M73" s="598"/>
    </row>
    <row r="74" spans="1:14">
      <c r="A74" s="602"/>
      <c r="B74" s="603" t="s">
        <v>30</v>
      </c>
      <c r="C74" s="603"/>
      <c r="D74" s="474">
        <f>SUM(D72:D73)</f>
        <v>4634</v>
      </c>
      <c r="E74" s="474">
        <f>SUM(E72:E73)</f>
        <v>4035</v>
      </c>
      <c r="F74" s="31">
        <f t="shared" si="4"/>
        <v>0.87073802330599914</v>
      </c>
      <c r="G74" s="474">
        <f>SUM(G72:G73)</f>
        <v>28046</v>
      </c>
      <c r="H74" s="474">
        <f>SUM(H72:H73)</f>
        <v>24735</v>
      </c>
      <c r="I74" s="31">
        <f t="shared" si="5"/>
        <v>0.88194394922627117</v>
      </c>
      <c r="J74" s="604"/>
      <c r="K74" s="605"/>
      <c r="L74" s="605"/>
      <c r="M74" s="606"/>
    </row>
    <row r="75" spans="1:14" s="8" customFormat="1">
      <c r="A75" s="607" t="s">
        <v>46</v>
      </c>
      <c r="B75" s="609" t="s">
        <v>52</v>
      </c>
      <c r="C75" s="609"/>
      <c r="D75" s="473">
        <f>SUM(D69,D72)</f>
        <v>1050</v>
      </c>
      <c r="E75" s="473">
        <f>SUM(E69,E72)</f>
        <v>417</v>
      </c>
      <c r="F75" s="32">
        <f t="shared" si="4"/>
        <v>0.39714285714285713</v>
      </c>
      <c r="G75" s="473">
        <f>SUM(G69,G72)</f>
        <v>3675</v>
      </c>
      <c r="H75" s="473">
        <f>SUM(H69,H72)</f>
        <v>904</v>
      </c>
      <c r="I75" s="32">
        <f t="shared" si="5"/>
        <v>0.24598639455782312</v>
      </c>
      <c r="J75" s="610"/>
      <c r="K75" s="611"/>
      <c r="L75" s="611"/>
      <c r="M75" s="612"/>
    </row>
    <row r="76" spans="1:14" s="8" customFormat="1">
      <c r="A76" s="607"/>
      <c r="B76" s="609" t="s">
        <v>53</v>
      </c>
      <c r="C76" s="609"/>
      <c r="D76" s="473">
        <f>SUM(D70,D73)</f>
        <v>17720</v>
      </c>
      <c r="E76" s="473">
        <f>SUM(E70,E73)</f>
        <v>14961</v>
      </c>
      <c r="F76" s="32">
        <f t="shared" si="4"/>
        <v>0.84430022573363428</v>
      </c>
      <c r="G76" s="473">
        <f>SUM(G70,G73)</f>
        <v>108441</v>
      </c>
      <c r="H76" s="473">
        <f>SUM(H70,H73)</f>
        <v>92409</v>
      </c>
      <c r="I76" s="32">
        <f t="shared" si="5"/>
        <v>0.85215923866434284</v>
      </c>
      <c r="J76" s="610"/>
      <c r="K76" s="611"/>
      <c r="L76" s="611"/>
      <c r="M76" s="612"/>
    </row>
    <row r="77" spans="1:14" s="8" customFormat="1" ht="14" thickBot="1">
      <c r="A77" s="608"/>
      <c r="B77" s="613" t="s">
        <v>62</v>
      </c>
      <c r="C77" s="613"/>
      <c r="D77" s="481">
        <f>SUM(D75:D76)</f>
        <v>18770</v>
      </c>
      <c r="E77" s="481">
        <f>SUM(E75:E76)</f>
        <v>15378</v>
      </c>
      <c r="F77" s="34">
        <f t="shared" si="4"/>
        <v>0.81928609483217896</v>
      </c>
      <c r="G77" s="481">
        <f>SUM(G75:G76)</f>
        <v>112116</v>
      </c>
      <c r="H77" s="481">
        <f>SUM(H75:H76)</f>
        <v>93313</v>
      </c>
      <c r="I77" s="34">
        <f t="shared" si="5"/>
        <v>0.83228977130828785</v>
      </c>
      <c r="J77" s="614"/>
      <c r="K77" s="615"/>
      <c r="L77" s="615"/>
      <c r="M77" s="616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581" t="s">
        <v>65</v>
      </c>
      <c r="B82" s="582" t="s">
        <v>66</v>
      </c>
      <c r="C82" s="582" t="s">
        <v>50</v>
      </c>
      <c r="D82" s="582" t="s">
        <v>20</v>
      </c>
      <c r="E82" s="582"/>
      <c r="F82" s="582"/>
      <c r="G82" s="582" t="s">
        <v>21</v>
      </c>
      <c r="H82" s="582"/>
      <c r="I82" s="582"/>
      <c r="J82" s="582" t="s">
        <v>10</v>
      </c>
      <c r="K82" s="582"/>
      <c r="L82" s="582"/>
      <c r="M82" s="585"/>
    </row>
    <row r="83" spans="1:13">
      <c r="A83" s="583"/>
      <c r="B83" s="584"/>
      <c r="C83" s="584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584"/>
      <c r="K83" s="584"/>
      <c r="L83" s="584"/>
      <c r="M83" s="586"/>
    </row>
    <row r="84" spans="1:13">
      <c r="A84" s="573" t="s">
        <v>67</v>
      </c>
      <c r="B84" s="525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D84+'2017MAY'!G84</f>
        <v>2</v>
      </c>
      <c r="H84" s="479">
        <f>E84+'2017MAY'!H84</f>
        <v>0</v>
      </c>
      <c r="I84" s="498">
        <f>H84/G84</f>
        <v>0</v>
      </c>
      <c r="J84" s="596"/>
      <c r="K84" s="597"/>
      <c r="L84" s="597"/>
      <c r="M84" s="598"/>
    </row>
    <row r="85" spans="1:13">
      <c r="A85" s="573"/>
      <c r="B85" s="525"/>
      <c r="C85" s="27" t="s">
        <v>70</v>
      </c>
      <c r="D85" s="479">
        <v>85</v>
      </c>
      <c r="E85" s="490">
        <v>64.5</v>
      </c>
      <c r="F85" s="28">
        <f t="shared" ref="F85:F98" si="6">E85/D85</f>
        <v>0.75882352941176467</v>
      </c>
      <c r="G85" s="479">
        <f>D85+'2017MAY'!G85</f>
        <v>508</v>
      </c>
      <c r="H85" s="479">
        <f>E85+'2017MAY'!H85</f>
        <v>402</v>
      </c>
      <c r="I85" s="28">
        <f t="shared" ref="I85:I98" si="7">H85/G85</f>
        <v>0.79133858267716539</v>
      </c>
      <c r="J85" s="596"/>
      <c r="K85" s="597"/>
      <c r="L85" s="597"/>
      <c r="M85" s="598"/>
    </row>
    <row r="86" spans="1:13">
      <c r="A86" s="573"/>
      <c r="B86" s="525"/>
      <c r="C86" s="38" t="s">
        <v>71</v>
      </c>
      <c r="D86" s="487">
        <f>SUM(D84:D85)</f>
        <v>85</v>
      </c>
      <c r="E86" s="487">
        <f>SUM(E84:E85)</f>
        <v>64.5</v>
      </c>
      <c r="F86" s="30">
        <f t="shared" si="6"/>
        <v>0.75882352941176467</v>
      </c>
      <c r="G86" s="487">
        <f>SUM(G84:G85)</f>
        <v>510</v>
      </c>
      <c r="H86" s="487">
        <f>SUM(H84:H85)</f>
        <v>402</v>
      </c>
      <c r="I86" s="30">
        <f t="shared" si="7"/>
        <v>0.78823529411764703</v>
      </c>
      <c r="J86" s="599"/>
      <c r="K86" s="600"/>
      <c r="L86" s="600"/>
      <c r="M86" s="601"/>
    </row>
    <row r="87" spans="1:13">
      <c r="A87" s="573"/>
      <c r="B87" s="525" t="s">
        <v>72</v>
      </c>
      <c r="C87" s="27" t="s">
        <v>69</v>
      </c>
      <c r="D87" s="479">
        <v>0</v>
      </c>
      <c r="E87" s="490">
        <v>0</v>
      </c>
      <c r="F87" s="28" t="e">
        <f t="shared" si="6"/>
        <v>#DIV/0!</v>
      </c>
      <c r="G87" s="479">
        <f>D87+'2017MAY'!G87</f>
        <v>1</v>
      </c>
      <c r="H87" s="479">
        <f>E87+'2017MAY'!H87</f>
        <v>0</v>
      </c>
      <c r="I87" s="28">
        <f t="shared" si="7"/>
        <v>0</v>
      </c>
      <c r="J87" s="596"/>
      <c r="K87" s="597"/>
      <c r="L87" s="597"/>
      <c r="M87" s="598"/>
    </row>
    <row r="88" spans="1:13">
      <c r="A88" s="573"/>
      <c r="B88" s="525"/>
      <c r="C88" s="27" t="s">
        <v>70</v>
      </c>
      <c r="D88" s="479">
        <v>20</v>
      </c>
      <c r="E88" s="490">
        <v>16.5</v>
      </c>
      <c r="F88" s="28">
        <f t="shared" si="6"/>
        <v>0.82499999999999996</v>
      </c>
      <c r="G88" s="479">
        <f>D88+'2017MAY'!G88</f>
        <v>119</v>
      </c>
      <c r="H88" s="479">
        <f>E88+'2017MAY'!H88</f>
        <v>103</v>
      </c>
      <c r="I88" s="28">
        <f t="shared" si="7"/>
        <v>0.86554621848739499</v>
      </c>
      <c r="J88" s="596"/>
      <c r="K88" s="597"/>
      <c r="L88" s="597"/>
      <c r="M88" s="598"/>
    </row>
    <row r="89" spans="1:13">
      <c r="A89" s="573"/>
      <c r="B89" s="525"/>
      <c r="C89" s="38" t="s">
        <v>71</v>
      </c>
      <c r="D89" s="487">
        <f>SUM(D87:D88)</f>
        <v>20</v>
      </c>
      <c r="E89" s="487">
        <f>SUM(E87:E88)</f>
        <v>16.5</v>
      </c>
      <c r="F89" s="30">
        <f t="shared" si="6"/>
        <v>0.82499999999999996</v>
      </c>
      <c r="G89" s="487">
        <f>SUM(G87:G88)</f>
        <v>120</v>
      </c>
      <c r="H89" s="487">
        <f>SUM(H87:H88)</f>
        <v>103</v>
      </c>
      <c r="I89" s="30">
        <f t="shared" si="7"/>
        <v>0.85833333333333328</v>
      </c>
      <c r="J89" s="599"/>
      <c r="K89" s="600"/>
      <c r="L89" s="600"/>
      <c r="M89" s="601"/>
    </row>
    <row r="90" spans="1:13">
      <c r="A90" s="573"/>
      <c r="B90" s="525" t="s">
        <v>73</v>
      </c>
      <c r="C90" s="27" t="s">
        <v>69</v>
      </c>
      <c r="D90" s="479">
        <v>0</v>
      </c>
      <c r="E90" s="490">
        <v>4</v>
      </c>
      <c r="F90" s="28" t="e">
        <f t="shared" si="6"/>
        <v>#DIV/0!</v>
      </c>
      <c r="G90" s="479">
        <f>D90+'2017MAY'!G90</f>
        <v>2</v>
      </c>
      <c r="H90" s="479">
        <f>E90+'2017MAY'!H90</f>
        <v>8</v>
      </c>
      <c r="I90" s="28">
        <f t="shared" si="7"/>
        <v>4</v>
      </c>
      <c r="J90" s="596"/>
      <c r="K90" s="597"/>
      <c r="L90" s="597"/>
      <c r="M90" s="598"/>
    </row>
    <row r="91" spans="1:13">
      <c r="A91" s="573"/>
      <c r="B91" s="525"/>
      <c r="C91" s="27" t="s">
        <v>70</v>
      </c>
      <c r="D91" s="479">
        <v>51</v>
      </c>
      <c r="E91" s="490">
        <v>42.5</v>
      </c>
      <c r="F91" s="28">
        <f t="shared" si="6"/>
        <v>0.83333333333333337</v>
      </c>
      <c r="G91" s="479">
        <f>D91+'2017MAY'!G91</f>
        <v>302</v>
      </c>
      <c r="H91" s="479">
        <f>E91+'2017MAY'!H91</f>
        <v>267</v>
      </c>
      <c r="I91" s="28">
        <f t="shared" si="7"/>
        <v>0.88410596026490063</v>
      </c>
      <c r="J91" s="596"/>
      <c r="K91" s="597"/>
      <c r="L91" s="597"/>
      <c r="M91" s="598"/>
    </row>
    <row r="92" spans="1:13">
      <c r="A92" s="573"/>
      <c r="B92" s="525"/>
      <c r="C92" s="38" t="s">
        <v>71</v>
      </c>
      <c r="D92" s="487">
        <f>SUM(D90:D91)</f>
        <v>51</v>
      </c>
      <c r="E92" s="487">
        <f>SUM(E90:E91)</f>
        <v>46.5</v>
      </c>
      <c r="F92" s="30">
        <f t="shared" si="6"/>
        <v>0.91176470588235292</v>
      </c>
      <c r="G92" s="487">
        <f>SUM(G90:G91)</f>
        <v>304</v>
      </c>
      <c r="H92" s="487">
        <f>SUM(H90:H91)</f>
        <v>275</v>
      </c>
      <c r="I92" s="30">
        <f t="shared" si="7"/>
        <v>0.90460526315789469</v>
      </c>
      <c r="J92" s="599"/>
      <c r="K92" s="600"/>
      <c r="L92" s="600"/>
      <c r="M92" s="601"/>
    </row>
    <row r="93" spans="1:13">
      <c r="A93" s="573"/>
      <c r="B93" s="525" t="s">
        <v>74</v>
      </c>
      <c r="C93" s="27" t="s">
        <v>69</v>
      </c>
      <c r="D93" s="479">
        <v>0</v>
      </c>
      <c r="E93" s="490">
        <v>7</v>
      </c>
      <c r="F93" s="28" t="e">
        <f t="shared" si="6"/>
        <v>#DIV/0!</v>
      </c>
      <c r="G93" s="479">
        <f>D93+'2017MAY'!G93</f>
        <v>3</v>
      </c>
      <c r="H93" s="479">
        <f>E93+'2017MAY'!H93</f>
        <v>15.5</v>
      </c>
      <c r="I93" s="28">
        <f t="shared" si="7"/>
        <v>5.166666666666667</v>
      </c>
      <c r="J93" s="596"/>
      <c r="K93" s="597"/>
      <c r="L93" s="597"/>
      <c r="M93" s="598"/>
    </row>
    <row r="94" spans="1:13">
      <c r="A94" s="573"/>
      <c r="B94" s="525"/>
      <c r="C94" s="27" t="s">
        <v>70</v>
      </c>
      <c r="D94" s="479">
        <v>92</v>
      </c>
      <c r="E94" s="490">
        <v>93.5</v>
      </c>
      <c r="F94" s="28">
        <f t="shared" si="6"/>
        <v>1.0163043478260869</v>
      </c>
      <c r="G94" s="479">
        <f>D94+'2017MAY'!G94</f>
        <v>549</v>
      </c>
      <c r="H94" s="479">
        <f>E94+'2017MAY'!H94</f>
        <v>511.5</v>
      </c>
      <c r="I94" s="28">
        <f t="shared" si="7"/>
        <v>0.93169398907103829</v>
      </c>
      <c r="J94" s="596"/>
      <c r="K94" s="597"/>
      <c r="L94" s="597"/>
      <c r="M94" s="598"/>
    </row>
    <row r="95" spans="1:13">
      <c r="A95" s="573"/>
      <c r="B95" s="525"/>
      <c r="C95" s="38" t="s">
        <v>71</v>
      </c>
      <c r="D95" s="487">
        <f>SUM(D93:D94)</f>
        <v>92</v>
      </c>
      <c r="E95" s="487">
        <f>SUM(E93:E94)</f>
        <v>100.5</v>
      </c>
      <c r="F95" s="30">
        <f t="shared" si="6"/>
        <v>1.0923913043478262</v>
      </c>
      <c r="G95" s="487">
        <f>SUM(G93:G94)</f>
        <v>552</v>
      </c>
      <c r="H95" s="487">
        <f>SUM(H93:H94)</f>
        <v>527</v>
      </c>
      <c r="I95" s="30">
        <f t="shared" si="7"/>
        <v>0.95471014492753625</v>
      </c>
      <c r="J95" s="599"/>
      <c r="K95" s="600"/>
      <c r="L95" s="600"/>
      <c r="M95" s="601"/>
    </row>
    <row r="96" spans="1:13">
      <c r="A96" s="573"/>
      <c r="B96" s="603" t="s">
        <v>46</v>
      </c>
      <c r="C96" s="39" t="s">
        <v>69</v>
      </c>
      <c r="D96" s="474">
        <f>SUM(D84,D87,D90,D93)</f>
        <v>0</v>
      </c>
      <c r="E96" s="474">
        <f>SUM(E84,E87,E90,E93)</f>
        <v>11</v>
      </c>
      <c r="F96" s="31" t="e">
        <f t="shared" si="6"/>
        <v>#DIV/0!</v>
      </c>
      <c r="G96" s="474">
        <f>SUM(G84,G87,G90,G93)</f>
        <v>8</v>
      </c>
      <c r="H96" s="474">
        <f>SUM(H84,H87,H90,H93)</f>
        <v>23.5</v>
      </c>
      <c r="I96" s="31">
        <f t="shared" si="7"/>
        <v>2.9375</v>
      </c>
      <c r="J96" s="604"/>
      <c r="K96" s="605"/>
      <c r="L96" s="605"/>
      <c r="M96" s="606"/>
    </row>
    <row r="97" spans="1:13">
      <c r="A97" s="573"/>
      <c r="B97" s="603"/>
      <c r="C97" s="39" t="s">
        <v>70</v>
      </c>
      <c r="D97" s="474">
        <f>SUM(D85,D88,D91,D94)</f>
        <v>248</v>
      </c>
      <c r="E97" s="474">
        <f>SUM(E85,E88,E91,E94)</f>
        <v>217</v>
      </c>
      <c r="F97" s="31">
        <f t="shared" si="6"/>
        <v>0.875</v>
      </c>
      <c r="G97" s="474">
        <f>SUM(G85,G88,G91,G94)</f>
        <v>1478</v>
      </c>
      <c r="H97" s="474">
        <f>SUM(H85,H88,H91,H94)</f>
        <v>1283.5</v>
      </c>
      <c r="I97" s="31">
        <f t="shared" si="7"/>
        <v>0.86840324763193499</v>
      </c>
      <c r="J97" s="604"/>
      <c r="K97" s="605"/>
      <c r="L97" s="605"/>
      <c r="M97" s="606"/>
    </row>
    <row r="98" spans="1:13" ht="14" thickBot="1">
      <c r="A98" s="623"/>
      <c r="B98" s="624"/>
      <c r="C98" s="40" t="s">
        <v>46</v>
      </c>
      <c r="D98" s="475">
        <f>SUM(D96:D97)</f>
        <v>248</v>
      </c>
      <c r="E98" s="475">
        <f>SUM(E96:E97)</f>
        <v>228</v>
      </c>
      <c r="F98" s="41">
        <f t="shared" si="6"/>
        <v>0.91935483870967738</v>
      </c>
      <c r="G98" s="475">
        <f>SUM(G96:G97)</f>
        <v>1486</v>
      </c>
      <c r="H98" s="475">
        <f>SUM(H96:H97)</f>
        <v>1307</v>
      </c>
      <c r="I98" s="41">
        <f t="shared" si="7"/>
        <v>0.87954239569313597</v>
      </c>
      <c r="J98" s="625"/>
      <c r="K98" s="626"/>
      <c r="L98" s="626"/>
      <c r="M98" s="627"/>
    </row>
    <row r="99" spans="1:13">
      <c r="A99" s="617" t="s">
        <v>75</v>
      </c>
      <c r="B99" s="619" t="s">
        <v>76</v>
      </c>
      <c r="C99" s="42" t="s">
        <v>69</v>
      </c>
      <c r="D99" s="478">
        <v>0</v>
      </c>
      <c r="E99" s="64">
        <v>0</v>
      </c>
      <c r="F99" s="499" t="e">
        <f>E99/D99</f>
        <v>#DIV/0!</v>
      </c>
      <c r="G99" s="478">
        <f>D99+'2017MAY'!G99</f>
        <v>2</v>
      </c>
      <c r="H99" s="500">
        <f>E99+'2017MAY'!H99</f>
        <v>0</v>
      </c>
      <c r="I99" s="499">
        <f>H99/G99</f>
        <v>0</v>
      </c>
      <c r="J99" s="620"/>
      <c r="K99" s="621"/>
      <c r="L99" s="621"/>
      <c r="M99" s="622"/>
    </row>
    <row r="100" spans="1:13" ht="13.5" customHeight="1">
      <c r="A100" s="562"/>
      <c r="B100" s="525"/>
      <c r="C100" s="27" t="s">
        <v>70</v>
      </c>
      <c r="D100" s="479">
        <v>75</v>
      </c>
      <c r="E100" s="490">
        <v>55.5</v>
      </c>
      <c r="F100" s="28">
        <f t="shared" ref="F100:F109" si="8">E100/D100</f>
        <v>0.74</v>
      </c>
      <c r="G100" s="477">
        <f>D100+'2017MAY'!G100</f>
        <v>448</v>
      </c>
      <c r="H100" s="479">
        <f>E100+'2017MAY'!H100</f>
        <v>345.5</v>
      </c>
      <c r="I100" s="28">
        <f t="shared" ref="I100:I109" si="9">H100/G100</f>
        <v>0.7712053571428571</v>
      </c>
      <c r="J100" s="596"/>
      <c r="K100" s="597"/>
      <c r="L100" s="597"/>
      <c r="M100" s="598"/>
    </row>
    <row r="101" spans="1:13" ht="13.5" customHeight="1">
      <c r="A101" s="562"/>
      <c r="B101" s="525"/>
      <c r="C101" s="38" t="s">
        <v>71</v>
      </c>
      <c r="D101" s="487">
        <f>SUM(D99:D100)</f>
        <v>75</v>
      </c>
      <c r="E101" s="487">
        <f>SUM(E99:E100)</f>
        <v>55.5</v>
      </c>
      <c r="F101" s="30">
        <f t="shared" si="8"/>
        <v>0.74</v>
      </c>
      <c r="G101" s="487">
        <f>SUM(G99:G100)</f>
        <v>450</v>
      </c>
      <c r="H101" s="487">
        <f>SUM(H99:H100)</f>
        <v>345.5</v>
      </c>
      <c r="I101" s="30">
        <f t="shared" si="9"/>
        <v>0.76777777777777778</v>
      </c>
      <c r="J101" s="599"/>
      <c r="K101" s="600"/>
      <c r="L101" s="600"/>
      <c r="M101" s="601"/>
    </row>
    <row r="102" spans="1:13" ht="13.5" customHeight="1">
      <c r="A102" s="562"/>
      <c r="B102" s="525" t="s">
        <v>77</v>
      </c>
      <c r="C102" s="27" t="s">
        <v>69</v>
      </c>
      <c r="D102" s="479">
        <v>0</v>
      </c>
      <c r="E102" s="490">
        <v>1</v>
      </c>
      <c r="F102" s="28" t="e">
        <f t="shared" si="8"/>
        <v>#DIV/0!</v>
      </c>
      <c r="G102" s="479">
        <f>D102+'2017MAY'!G102</f>
        <v>2</v>
      </c>
      <c r="H102" s="479">
        <f>E102+'2017MAY'!H102</f>
        <v>1</v>
      </c>
      <c r="I102" s="28">
        <f t="shared" si="9"/>
        <v>0.5</v>
      </c>
      <c r="J102" s="596"/>
      <c r="K102" s="597"/>
      <c r="L102" s="597"/>
      <c r="M102" s="598"/>
    </row>
    <row r="103" spans="1:13" ht="13.5" customHeight="1">
      <c r="A103" s="562"/>
      <c r="B103" s="525"/>
      <c r="C103" s="27" t="s">
        <v>70</v>
      </c>
      <c r="D103" s="479">
        <v>41</v>
      </c>
      <c r="E103" s="490">
        <v>32</v>
      </c>
      <c r="F103" s="28">
        <f t="shared" si="8"/>
        <v>0.78048780487804881</v>
      </c>
      <c r="G103" s="479">
        <f>D103+'2017MAY'!G103</f>
        <v>244</v>
      </c>
      <c r="H103" s="479">
        <f>E103+'2017MAY'!H103</f>
        <v>205</v>
      </c>
      <c r="I103" s="28">
        <f t="shared" si="9"/>
        <v>0.8401639344262295</v>
      </c>
      <c r="J103" s="596"/>
      <c r="K103" s="597"/>
      <c r="L103" s="597"/>
      <c r="M103" s="598"/>
    </row>
    <row r="104" spans="1:13" ht="13.5" customHeight="1">
      <c r="A104" s="562"/>
      <c r="B104" s="525"/>
      <c r="C104" s="38" t="s">
        <v>71</v>
      </c>
      <c r="D104" s="487">
        <f>SUM(D102:D103)</f>
        <v>41</v>
      </c>
      <c r="E104" s="487">
        <f>SUM(E102:E103)</f>
        <v>33</v>
      </c>
      <c r="F104" s="30">
        <f t="shared" si="8"/>
        <v>0.80487804878048785</v>
      </c>
      <c r="G104" s="487">
        <f>SUM(G102:G103)</f>
        <v>246</v>
      </c>
      <c r="H104" s="487">
        <f>SUM(H102:H103)</f>
        <v>206</v>
      </c>
      <c r="I104" s="30">
        <f t="shared" si="9"/>
        <v>0.83739837398373984</v>
      </c>
      <c r="J104" s="599"/>
      <c r="K104" s="600"/>
      <c r="L104" s="600"/>
      <c r="M104" s="601"/>
    </row>
    <row r="105" spans="1:13" ht="13.5" customHeight="1">
      <c r="A105" s="562"/>
      <c r="B105" s="603" t="s">
        <v>46</v>
      </c>
      <c r="C105" s="39" t="s">
        <v>69</v>
      </c>
      <c r="D105" s="474">
        <f>SUM(D99,D102)</f>
        <v>0</v>
      </c>
      <c r="E105" s="474">
        <f>SUM(E99,E102)</f>
        <v>1</v>
      </c>
      <c r="F105" s="30" t="e">
        <f t="shared" si="8"/>
        <v>#DIV/0!</v>
      </c>
      <c r="G105" s="474">
        <f>SUM(G99,G102)</f>
        <v>4</v>
      </c>
      <c r="H105" s="474">
        <f>SUM(H99,H102)</f>
        <v>1</v>
      </c>
      <c r="I105" s="30">
        <f t="shared" si="9"/>
        <v>0.25</v>
      </c>
      <c r="J105" s="604"/>
      <c r="K105" s="605"/>
      <c r="L105" s="605"/>
      <c r="M105" s="606"/>
    </row>
    <row r="106" spans="1:13" ht="13.5" customHeight="1">
      <c r="A106" s="562"/>
      <c r="B106" s="603"/>
      <c r="C106" s="39" t="s">
        <v>70</v>
      </c>
      <c r="D106" s="474">
        <f>SUM(D100,D103)</f>
        <v>116</v>
      </c>
      <c r="E106" s="474">
        <f>SUM(E100,E103)</f>
        <v>87.5</v>
      </c>
      <c r="F106" s="30">
        <f t="shared" si="8"/>
        <v>0.75431034482758619</v>
      </c>
      <c r="G106" s="474">
        <f>SUM(G100,G103)</f>
        <v>692</v>
      </c>
      <c r="H106" s="474">
        <f>SUM(H100,H103)</f>
        <v>550.5</v>
      </c>
      <c r="I106" s="30">
        <f t="shared" si="9"/>
        <v>0.79552023121387283</v>
      </c>
      <c r="J106" s="604"/>
      <c r="K106" s="605"/>
      <c r="L106" s="605"/>
      <c r="M106" s="606"/>
    </row>
    <row r="107" spans="1:13" ht="14.25" customHeight="1" thickBot="1">
      <c r="A107" s="618"/>
      <c r="B107" s="624"/>
      <c r="C107" s="40" t="s">
        <v>46</v>
      </c>
      <c r="D107" s="475">
        <f>SUM(D105:D106)</f>
        <v>116</v>
      </c>
      <c r="E107" s="475">
        <f>SUM(E105:E106)</f>
        <v>88.5</v>
      </c>
      <c r="F107" s="41">
        <f t="shared" si="8"/>
        <v>0.76293103448275867</v>
      </c>
      <c r="G107" s="475">
        <f>SUM(G105:G106)</f>
        <v>696</v>
      </c>
      <c r="H107" s="475">
        <f>SUM(H105:H106)</f>
        <v>551.5</v>
      </c>
      <c r="I107" s="41">
        <f t="shared" si="9"/>
        <v>0.79238505747126442</v>
      </c>
      <c r="J107" s="625"/>
      <c r="K107" s="626"/>
      <c r="L107" s="626"/>
      <c r="M107" s="627"/>
    </row>
    <row r="108" spans="1:13">
      <c r="A108" s="635" t="s">
        <v>46</v>
      </c>
      <c r="B108" s="635"/>
      <c r="C108" s="44" t="s">
        <v>69</v>
      </c>
      <c r="D108" s="472">
        <f>SUM(D96,D105)</f>
        <v>0</v>
      </c>
      <c r="E108" s="472">
        <f>SUM(E96,E105)</f>
        <v>12</v>
      </c>
      <c r="F108" s="45" t="e">
        <f t="shared" si="8"/>
        <v>#DIV/0!</v>
      </c>
      <c r="G108" s="46">
        <f>SUM(G96,G105)</f>
        <v>12</v>
      </c>
      <c r="H108" s="46">
        <f>SUM(H96,H105)</f>
        <v>24.5</v>
      </c>
      <c r="I108" s="45">
        <f t="shared" si="9"/>
        <v>2.0416666666666665</v>
      </c>
      <c r="J108" s="636"/>
      <c r="K108" s="637"/>
      <c r="L108" s="637"/>
      <c r="M108" s="638"/>
    </row>
    <row r="109" spans="1:13">
      <c r="A109" s="609"/>
      <c r="B109" s="609"/>
      <c r="C109" s="47" t="s">
        <v>70</v>
      </c>
      <c r="D109" s="473">
        <f>SUM(D97,D106)</f>
        <v>364</v>
      </c>
      <c r="E109" s="473">
        <f>SUM(E97,E106)</f>
        <v>304.5</v>
      </c>
      <c r="F109" s="32">
        <f t="shared" si="8"/>
        <v>0.83653846153846156</v>
      </c>
      <c r="G109" s="473">
        <f>SUM(G97,G106)</f>
        <v>2170</v>
      </c>
      <c r="H109" s="473">
        <f>SUM(H97,H106)</f>
        <v>1834</v>
      </c>
      <c r="I109" s="32">
        <f t="shared" si="9"/>
        <v>0.84516129032258069</v>
      </c>
      <c r="J109" s="639"/>
      <c r="K109" s="640"/>
      <c r="L109" s="640"/>
      <c r="M109" s="641"/>
    </row>
    <row r="110" spans="1:13">
      <c r="A110" s="609"/>
      <c r="B110" s="609"/>
      <c r="C110" s="48" t="s">
        <v>46</v>
      </c>
      <c r="D110" s="473">
        <f>SUM(D108:D109)</f>
        <v>364</v>
      </c>
      <c r="E110" s="473">
        <f>SUM(E108:E109)</f>
        <v>316.5</v>
      </c>
      <c r="F110" s="49">
        <f>E110/D110</f>
        <v>0.86950549450549453</v>
      </c>
      <c r="G110" s="472">
        <f>SUM(G108:G109)</f>
        <v>2182</v>
      </c>
      <c r="H110" s="472">
        <f>SUM(H108:H109)</f>
        <v>1858.5</v>
      </c>
      <c r="I110" s="49">
        <f>H110/G110</f>
        <v>0.8517415215398717</v>
      </c>
      <c r="J110" s="639"/>
      <c r="K110" s="640"/>
      <c r="L110" s="640"/>
      <c r="M110" s="641"/>
    </row>
    <row r="113" spans="1:13" ht="15" thickBot="1">
      <c r="A113" s="127" t="s">
        <v>78</v>
      </c>
    </row>
    <row r="114" spans="1:13">
      <c r="A114" s="642" t="s">
        <v>79</v>
      </c>
      <c r="B114" s="643"/>
      <c r="C114" s="644" t="s">
        <v>80</v>
      </c>
      <c r="D114" s="645"/>
      <c r="E114" s="644" t="s">
        <v>81</v>
      </c>
      <c r="F114" s="645"/>
      <c r="G114" s="644" t="s">
        <v>136</v>
      </c>
      <c r="H114" s="703"/>
      <c r="I114" s="646"/>
      <c r="J114" s="647"/>
      <c r="K114" s="646"/>
      <c r="L114" s="648"/>
    </row>
    <row r="115" spans="1:13">
      <c r="A115" s="628" t="s">
        <v>82</v>
      </c>
      <c r="B115" s="629"/>
      <c r="C115" s="630" t="s">
        <v>83</v>
      </c>
      <c r="D115" s="631"/>
      <c r="E115" s="630" t="s">
        <v>84</v>
      </c>
      <c r="F115" s="631"/>
      <c r="G115" s="630" t="s">
        <v>84</v>
      </c>
      <c r="H115" s="631"/>
      <c r="I115" s="632"/>
      <c r="J115" s="633"/>
      <c r="K115" s="632"/>
      <c r="L115" s="634"/>
    </row>
    <row r="116" spans="1:13">
      <c r="A116" s="628" t="s">
        <v>85</v>
      </c>
      <c r="B116" s="629"/>
      <c r="C116" s="630" t="s">
        <v>86</v>
      </c>
      <c r="D116" s="631"/>
      <c r="E116" s="630" t="s">
        <v>87</v>
      </c>
      <c r="F116" s="631"/>
      <c r="G116" s="630" t="s">
        <v>87</v>
      </c>
      <c r="H116" s="631"/>
      <c r="I116" s="632"/>
      <c r="J116" s="633"/>
      <c r="K116" s="632"/>
      <c r="L116" s="634"/>
    </row>
    <row r="117" spans="1:13">
      <c r="A117" s="628" t="s">
        <v>88</v>
      </c>
      <c r="B117" s="629"/>
      <c r="C117" s="630" t="s">
        <v>89</v>
      </c>
      <c r="D117" s="631"/>
      <c r="E117" s="630" t="s">
        <v>90</v>
      </c>
      <c r="F117" s="631"/>
      <c r="G117" s="630" t="s">
        <v>138</v>
      </c>
      <c r="H117" s="631"/>
      <c r="I117" s="632"/>
      <c r="J117" s="633"/>
      <c r="K117" s="632"/>
      <c r="L117" s="634"/>
    </row>
    <row r="118" spans="1:13">
      <c r="A118" s="628" t="s">
        <v>91</v>
      </c>
      <c r="B118" s="629"/>
      <c r="C118" s="649">
        <v>929</v>
      </c>
      <c r="D118" s="650"/>
      <c r="E118" s="649">
        <v>16</v>
      </c>
      <c r="F118" s="650"/>
      <c r="G118" s="649">
        <v>2</v>
      </c>
      <c r="H118" s="650"/>
      <c r="I118" s="632"/>
      <c r="J118" s="633"/>
      <c r="K118" s="632"/>
      <c r="L118" s="634"/>
    </row>
    <row r="119" spans="1:13">
      <c r="A119" s="628" t="s">
        <v>92</v>
      </c>
      <c r="B119" s="629"/>
      <c r="C119" s="630" t="s">
        <v>93</v>
      </c>
      <c r="D119" s="631"/>
      <c r="E119" s="630" t="s">
        <v>94</v>
      </c>
      <c r="F119" s="631"/>
      <c r="G119" s="630" t="s">
        <v>94</v>
      </c>
      <c r="H119" s="631"/>
      <c r="I119" s="632"/>
      <c r="J119" s="633"/>
      <c r="K119" s="632"/>
      <c r="L119" s="634"/>
    </row>
    <row r="120" spans="1:13">
      <c r="A120" s="628" t="s">
        <v>311</v>
      </c>
      <c r="B120" s="471" t="s">
        <v>96</v>
      </c>
      <c r="C120" s="630">
        <v>0</v>
      </c>
      <c r="D120" s="631"/>
      <c r="E120" s="630">
        <v>0</v>
      </c>
      <c r="F120" s="631"/>
      <c r="G120" s="630">
        <v>0</v>
      </c>
      <c r="H120" s="631"/>
      <c r="I120" s="632"/>
      <c r="J120" s="633"/>
      <c r="K120" s="632"/>
      <c r="L120" s="634"/>
    </row>
    <row r="121" spans="1:13">
      <c r="A121" s="628"/>
      <c r="B121" s="471" t="s">
        <v>97</v>
      </c>
      <c r="C121" s="630">
        <v>0</v>
      </c>
      <c r="D121" s="631"/>
      <c r="E121" s="630">
        <v>0</v>
      </c>
      <c r="F121" s="631"/>
      <c r="G121" s="630">
        <v>0</v>
      </c>
      <c r="H121" s="631"/>
      <c r="I121" s="632"/>
      <c r="J121" s="633"/>
      <c r="K121" s="632"/>
      <c r="L121" s="634"/>
    </row>
    <row r="122" spans="1:13">
      <c r="A122" s="628"/>
      <c r="B122" s="471" t="s">
        <v>98</v>
      </c>
      <c r="C122" s="651">
        <v>0</v>
      </c>
      <c r="D122" s="652"/>
      <c r="E122" s="651">
        <v>0</v>
      </c>
      <c r="F122" s="652"/>
      <c r="G122" s="651">
        <v>0</v>
      </c>
      <c r="H122" s="652"/>
      <c r="I122" s="653"/>
      <c r="J122" s="654"/>
      <c r="K122" s="653"/>
      <c r="L122" s="655"/>
    </row>
    <row r="123" spans="1:13">
      <c r="A123" s="628"/>
      <c r="B123" s="471" t="s">
        <v>99</v>
      </c>
      <c r="C123" s="656">
        <v>763</v>
      </c>
      <c r="D123" s="656"/>
      <c r="E123" s="656">
        <v>460</v>
      </c>
      <c r="F123" s="656"/>
      <c r="G123" s="656">
        <v>18</v>
      </c>
      <c r="H123" s="656"/>
      <c r="I123" s="653"/>
      <c r="J123" s="654"/>
      <c r="K123" s="653"/>
      <c r="L123" s="655"/>
    </row>
    <row r="124" spans="1:13" ht="13.5" customHeight="1" thickBot="1">
      <c r="A124" s="673" t="s">
        <v>10</v>
      </c>
      <c r="B124" s="674"/>
      <c r="C124" s="675"/>
      <c r="D124" s="676"/>
      <c r="E124" s="675"/>
      <c r="F124" s="676"/>
      <c r="G124" s="660"/>
      <c r="H124" s="677"/>
      <c r="I124" s="660"/>
      <c r="J124" s="677"/>
      <c r="K124" s="660"/>
      <c r="L124" s="661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31" t="s">
        <v>101</v>
      </c>
      <c r="B128" s="533"/>
      <c r="C128" s="662" t="s">
        <v>333</v>
      </c>
      <c r="D128" s="663"/>
      <c r="E128" s="664"/>
      <c r="F128" s="662" t="s">
        <v>340</v>
      </c>
      <c r="G128" s="663"/>
      <c r="H128" s="663"/>
      <c r="I128" s="664"/>
      <c r="J128" s="662" t="s">
        <v>344</v>
      </c>
      <c r="K128" s="663"/>
      <c r="L128" s="663"/>
      <c r="M128" s="665"/>
    </row>
    <row r="129" spans="1:13" ht="35.25" customHeight="1">
      <c r="A129" s="716" t="s">
        <v>103</v>
      </c>
      <c r="B129" s="717"/>
      <c r="C129" s="722" t="s">
        <v>345</v>
      </c>
      <c r="D129" s="723"/>
      <c r="E129" s="724"/>
      <c r="F129" s="744" t="s">
        <v>15</v>
      </c>
      <c r="G129" s="748"/>
      <c r="H129" s="748"/>
      <c r="I129" s="749"/>
      <c r="J129" s="745" t="s">
        <v>15</v>
      </c>
      <c r="K129" s="748"/>
      <c r="L129" s="748"/>
      <c r="M129" s="750"/>
    </row>
    <row r="130" spans="1:13" ht="35.25" customHeight="1">
      <c r="A130" s="716" t="s">
        <v>104</v>
      </c>
      <c r="B130" s="717"/>
      <c r="C130" s="758" t="s">
        <v>346</v>
      </c>
      <c r="D130" s="759"/>
      <c r="E130" s="760"/>
      <c r="F130" s="758" t="s">
        <v>347</v>
      </c>
      <c r="G130" s="759"/>
      <c r="H130" s="759"/>
      <c r="I130" s="760"/>
      <c r="J130" s="761" t="s">
        <v>348</v>
      </c>
      <c r="K130" s="762"/>
      <c r="L130" s="762"/>
      <c r="M130" s="763"/>
    </row>
    <row r="131" spans="1:13" ht="67.5" customHeight="1">
      <c r="A131" s="716" t="s">
        <v>105</v>
      </c>
      <c r="B131" s="717"/>
      <c r="C131" s="718" t="s">
        <v>349</v>
      </c>
      <c r="D131" s="719"/>
      <c r="E131" s="720"/>
      <c r="F131" s="744" t="s">
        <v>349</v>
      </c>
      <c r="G131" s="745"/>
      <c r="H131" s="745"/>
      <c r="I131" s="746"/>
      <c r="J131" s="744" t="s">
        <v>349</v>
      </c>
      <c r="K131" s="745"/>
      <c r="L131" s="745"/>
      <c r="M131" s="746"/>
    </row>
    <row r="132" spans="1:13" ht="35.25" customHeight="1" thickBot="1">
      <c r="A132" s="733" t="s">
        <v>106</v>
      </c>
      <c r="B132" s="734"/>
      <c r="C132" s="735" t="s">
        <v>350</v>
      </c>
      <c r="D132" s="736"/>
      <c r="E132" s="737"/>
      <c r="F132" s="754" t="s">
        <v>343</v>
      </c>
      <c r="G132" s="755"/>
      <c r="H132" s="755"/>
      <c r="I132" s="756"/>
      <c r="J132" s="764" t="s">
        <v>15</v>
      </c>
      <c r="K132" s="755"/>
      <c r="L132" s="755"/>
      <c r="M132" s="765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701" t="s">
        <v>112</v>
      </c>
      <c r="F137" s="701"/>
      <c r="G137" s="701"/>
      <c r="H137" s="54" t="s">
        <v>113</v>
      </c>
    </row>
    <row r="138" spans="1:13" ht="40.5" customHeight="1" thickBot="1">
      <c r="A138" s="62">
        <f>E42</f>
        <v>0</v>
      </c>
      <c r="B138" s="63">
        <f>'2017MAY'!H138</f>
        <v>-3043</v>
      </c>
      <c r="C138" s="63">
        <f>E43-E42</f>
        <v>19982</v>
      </c>
      <c r="D138" s="504">
        <v>48501</v>
      </c>
      <c r="E138" s="681" t="s">
        <v>114</v>
      </c>
      <c r="F138" s="681"/>
      <c r="G138" s="681"/>
      <c r="H138" s="505">
        <f>C138+A138+B138-D138</f>
        <v>-31562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679" t="s">
        <v>117</v>
      </c>
      <c r="C140" s="679"/>
      <c r="D140" s="679"/>
      <c r="E140" s="679"/>
      <c r="F140" s="679"/>
      <c r="G140" s="680"/>
    </row>
    <row r="141" spans="1:13" ht="45" customHeight="1" thickBot="1">
      <c r="A141" s="56">
        <v>17000</v>
      </c>
      <c r="B141" s="681" t="s">
        <v>114</v>
      </c>
      <c r="C141" s="681"/>
      <c r="D141" s="681"/>
      <c r="E141" s="681"/>
      <c r="F141" s="681"/>
      <c r="G141" s="682"/>
    </row>
    <row r="143" spans="1:13" ht="14">
      <c r="A143" s="127" t="s">
        <v>118</v>
      </c>
    </row>
    <row r="144" spans="1:13">
      <c r="A144" s="629" t="s">
        <v>50</v>
      </c>
      <c r="B144" s="629"/>
      <c r="C144" s="629"/>
      <c r="D144" s="629"/>
      <c r="E144" s="629"/>
      <c r="F144" s="629"/>
      <c r="G144" s="486" t="s">
        <v>119</v>
      </c>
      <c r="H144" s="683" t="s">
        <v>10</v>
      </c>
      <c r="I144" s="684"/>
      <c r="J144" s="684"/>
      <c r="K144" s="685"/>
    </row>
    <row r="145" spans="1:11">
      <c r="A145" s="574" t="s">
        <v>120</v>
      </c>
      <c r="B145" s="686" t="s">
        <v>121</v>
      </c>
      <c r="C145" s="686"/>
      <c r="D145" s="686"/>
      <c r="E145" s="686"/>
      <c r="F145" s="686"/>
      <c r="G145" s="506">
        <v>15</v>
      </c>
      <c r="H145" s="687"/>
      <c r="I145" s="688"/>
      <c r="J145" s="688"/>
      <c r="K145" s="689"/>
    </row>
    <row r="146" spans="1:11">
      <c r="A146" s="574"/>
      <c r="B146" s="686" t="s">
        <v>122</v>
      </c>
      <c r="C146" s="686"/>
      <c r="D146" s="686"/>
      <c r="E146" s="686"/>
      <c r="F146" s="686"/>
      <c r="G146" s="507">
        <v>21000</v>
      </c>
      <c r="H146" s="690"/>
      <c r="I146" s="691"/>
      <c r="J146" s="691"/>
      <c r="K146" s="692"/>
    </row>
    <row r="147" spans="1:11">
      <c r="A147" s="574" t="s">
        <v>123</v>
      </c>
      <c r="B147" s="686" t="s">
        <v>124</v>
      </c>
      <c r="C147" s="686"/>
      <c r="D147" s="686"/>
      <c r="E147" s="686"/>
      <c r="F147" s="686"/>
      <c r="G147" s="479">
        <v>10</v>
      </c>
      <c r="H147" s="670"/>
      <c r="I147" s="671"/>
      <c r="J147" s="671"/>
      <c r="K147" s="672"/>
    </row>
    <row r="148" spans="1:11">
      <c r="A148" s="574"/>
      <c r="B148" s="686" t="s">
        <v>125</v>
      </c>
      <c r="C148" s="686"/>
      <c r="D148" s="686"/>
      <c r="E148" s="686"/>
      <c r="F148" s="686"/>
      <c r="G148" s="508">
        <v>17353</v>
      </c>
      <c r="H148" s="670"/>
      <c r="I148" s="671"/>
      <c r="J148" s="671"/>
      <c r="K148" s="672"/>
    </row>
    <row r="149" spans="1:11" ht="14">
      <c r="A149" s="488" t="s">
        <v>126</v>
      </c>
      <c r="B149" s="686" t="s">
        <v>127</v>
      </c>
      <c r="C149" s="686"/>
      <c r="D149" s="686"/>
      <c r="E149" s="686"/>
      <c r="F149" s="686"/>
      <c r="G149" s="509">
        <v>1877</v>
      </c>
      <c r="H149" s="670"/>
      <c r="I149" s="671"/>
      <c r="J149" s="671"/>
      <c r="K149" s="672"/>
    </row>
    <row r="150" spans="1:11" ht="14">
      <c r="A150" s="488" t="s">
        <v>128</v>
      </c>
      <c r="B150" s="686" t="s">
        <v>129</v>
      </c>
      <c r="C150" s="686"/>
      <c r="D150" s="686"/>
      <c r="E150" s="686"/>
      <c r="F150" s="686"/>
      <c r="G150" s="479"/>
      <c r="H150" s="670"/>
      <c r="I150" s="671"/>
      <c r="J150" s="671"/>
      <c r="K150" s="672"/>
    </row>
  </sheetData>
  <mergeCells count="274"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1:F1"/>
    <mergeCell ref="J3:K3"/>
    <mergeCell ref="L3:M3"/>
    <mergeCell ref="J5:K5"/>
    <mergeCell ref="L5:M5"/>
    <mergeCell ref="J6:K6"/>
    <mergeCell ref="L6:M6"/>
    <mergeCell ref="A14:B14"/>
    <mergeCell ref="E14:I14"/>
  </mergeCells>
  <dataValidations count="2">
    <dataValidation type="list" allowBlank="1" showInputMessage="1" showErrorMessage="1" sqref="G1" xr:uid="{2E581FAA-D434-ED4A-854C-E7F040AB8E17}">
      <formula1>"Jan, Feb, March, April, May, June, July, Aug, Sep, Oct, Nov, Dec"</formula1>
    </dataValidation>
    <dataValidation type="list" allowBlank="1" showInputMessage="1" showErrorMessage="1" sqref="L3" xr:uid="{6485F732-46BC-C74D-96B7-5F0FBE6A28A7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3BD2-9844-104F-8C76-EB5A18AD382A}">
  <sheetPr codeName="Sheet8">
    <pageSetUpPr fitToPage="1"/>
  </sheetPr>
  <dimension ref="A1:N150"/>
  <sheetViews>
    <sheetView topLeftCell="A4" zoomScale="70" zoomScaleNormal="70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144</v>
      </c>
      <c r="H1" s="2">
        <v>2017</v>
      </c>
      <c r="I1" s="491"/>
      <c r="J1" s="491"/>
      <c r="K1" s="491"/>
      <c r="L1" s="491"/>
      <c r="M1" s="491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4</v>
      </c>
      <c r="M6" s="525"/>
    </row>
    <row r="7" spans="1:13">
      <c r="J7" s="525" t="s">
        <v>6</v>
      </c>
      <c r="K7" s="525"/>
      <c r="L7" s="702">
        <v>42957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470" t="s">
        <v>305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79" t="s">
        <v>306</v>
      </c>
      <c r="C10" s="61">
        <v>5</v>
      </c>
      <c r="D10" s="490">
        <v>4</v>
      </c>
      <c r="E10" s="538" t="s">
        <v>332</v>
      </c>
      <c r="F10" s="538"/>
      <c r="G10" s="538"/>
      <c r="H10" s="538"/>
      <c r="I10" s="539"/>
    </row>
    <row r="11" spans="1:13">
      <c r="A11" s="537"/>
      <c r="B11" s="479" t="s">
        <v>12</v>
      </c>
      <c r="C11" s="61">
        <v>0</v>
      </c>
      <c r="D11" s="490">
        <v>1</v>
      </c>
      <c r="E11" s="540" t="s">
        <v>308</v>
      </c>
      <c r="F11" s="541"/>
      <c r="G11" s="541"/>
      <c r="H11" s="541"/>
      <c r="I11" s="542"/>
    </row>
    <row r="12" spans="1:13">
      <c r="A12" s="537"/>
      <c r="B12" s="479" t="s">
        <v>309</v>
      </c>
      <c r="C12" s="61">
        <v>1</v>
      </c>
      <c r="D12" s="490">
        <v>1</v>
      </c>
      <c r="E12" s="538" t="s">
        <v>130</v>
      </c>
      <c r="F12" s="538"/>
      <c r="G12" s="538"/>
      <c r="H12" s="538"/>
      <c r="I12" s="539"/>
    </row>
    <row r="13" spans="1:13">
      <c r="A13" s="537"/>
      <c r="B13" s="479" t="s">
        <v>13</v>
      </c>
      <c r="C13" s="61">
        <v>5</v>
      </c>
      <c r="D13" s="490">
        <v>1</v>
      </c>
      <c r="E13" s="538" t="s">
        <v>310</v>
      </c>
      <c r="F13" s="538"/>
      <c r="G13" s="538"/>
      <c r="H13" s="538"/>
      <c r="I13" s="539"/>
    </row>
    <row r="14" spans="1:13" s="8" customFormat="1" ht="14" thickBot="1">
      <c r="A14" s="526" t="s">
        <v>14</v>
      </c>
      <c r="B14" s="527"/>
      <c r="C14" s="7">
        <f>SUM(C10:C13)</f>
        <v>11</v>
      </c>
      <c r="D14" s="7">
        <f>SUM(D10:D13)</f>
        <v>7</v>
      </c>
      <c r="E14" s="528" t="s">
        <v>15</v>
      </c>
      <c r="F14" s="529"/>
      <c r="G14" s="529"/>
      <c r="H14" s="529"/>
      <c r="I14" s="530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31" t="s">
        <v>18</v>
      </c>
      <c r="B18" s="533" t="s">
        <v>19</v>
      </c>
      <c r="C18" s="533"/>
      <c r="D18" s="533" t="s">
        <v>20</v>
      </c>
      <c r="E18" s="533"/>
      <c r="F18" s="533"/>
      <c r="G18" s="533" t="s">
        <v>21</v>
      </c>
      <c r="H18" s="533"/>
      <c r="I18" s="533"/>
      <c r="J18" s="533" t="s">
        <v>22</v>
      </c>
      <c r="K18" s="533"/>
      <c r="L18" s="533"/>
      <c r="M18" s="536"/>
    </row>
    <row r="19" spans="1:13">
      <c r="A19" s="532"/>
      <c r="B19" s="534"/>
      <c r="C19" s="534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534"/>
      <c r="K19" s="534"/>
      <c r="L19" s="534"/>
      <c r="M19" s="543"/>
    </row>
    <row r="20" spans="1:13">
      <c r="A20" s="544" t="s">
        <v>26</v>
      </c>
      <c r="B20" s="545"/>
      <c r="C20" s="545"/>
      <c r="D20" s="545"/>
      <c r="E20" s="545"/>
      <c r="F20" s="545"/>
      <c r="G20" s="545"/>
      <c r="H20" s="545"/>
      <c r="I20" s="545"/>
      <c r="J20" s="545"/>
      <c r="K20" s="545"/>
      <c r="L20" s="545"/>
      <c r="M20" s="546"/>
    </row>
    <row r="21" spans="1:13">
      <c r="A21" s="547" t="s">
        <v>27</v>
      </c>
      <c r="B21" s="550" t="s">
        <v>28</v>
      </c>
      <c r="C21" s="128" t="s">
        <v>29</v>
      </c>
      <c r="D21" s="61">
        <v>14188</v>
      </c>
      <c r="E21" s="490">
        <v>12209</v>
      </c>
      <c r="F21" s="14">
        <f t="shared" ref="F21:F26" si="0">E21/D21</f>
        <v>0.86051592895404572</v>
      </c>
      <c r="G21" s="479">
        <f>D21+'2017JUN'!G21</f>
        <v>98258</v>
      </c>
      <c r="H21" s="479">
        <f>E21+'2017JUN'!H21</f>
        <v>80787</v>
      </c>
      <c r="I21" s="14">
        <f t="shared" ref="I21:I26" si="1">H21/G21</f>
        <v>0.82219259500498687</v>
      </c>
      <c r="J21" s="525"/>
      <c r="K21" s="525"/>
      <c r="L21" s="525"/>
      <c r="M21" s="552"/>
    </row>
    <row r="22" spans="1:13" ht="13.5" customHeight="1">
      <c r="A22" s="548"/>
      <c r="B22" s="551"/>
      <c r="C22" s="15" t="s">
        <v>30</v>
      </c>
      <c r="D22" s="487">
        <f>SUM(D21:D21)</f>
        <v>14188</v>
      </c>
      <c r="E22" s="487">
        <f>SUM(E21:E21)</f>
        <v>12209</v>
      </c>
      <c r="F22" s="16">
        <f t="shared" si="0"/>
        <v>0.86051592895404572</v>
      </c>
      <c r="G22" s="487">
        <f>SUM(G21:G21)</f>
        <v>98258</v>
      </c>
      <c r="H22" s="487">
        <f>SUM(H21:H21)</f>
        <v>80787</v>
      </c>
      <c r="I22" s="16">
        <f t="shared" si="1"/>
        <v>0.82219259500498687</v>
      </c>
      <c r="J22" s="553"/>
      <c r="K22" s="553"/>
      <c r="L22" s="553"/>
      <c r="M22" s="554"/>
    </row>
    <row r="23" spans="1:13" ht="13.5" customHeight="1">
      <c r="A23" s="548"/>
      <c r="B23" s="555" t="s">
        <v>31</v>
      </c>
      <c r="C23" s="128" t="s">
        <v>29</v>
      </c>
      <c r="D23" s="61">
        <v>4619</v>
      </c>
      <c r="E23" s="490">
        <v>3791</v>
      </c>
      <c r="F23" s="14">
        <f t="shared" si="0"/>
        <v>0.8207404200043299</v>
      </c>
      <c r="G23" s="479">
        <f>D23+'2017JUN'!G23</f>
        <v>32665</v>
      </c>
      <c r="H23" s="479">
        <f>E23+'2017JUN'!H23</f>
        <v>28526</v>
      </c>
      <c r="I23" s="14">
        <f t="shared" si="1"/>
        <v>0.87328945354354814</v>
      </c>
      <c r="J23" s="525"/>
      <c r="K23" s="525"/>
      <c r="L23" s="525"/>
      <c r="M23" s="552"/>
    </row>
    <row r="24" spans="1:13" ht="13.5" customHeight="1">
      <c r="A24" s="548"/>
      <c r="B24" s="555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525"/>
      <c r="K24" s="525"/>
      <c r="L24" s="525"/>
      <c r="M24" s="552"/>
    </row>
    <row r="25" spans="1:13" ht="13.5" customHeight="1">
      <c r="A25" s="548"/>
      <c r="B25" s="555"/>
      <c r="C25" s="15" t="s">
        <v>30</v>
      </c>
      <c r="D25" s="487">
        <f>SUM(D23:D24)</f>
        <v>4619</v>
      </c>
      <c r="E25" s="487">
        <f>SUM(E23:E24)</f>
        <v>3791</v>
      </c>
      <c r="F25" s="16">
        <f t="shared" si="0"/>
        <v>0.8207404200043299</v>
      </c>
      <c r="G25" s="487">
        <f>SUM(G23:G24)</f>
        <v>32665</v>
      </c>
      <c r="H25" s="487">
        <f>SUM(H23:H24)</f>
        <v>28526</v>
      </c>
      <c r="I25" s="16">
        <f t="shared" si="1"/>
        <v>0.87328945354354814</v>
      </c>
      <c r="J25" s="553"/>
      <c r="K25" s="553"/>
      <c r="L25" s="553"/>
      <c r="M25" s="554"/>
    </row>
    <row r="26" spans="1:13" s="8" customFormat="1" ht="14.25" customHeight="1" thickBot="1">
      <c r="A26" s="549"/>
      <c r="B26" s="556" t="s">
        <v>30</v>
      </c>
      <c r="C26" s="556"/>
      <c r="D26" s="489">
        <f>SUM(D22,D25)</f>
        <v>18807</v>
      </c>
      <c r="E26" s="489">
        <f>SUM(E22,E25)</f>
        <v>16000</v>
      </c>
      <c r="F26" s="17">
        <f t="shared" si="0"/>
        <v>0.85074706226405061</v>
      </c>
      <c r="G26" s="489">
        <f>SUM(G22,G25)</f>
        <v>130923</v>
      </c>
      <c r="H26" s="489">
        <f>SUM(H22,H25)</f>
        <v>109313</v>
      </c>
      <c r="I26" s="17">
        <f t="shared" si="1"/>
        <v>0.83494114861407087</v>
      </c>
      <c r="J26" s="556"/>
      <c r="K26" s="556"/>
      <c r="L26" s="556"/>
      <c r="M26" s="557"/>
    </row>
    <row r="27" spans="1:13">
      <c r="A27" s="558" t="s">
        <v>33</v>
      </c>
      <c r="B27" s="559"/>
      <c r="C27" s="559"/>
      <c r="D27" s="559"/>
      <c r="E27" s="559"/>
      <c r="F27" s="559"/>
      <c r="G27" s="559"/>
      <c r="H27" s="559"/>
      <c r="I27" s="559"/>
      <c r="J27" s="559"/>
      <c r="K27" s="559"/>
      <c r="L27" s="559"/>
      <c r="M27" s="560"/>
    </row>
    <row r="28" spans="1:13" ht="12.75" customHeight="1">
      <c r="A28" s="561" t="s">
        <v>34</v>
      </c>
      <c r="B28" s="564" t="s">
        <v>35</v>
      </c>
      <c r="C28" s="128" t="s">
        <v>29</v>
      </c>
      <c r="D28" s="61">
        <v>200</v>
      </c>
      <c r="E28" s="490">
        <v>241</v>
      </c>
      <c r="F28" s="14">
        <f>E28/D28</f>
        <v>1.2050000000000001</v>
      </c>
      <c r="G28" s="479">
        <f>D28+'2017JUN'!G28</f>
        <v>1400</v>
      </c>
      <c r="H28" s="479">
        <f>E28+'2017JUN'!H28</f>
        <v>6062</v>
      </c>
      <c r="I28" s="14">
        <f>H28/G28</f>
        <v>4.33</v>
      </c>
      <c r="J28" s="525"/>
      <c r="K28" s="525"/>
      <c r="L28" s="525"/>
      <c r="M28" s="552"/>
    </row>
    <row r="29" spans="1:13">
      <c r="A29" s="562"/>
      <c r="B29" s="565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525"/>
      <c r="K29" s="525"/>
      <c r="L29" s="525"/>
      <c r="M29" s="552"/>
    </row>
    <row r="30" spans="1:13">
      <c r="A30" s="562"/>
      <c r="B30" s="566"/>
      <c r="C30" s="15" t="s">
        <v>30</v>
      </c>
      <c r="D30" s="487">
        <f>SUM(D28:D29)</f>
        <v>200</v>
      </c>
      <c r="E30" s="487">
        <f>SUM(E28:E29)</f>
        <v>241</v>
      </c>
      <c r="F30" s="14">
        <f t="shared" si="2"/>
        <v>1.2050000000000001</v>
      </c>
      <c r="G30" s="487">
        <f>SUM(G28:G29)</f>
        <v>1400</v>
      </c>
      <c r="H30" s="487">
        <f>SUM(H28:H29)</f>
        <v>6062</v>
      </c>
      <c r="I30" s="14">
        <f t="shared" si="3"/>
        <v>4.33</v>
      </c>
      <c r="J30" s="553"/>
      <c r="K30" s="553"/>
      <c r="L30" s="553"/>
      <c r="M30" s="554"/>
    </row>
    <row r="31" spans="1:13" ht="12.75" customHeight="1">
      <c r="A31" s="562"/>
      <c r="B31" s="567" t="s">
        <v>36</v>
      </c>
      <c r="C31" s="568"/>
      <c r="D31" s="61">
        <v>3700</v>
      </c>
      <c r="E31" s="490">
        <v>4985</v>
      </c>
      <c r="F31" s="14">
        <f t="shared" si="2"/>
        <v>1.3472972972972972</v>
      </c>
      <c r="G31" s="479">
        <f>D31+'2017JUN'!G31</f>
        <v>18400</v>
      </c>
      <c r="H31" s="479">
        <f>E31+'2017JUN'!H31</f>
        <v>27982</v>
      </c>
      <c r="I31" s="14">
        <f t="shared" si="3"/>
        <v>1.5207608695652175</v>
      </c>
      <c r="J31" s="525"/>
      <c r="K31" s="525"/>
      <c r="L31" s="525"/>
      <c r="M31" s="552"/>
    </row>
    <row r="32" spans="1:13" s="8" customFormat="1">
      <c r="A32" s="563"/>
      <c r="B32" s="534" t="s">
        <v>30</v>
      </c>
      <c r="C32" s="534"/>
      <c r="D32" s="485">
        <f>SUM(D30,D31)</f>
        <v>3900</v>
      </c>
      <c r="E32" s="485">
        <f>SUM(E30,E31)</f>
        <v>5226</v>
      </c>
      <c r="F32" s="14">
        <f t="shared" si="2"/>
        <v>1.34</v>
      </c>
      <c r="G32" s="485">
        <f>SUM(G30,G31)</f>
        <v>19800</v>
      </c>
      <c r="H32" s="485">
        <f>SUM(H30,H31)</f>
        <v>34044</v>
      </c>
      <c r="I32" s="14">
        <f t="shared" si="3"/>
        <v>1.7193939393939395</v>
      </c>
      <c r="J32" s="534"/>
      <c r="K32" s="534"/>
      <c r="L32" s="534"/>
      <c r="M32" s="543"/>
    </row>
    <row r="33" spans="1:13">
      <c r="A33" s="573" t="s">
        <v>37</v>
      </c>
      <c r="B33" s="555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D33+'2017JUN'!G33</f>
        <v>245000</v>
      </c>
      <c r="H33" s="479">
        <f>E33+'2017JUN'!H33</f>
        <v>0</v>
      </c>
      <c r="I33" s="14">
        <f t="shared" si="3"/>
        <v>0</v>
      </c>
      <c r="J33" s="525"/>
      <c r="K33" s="525"/>
      <c r="L33" s="525"/>
      <c r="M33" s="552"/>
    </row>
    <row r="34" spans="1:13">
      <c r="A34" s="573"/>
      <c r="B34" s="555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525"/>
      <c r="K34" s="525"/>
      <c r="L34" s="525"/>
      <c r="M34" s="552"/>
    </row>
    <row r="35" spans="1:13">
      <c r="A35" s="573"/>
      <c r="B35" s="555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245000</v>
      </c>
      <c r="H35" s="487">
        <f>SUM(H33:H34)</f>
        <v>0</v>
      </c>
      <c r="I35" s="16">
        <f t="shared" si="3"/>
        <v>0</v>
      </c>
      <c r="J35" s="553"/>
      <c r="K35" s="553"/>
      <c r="L35" s="553"/>
      <c r="M35" s="554"/>
    </row>
    <row r="36" spans="1:13" ht="12" customHeight="1">
      <c r="A36" s="573"/>
      <c r="B36" s="574" t="s">
        <v>41</v>
      </c>
      <c r="C36" s="18" t="s">
        <v>270</v>
      </c>
      <c r="D36" s="479">
        <v>2222</v>
      </c>
      <c r="E36" s="490">
        <v>28435</v>
      </c>
      <c r="F36" s="14">
        <f t="shared" si="2"/>
        <v>12.797029702970297</v>
      </c>
      <c r="G36" s="479">
        <f>D36+'2017JUN'!G36</f>
        <v>8888</v>
      </c>
      <c r="H36" s="479">
        <f>E36</f>
        <v>28435</v>
      </c>
      <c r="I36" s="14">
        <f t="shared" si="3"/>
        <v>3.1992574257425743</v>
      </c>
      <c r="J36" s="525" t="s">
        <v>351</v>
      </c>
      <c r="K36" s="525"/>
      <c r="L36" s="525"/>
      <c r="M36" s="552"/>
    </row>
    <row r="37" spans="1:13" ht="12" customHeight="1">
      <c r="A37" s="573"/>
      <c r="B37" s="574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525"/>
      <c r="K37" s="525"/>
      <c r="L37" s="525"/>
      <c r="M37" s="552"/>
    </row>
    <row r="38" spans="1:13" ht="12" customHeight="1">
      <c r="A38" s="573"/>
      <c r="B38" s="574"/>
      <c r="C38" s="15" t="s">
        <v>30</v>
      </c>
      <c r="D38" s="487">
        <f>SUM(D36:D37)</f>
        <v>2222</v>
      </c>
      <c r="E38" s="487">
        <f>SUM(E36:E37)</f>
        <v>28435</v>
      </c>
      <c r="F38" s="16">
        <f t="shared" si="2"/>
        <v>12.797029702970297</v>
      </c>
      <c r="G38" s="487">
        <f>SUM(G36:G37)</f>
        <v>8888</v>
      </c>
      <c r="H38" s="487">
        <f>SUM(H36:H37)</f>
        <v>28435</v>
      </c>
      <c r="I38" s="16">
        <f t="shared" si="3"/>
        <v>3.1992574257425743</v>
      </c>
      <c r="J38" s="553"/>
      <c r="K38" s="553"/>
      <c r="L38" s="553"/>
      <c r="M38" s="554"/>
    </row>
    <row r="39" spans="1:13" s="8" customFormat="1" ht="12" customHeight="1">
      <c r="A39" s="573"/>
      <c r="B39" s="534" t="s">
        <v>30</v>
      </c>
      <c r="C39" s="534"/>
      <c r="D39" s="485">
        <f>SUM(D35,D38)</f>
        <v>37222</v>
      </c>
      <c r="E39" s="485">
        <f>SUM(E35,E38)</f>
        <v>28435</v>
      </c>
      <c r="F39" s="19">
        <f t="shared" si="2"/>
        <v>0.76392993391005315</v>
      </c>
      <c r="G39" s="485">
        <f>SUM(G35,G38)</f>
        <v>253888</v>
      </c>
      <c r="H39" s="485">
        <f>SUM(H35,H38)</f>
        <v>28435</v>
      </c>
      <c r="I39" s="19">
        <f t="shared" si="3"/>
        <v>0.11199820393244266</v>
      </c>
      <c r="J39" s="534"/>
      <c r="K39" s="534"/>
      <c r="L39" s="534"/>
      <c r="M39" s="543"/>
    </row>
    <row r="40" spans="1:13" s="8" customFormat="1">
      <c r="A40" s="569" t="s">
        <v>42</v>
      </c>
      <c r="B40" s="570"/>
      <c r="C40" s="570"/>
      <c r="D40" s="483">
        <v>300</v>
      </c>
      <c r="E40" s="510">
        <v>799</v>
      </c>
      <c r="F40" s="21">
        <f t="shared" si="2"/>
        <v>2.6633333333333336</v>
      </c>
      <c r="G40" s="483">
        <f>D40+'2017JUN'!G40</f>
        <v>2100</v>
      </c>
      <c r="H40" s="483">
        <f>E40+'2017JUN'!H40</f>
        <v>6182</v>
      </c>
      <c r="I40" s="21">
        <f t="shared" si="3"/>
        <v>2.9438095238095237</v>
      </c>
      <c r="J40" s="570"/>
      <c r="K40" s="570"/>
      <c r="L40" s="570"/>
      <c r="M40" s="571"/>
    </row>
    <row r="41" spans="1:13" s="8" customFormat="1">
      <c r="A41" s="569" t="s">
        <v>43</v>
      </c>
      <c r="B41" s="570"/>
      <c r="C41" s="570"/>
      <c r="D41" s="483">
        <v>5250</v>
      </c>
      <c r="E41" s="483">
        <v>0</v>
      </c>
      <c r="F41" s="21">
        <f t="shared" si="2"/>
        <v>0</v>
      </c>
      <c r="G41" s="483">
        <f>D41+'2017JUN'!G41</f>
        <v>23250</v>
      </c>
      <c r="H41" s="483">
        <f>E41+'2017JUN'!H41</f>
        <v>0</v>
      </c>
      <c r="I41" s="21">
        <f t="shared" si="3"/>
        <v>0</v>
      </c>
      <c r="J41" s="572" t="s">
        <v>44</v>
      </c>
      <c r="K41" s="570"/>
      <c r="L41" s="570"/>
      <c r="M41" s="571"/>
    </row>
    <row r="42" spans="1:13" s="8" customFormat="1">
      <c r="A42" s="569" t="s">
        <v>45</v>
      </c>
      <c r="B42" s="570"/>
      <c r="C42" s="570"/>
      <c r="D42" s="483">
        <v>17000</v>
      </c>
      <c r="E42" s="20">
        <v>51000</v>
      </c>
      <c r="F42" s="21">
        <f t="shared" si="2"/>
        <v>3</v>
      </c>
      <c r="G42" s="483">
        <f>D42+'2017JUN'!G42</f>
        <v>119000</v>
      </c>
      <c r="H42" s="483">
        <f>E42+'2017JUN'!H42</f>
        <v>153000</v>
      </c>
      <c r="I42" s="21">
        <f t="shared" si="3"/>
        <v>1.2857142857142858</v>
      </c>
      <c r="J42" s="570"/>
      <c r="K42" s="570"/>
      <c r="L42" s="570"/>
      <c r="M42" s="571"/>
    </row>
    <row r="43" spans="1:13" s="8" customFormat="1">
      <c r="A43" s="587" t="s">
        <v>46</v>
      </c>
      <c r="B43" s="588"/>
      <c r="C43" s="589"/>
      <c r="D43" s="484">
        <f>SUM(D26,D32,D39,D40:D42)</f>
        <v>82479</v>
      </c>
      <c r="E43" s="484">
        <f>SUM(E26,E32,E39,E40:E42)</f>
        <v>101460</v>
      </c>
      <c r="F43" s="22">
        <f t="shared" si="2"/>
        <v>1.2301313061506565</v>
      </c>
      <c r="G43" s="484">
        <f>SUM(G26,G32,G39,G40:G42)</f>
        <v>548961</v>
      </c>
      <c r="H43" s="484">
        <f>SUM(H26,H32,H39,H40:H42)</f>
        <v>330974</v>
      </c>
      <c r="I43" s="22">
        <f t="shared" si="3"/>
        <v>0.60290986062762197</v>
      </c>
      <c r="J43" s="590" t="s">
        <v>15</v>
      </c>
      <c r="K43" s="591"/>
      <c r="L43" s="591"/>
      <c r="M43" s="592"/>
    </row>
    <row r="44" spans="1:13" s="8" customFormat="1">
      <c r="A44" s="587" t="s">
        <v>47</v>
      </c>
      <c r="B44" s="588"/>
      <c r="C44" s="589"/>
      <c r="D44" s="484">
        <f>D43-D40</f>
        <v>82179</v>
      </c>
      <c r="E44" s="484">
        <f>E43-E40</f>
        <v>100661</v>
      </c>
      <c r="F44" s="22">
        <f t="shared" si="2"/>
        <v>1.2248993051752881</v>
      </c>
      <c r="G44" s="484">
        <f>G43-G40</f>
        <v>546861</v>
      </c>
      <c r="H44" s="484">
        <f>H43-H40</f>
        <v>324792</v>
      </c>
      <c r="I44" s="22">
        <f t="shared" si="3"/>
        <v>0.59392057579531177</v>
      </c>
      <c r="J44" s="590" t="s">
        <v>15</v>
      </c>
      <c r="K44" s="591"/>
      <c r="L44" s="591"/>
      <c r="M44" s="592"/>
    </row>
    <row r="45" spans="1:13" s="8" customFormat="1" ht="14" thickBot="1">
      <c r="A45" s="575" t="s">
        <v>48</v>
      </c>
      <c r="B45" s="576"/>
      <c r="C45" s="577"/>
      <c r="D45" s="482">
        <f>D44-D42</f>
        <v>65179</v>
      </c>
      <c r="E45" s="482">
        <f>E44-E42</f>
        <v>49661</v>
      </c>
      <c r="F45" s="23">
        <f t="shared" si="2"/>
        <v>0.76191718191442026</v>
      </c>
      <c r="G45" s="482">
        <f>G44-G42</f>
        <v>427861</v>
      </c>
      <c r="H45" s="482">
        <f>H44-H42</f>
        <v>171792</v>
      </c>
      <c r="I45" s="23">
        <f t="shared" si="3"/>
        <v>0.40151357567060331</v>
      </c>
      <c r="J45" s="578" t="s">
        <v>15</v>
      </c>
      <c r="K45" s="579"/>
      <c r="L45" s="579"/>
      <c r="M45" s="580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581" t="s">
        <v>50</v>
      </c>
      <c r="B49" s="582"/>
      <c r="C49" s="582"/>
      <c r="D49" s="582" t="s">
        <v>20</v>
      </c>
      <c r="E49" s="582"/>
      <c r="F49" s="582"/>
      <c r="G49" s="582" t="s">
        <v>21</v>
      </c>
      <c r="H49" s="582"/>
      <c r="I49" s="582"/>
      <c r="J49" s="582" t="s">
        <v>10</v>
      </c>
      <c r="K49" s="582"/>
      <c r="L49" s="582"/>
      <c r="M49" s="585"/>
    </row>
    <row r="50" spans="1:13">
      <c r="A50" s="583"/>
      <c r="B50" s="584"/>
      <c r="C50" s="584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584"/>
      <c r="K50" s="584"/>
      <c r="L50" s="584"/>
      <c r="M50" s="586"/>
    </row>
    <row r="51" spans="1:13" ht="13.5" customHeight="1">
      <c r="A51" s="593" t="s">
        <v>51</v>
      </c>
      <c r="B51" s="525" t="s">
        <v>29</v>
      </c>
      <c r="C51" s="27" t="s">
        <v>52</v>
      </c>
      <c r="D51" s="61">
        <v>5</v>
      </c>
      <c r="E51" s="490">
        <v>32</v>
      </c>
      <c r="F51" s="28">
        <f t="shared" ref="F51:F77" si="4">E51/D51</f>
        <v>6.4</v>
      </c>
      <c r="G51" s="479">
        <f>D51+'2017JUN'!G51</f>
        <v>35</v>
      </c>
      <c r="H51" s="479">
        <f>E51+'2017JUN'!H51</f>
        <v>57</v>
      </c>
      <c r="I51" s="28">
        <f t="shared" ref="I51:I77" si="5">H51/G51</f>
        <v>1.6285714285714286</v>
      </c>
      <c r="J51" s="596"/>
      <c r="K51" s="597"/>
      <c r="L51" s="597"/>
      <c r="M51" s="598"/>
    </row>
    <row r="52" spans="1:13">
      <c r="A52" s="594"/>
      <c r="B52" s="525"/>
      <c r="C52" s="27" t="s">
        <v>53</v>
      </c>
      <c r="D52" s="61">
        <v>401</v>
      </c>
      <c r="E52" s="490">
        <v>411</v>
      </c>
      <c r="F52" s="28">
        <f t="shared" si="4"/>
        <v>1.0249376558603491</v>
      </c>
      <c r="G52" s="479">
        <f>D52+'2017JUN'!G52</f>
        <v>2872</v>
      </c>
      <c r="H52" s="479">
        <f>E52+'2017JUN'!H52</f>
        <v>2801</v>
      </c>
      <c r="I52" s="28">
        <f t="shared" si="5"/>
        <v>0.97527855153203347</v>
      </c>
      <c r="J52" s="596"/>
      <c r="K52" s="597"/>
      <c r="L52" s="597"/>
      <c r="M52" s="598"/>
    </row>
    <row r="53" spans="1:13">
      <c r="A53" s="595"/>
      <c r="B53" s="525"/>
      <c r="C53" s="29" t="s">
        <v>54</v>
      </c>
      <c r="D53" s="487">
        <f>SUM(D51:D52)</f>
        <v>406</v>
      </c>
      <c r="E53" s="487">
        <f>SUM(E51:E52)</f>
        <v>443</v>
      </c>
      <c r="F53" s="30">
        <f t="shared" si="4"/>
        <v>1.0911330049261083</v>
      </c>
      <c r="G53" s="487">
        <f>SUM(G51:G52)</f>
        <v>2907</v>
      </c>
      <c r="H53" s="487">
        <f>SUM(H51:H52)</f>
        <v>2858</v>
      </c>
      <c r="I53" s="30">
        <f t="shared" si="5"/>
        <v>0.9831441348469212</v>
      </c>
      <c r="J53" s="599"/>
      <c r="K53" s="600"/>
      <c r="L53" s="600"/>
      <c r="M53" s="601"/>
    </row>
    <row r="54" spans="1:13">
      <c r="A54" s="602" t="s">
        <v>55</v>
      </c>
      <c r="B54" s="525" t="s">
        <v>52</v>
      </c>
      <c r="C54" s="525"/>
      <c r="D54" s="61">
        <v>2</v>
      </c>
      <c r="E54" s="490">
        <v>9</v>
      </c>
      <c r="F54" s="28">
        <f t="shared" si="4"/>
        <v>4.5</v>
      </c>
      <c r="G54" s="479">
        <f>D54+'2017JUN'!G54</f>
        <v>14</v>
      </c>
      <c r="H54" s="479">
        <f>E54+'2017JUN'!H54</f>
        <v>12</v>
      </c>
      <c r="I54" s="28">
        <f t="shared" si="5"/>
        <v>0.8571428571428571</v>
      </c>
      <c r="J54" s="596"/>
      <c r="K54" s="597"/>
      <c r="L54" s="597"/>
      <c r="M54" s="598"/>
    </row>
    <row r="55" spans="1:13">
      <c r="A55" s="602"/>
      <c r="B55" s="525" t="s">
        <v>53</v>
      </c>
      <c r="C55" s="525"/>
      <c r="D55" s="61">
        <v>299</v>
      </c>
      <c r="E55" s="490">
        <v>341</v>
      </c>
      <c r="F55" s="28">
        <f t="shared" si="4"/>
        <v>1.1404682274247491</v>
      </c>
      <c r="G55" s="479">
        <f>D55+'2017JUN'!G55</f>
        <v>2141</v>
      </c>
      <c r="H55" s="479">
        <f>E55+'2017JUN'!H55</f>
        <v>2451</v>
      </c>
      <c r="I55" s="28">
        <f t="shared" si="5"/>
        <v>1.1447921531994396</v>
      </c>
      <c r="J55" s="596"/>
      <c r="K55" s="597"/>
      <c r="L55" s="597"/>
      <c r="M55" s="598"/>
    </row>
    <row r="56" spans="1:13">
      <c r="A56" s="602"/>
      <c r="B56" s="603" t="s">
        <v>30</v>
      </c>
      <c r="C56" s="603"/>
      <c r="D56" s="474">
        <f>SUM(D54:D55)</f>
        <v>301</v>
      </c>
      <c r="E56" s="474">
        <f>SUM(E54:E55)</f>
        <v>350</v>
      </c>
      <c r="F56" s="28">
        <f t="shared" si="4"/>
        <v>1.1627906976744187</v>
      </c>
      <c r="G56" s="474">
        <f>SUM(G54:G55)</f>
        <v>2155</v>
      </c>
      <c r="H56" s="474">
        <f>SUM(H54:H55)</f>
        <v>2463</v>
      </c>
      <c r="I56" s="31">
        <f t="shared" si="5"/>
        <v>1.1429234338747101</v>
      </c>
      <c r="J56" s="604"/>
      <c r="K56" s="605"/>
      <c r="L56" s="605"/>
      <c r="M56" s="606"/>
    </row>
    <row r="57" spans="1:13" s="8" customFormat="1">
      <c r="A57" s="607" t="s">
        <v>46</v>
      </c>
      <c r="B57" s="609" t="s">
        <v>52</v>
      </c>
      <c r="C57" s="609"/>
      <c r="D57" s="473">
        <f>SUM(D51,D54)</f>
        <v>7</v>
      </c>
      <c r="E57" s="473">
        <f>SUM(E51,E54)</f>
        <v>41</v>
      </c>
      <c r="F57" s="32">
        <f t="shared" si="4"/>
        <v>5.8571428571428568</v>
      </c>
      <c r="G57" s="473">
        <f>SUM(G51,G54)</f>
        <v>49</v>
      </c>
      <c r="H57" s="473">
        <f>SUM(H51,H54)</f>
        <v>69</v>
      </c>
      <c r="I57" s="32">
        <f t="shared" si="5"/>
        <v>1.4081632653061225</v>
      </c>
      <c r="J57" s="610"/>
      <c r="K57" s="611"/>
      <c r="L57" s="611"/>
      <c r="M57" s="612"/>
    </row>
    <row r="58" spans="1:13" s="8" customFormat="1">
      <c r="A58" s="607"/>
      <c r="B58" s="609" t="s">
        <v>53</v>
      </c>
      <c r="C58" s="609"/>
      <c r="D58" s="473">
        <f>SUM(D52,D55)</f>
        <v>700</v>
      </c>
      <c r="E58" s="473">
        <f>SUM(E52,E55)</f>
        <v>752</v>
      </c>
      <c r="F58" s="32">
        <f t="shared" si="4"/>
        <v>1.0742857142857143</v>
      </c>
      <c r="G58" s="473">
        <f>SUM(G52,G55)</f>
        <v>5013</v>
      </c>
      <c r="H58" s="473">
        <f>SUM(H52,H55)</f>
        <v>5252</v>
      </c>
      <c r="I58" s="32">
        <f t="shared" si="5"/>
        <v>1.047676042290046</v>
      </c>
      <c r="J58" s="610"/>
      <c r="K58" s="611"/>
      <c r="L58" s="611"/>
      <c r="M58" s="612"/>
    </row>
    <row r="59" spans="1:13" s="8" customFormat="1" ht="17.25" customHeight="1" thickBot="1">
      <c r="A59" s="608"/>
      <c r="B59" s="613" t="s">
        <v>56</v>
      </c>
      <c r="C59" s="613"/>
      <c r="D59" s="481">
        <f>SUM(D57:D58)</f>
        <v>707</v>
      </c>
      <c r="E59" s="481">
        <f>SUM(E57:E58)</f>
        <v>793</v>
      </c>
      <c r="F59" s="33">
        <f t="shared" si="4"/>
        <v>1.1216407355021216</v>
      </c>
      <c r="G59" s="481">
        <f>SUM(G57:G58)</f>
        <v>5062</v>
      </c>
      <c r="H59" s="481">
        <f>SUM(H57:H58)</f>
        <v>5321</v>
      </c>
      <c r="I59" s="33">
        <f t="shared" si="5"/>
        <v>1.0511655472145398</v>
      </c>
      <c r="J59" s="614"/>
      <c r="K59" s="615"/>
      <c r="L59" s="615"/>
      <c r="M59" s="616"/>
    </row>
    <row r="60" spans="1:13">
      <c r="A60" s="593" t="s">
        <v>57</v>
      </c>
      <c r="B60" s="525" t="s">
        <v>29</v>
      </c>
      <c r="C60" s="27" t="s">
        <v>52</v>
      </c>
      <c r="D60" s="61">
        <v>16</v>
      </c>
      <c r="E60" s="479">
        <f>E69/10</f>
        <v>121.7</v>
      </c>
      <c r="F60" s="28">
        <f t="shared" si="4"/>
        <v>7.6062500000000002</v>
      </c>
      <c r="G60" s="479">
        <f>D60+'2017JUN'!G60</f>
        <v>112</v>
      </c>
      <c r="H60" s="479">
        <f>E60+'2017JUN'!H60</f>
        <v>204.7</v>
      </c>
      <c r="I60" s="28">
        <f t="shared" si="5"/>
        <v>1.8276785714285713</v>
      </c>
      <c r="J60" s="596"/>
      <c r="K60" s="597"/>
      <c r="L60" s="597"/>
      <c r="M60" s="598"/>
    </row>
    <row r="61" spans="1:13">
      <c r="A61" s="594"/>
      <c r="B61" s="525"/>
      <c r="C61" s="27" t="s">
        <v>53</v>
      </c>
      <c r="D61" s="61">
        <v>1310</v>
      </c>
      <c r="E61" s="479">
        <f>E70/10</f>
        <v>1099.2</v>
      </c>
      <c r="F61" s="28">
        <f t="shared" si="4"/>
        <v>0.83908396946564889</v>
      </c>
      <c r="G61" s="479">
        <f>D61+'2017JUN'!G61</f>
        <v>9390</v>
      </c>
      <c r="H61" s="479">
        <f>E61+'2017JUN'!H61</f>
        <v>7874.0000000000009</v>
      </c>
      <c r="I61" s="28">
        <f t="shared" si="5"/>
        <v>0.83855165069222581</v>
      </c>
      <c r="J61" s="596"/>
      <c r="K61" s="597"/>
      <c r="L61" s="597"/>
      <c r="M61" s="598"/>
    </row>
    <row r="62" spans="1:13">
      <c r="A62" s="595"/>
      <c r="B62" s="525"/>
      <c r="C62" s="29" t="s">
        <v>54</v>
      </c>
      <c r="D62" s="61">
        <f>SUM(D60:D61)</f>
        <v>1326</v>
      </c>
      <c r="E62" s="487">
        <f>SUM(E60:E61)</f>
        <v>1220.9000000000001</v>
      </c>
      <c r="F62" s="30">
        <f t="shared" si="4"/>
        <v>0.92073906485671198</v>
      </c>
      <c r="G62" s="487">
        <f>SUM(G60:G61)</f>
        <v>9502</v>
      </c>
      <c r="H62" s="487">
        <f>SUM(H60:H61)</f>
        <v>8078.7000000000007</v>
      </c>
      <c r="I62" s="30">
        <f t="shared" si="5"/>
        <v>0.85021048200378879</v>
      </c>
      <c r="J62" s="599"/>
      <c r="K62" s="600"/>
      <c r="L62" s="600"/>
      <c r="M62" s="601"/>
    </row>
    <row r="63" spans="1:13">
      <c r="A63" s="602" t="s">
        <v>58</v>
      </c>
      <c r="B63" s="525" t="s">
        <v>52</v>
      </c>
      <c r="C63" s="525"/>
      <c r="D63" s="61">
        <v>2</v>
      </c>
      <c r="E63" s="479">
        <f>E72/10</f>
        <v>17</v>
      </c>
      <c r="F63" s="28">
        <f t="shared" si="4"/>
        <v>8.5</v>
      </c>
      <c r="G63" s="479">
        <f>D63+'2017JUN'!G63</f>
        <v>14</v>
      </c>
      <c r="H63" s="479">
        <f>E63+'2017JUN'!H63</f>
        <v>24.4</v>
      </c>
      <c r="I63" s="28">
        <f t="shared" si="5"/>
        <v>1.7428571428571427</v>
      </c>
      <c r="J63" s="596"/>
      <c r="K63" s="597"/>
      <c r="L63" s="597"/>
      <c r="M63" s="598"/>
    </row>
    <row r="64" spans="1:13">
      <c r="A64" s="602"/>
      <c r="B64" s="525" t="s">
        <v>53</v>
      </c>
      <c r="C64" s="525"/>
      <c r="D64" s="61">
        <v>448</v>
      </c>
      <c r="E64" s="479">
        <f>E73/10</f>
        <v>362.1</v>
      </c>
      <c r="F64" s="28">
        <f t="shared" si="4"/>
        <v>0.80825892857142867</v>
      </c>
      <c r="G64" s="479">
        <f>D64+'2017JUN'!G64</f>
        <v>3211</v>
      </c>
      <c r="H64" s="479">
        <f>E64+'2017JUN'!H64</f>
        <v>2828.2</v>
      </c>
      <c r="I64" s="28">
        <f t="shared" si="5"/>
        <v>0.88078480224229205</v>
      </c>
      <c r="J64" s="596"/>
      <c r="K64" s="597"/>
      <c r="L64" s="597"/>
      <c r="M64" s="598"/>
    </row>
    <row r="65" spans="1:14">
      <c r="A65" s="602"/>
      <c r="B65" s="603" t="s">
        <v>30</v>
      </c>
      <c r="C65" s="603"/>
      <c r="D65" s="474">
        <f>SUM(D63:D64)</f>
        <v>450</v>
      </c>
      <c r="E65" s="474">
        <f>SUM(E63:E64)</f>
        <v>379.1</v>
      </c>
      <c r="F65" s="31">
        <f t="shared" si="4"/>
        <v>0.84244444444444444</v>
      </c>
      <c r="G65" s="474">
        <f>SUM(G63:G64)</f>
        <v>3225</v>
      </c>
      <c r="H65" s="474">
        <f>SUM(H63:H64)</f>
        <v>2852.6</v>
      </c>
      <c r="I65" s="31">
        <f t="shared" si="5"/>
        <v>0.88452713178294573</v>
      </c>
      <c r="J65" s="604"/>
      <c r="K65" s="605"/>
      <c r="L65" s="605"/>
      <c r="M65" s="606"/>
    </row>
    <row r="66" spans="1:14" s="8" customFormat="1">
      <c r="A66" s="607" t="s">
        <v>46</v>
      </c>
      <c r="B66" s="609" t="s">
        <v>52</v>
      </c>
      <c r="C66" s="609"/>
      <c r="D66" s="473">
        <f>SUM(D60,D63)</f>
        <v>18</v>
      </c>
      <c r="E66" s="473">
        <f>SUM(E60,E63)</f>
        <v>138.69999999999999</v>
      </c>
      <c r="F66" s="32">
        <f t="shared" si="4"/>
        <v>7.7055555555555548</v>
      </c>
      <c r="G66" s="473">
        <f>SUM(G60,G63)</f>
        <v>126</v>
      </c>
      <c r="H66" s="473">
        <f>SUM(H60,H63)</f>
        <v>229.1</v>
      </c>
      <c r="I66" s="32">
        <f t="shared" si="5"/>
        <v>1.8182539682539682</v>
      </c>
      <c r="J66" s="610"/>
      <c r="K66" s="611"/>
      <c r="L66" s="611"/>
      <c r="M66" s="612"/>
    </row>
    <row r="67" spans="1:14" s="8" customFormat="1">
      <c r="A67" s="607"/>
      <c r="B67" s="609" t="s">
        <v>53</v>
      </c>
      <c r="C67" s="609"/>
      <c r="D67" s="473">
        <f>SUM(D61,D64)</f>
        <v>1758</v>
      </c>
      <c r="E67" s="473">
        <f>SUM(E61,E64)</f>
        <v>1461.3000000000002</v>
      </c>
      <c r="F67" s="32">
        <f t="shared" si="4"/>
        <v>0.83122866894197966</v>
      </c>
      <c r="G67" s="473">
        <f>SUM(G61,G64)</f>
        <v>12601</v>
      </c>
      <c r="H67" s="473">
        <f>SUM(H61,H64)</f>
        <v>10702.2</v>
      </c>
      <c r="I67" s="32">
        <f t="shared" si="5"/>
        <v>0.8493135465439251</v>
      </c>
      <c r="J67" s="610"/>
      <c r="K67" s="611"/>
      <c r="L67" s="611"/>
      <c r="M67" s="612"/>
    </row>
    <row r="68" spans="1:14" s="8" customFormat="1" ht="14" thickBot="1">
      <c r="A68" s="608"/>
      <c r="B68" s="613" t="s">
        <v>59</v>
      </c>
      <c r="C68" s="613"/>
      <c r="D68" s="481">
        <f>SUM(D66:D67)</f>
        <v>1776</v>
      </c>
      <c r="E68" s="481">
        <f>SUM(E66:E67)</f>
        <v>1600.0000000000002</v>
      </c>
      <c r="F68" s="34">
        <f t="shared" si="4"/>
        <v>0.90090090090090102</v>
      </c>
      <c r="G68" s="481">
        <f>SUM(G66:G67)</f>
        <v>12727</v>
      </c>
      <c r="H68" s="481">
        <f>SUM(H66:H67)</f>
        <v>10931.300000000001</v>
      </c>
      <c r="I68" s="34">
        <f t="shared" si="5"/>
        <v>0.85890626227704892</v>
      </c>
      <c r="J68" s="614"/>
      <c r="K68" s="615"/>
      <c r="L68" s="615"/>
      <c r="M68" s="616"/>
    </row>
    <row r="69" spans="1:14">
      <c r="A69" s="593" t="s">
        <v>60</v>
      </c>
      <c r="B69" s="525" t="s">
        <v>29</v>
      </c>
      <c r="C69" s="27" t="s">
        <v>52</v>
      </c>
      <c r="D69" s="479">
        <v>1085</v>
      </c>
      <c r="E69" s="490">
        <v>1217</v>
      </c>
      <c r="F69" s="28">
        <f t="shared" si="4"/>
        <v>1.1216589861751152</v>
      </c>
      <c r="G69" s="479">
        <f>D69+'2017JUN'!G69</f>
        <v>4340</v>
      </c>
      <c r="H69" s="479">
        <f>E69+'2017JUN'!H69</f>
        <v>2047</v>
      </c>
      <c r="I69" s="28">
        <f t="shared" si="5"/>
        <v>0.4716589861751152</v>
      </c>
      <c r="J69" s="596"/>
      <c r="K69" s="597"/>
      <c r="L69" s="597"/>
      <c r="M69" s="598"/>
    </row>
    <row r="70" spans="1:14">
      <c r="A70" s="594"/>
      <c r="B70" s="525"/>
      <c r="C70" s="27" t="s">
        <v>53</v>
      </c>
      <c r="D70" s="479">
        <v>13103</v>
      </c>
      <c r="E70" s="479">
        <f>E21-E69</f>
        <v>10992</v>
      </c>
      <c r="F70" s="28">
        <f t="shared" si="4"/>
        <v>0.83889185682668088</v>
      </c>
      <c r="G70" s="479">
        <f>D70+'2017JUN'!G70</f>
        <v>93918</v>
      </c>
      <c r="H70" s="479">
        <f>E70+'2017JUN'!H70</f>
        <v>78740</v>
      </c>
      <c r="I70" s="28">
        <f t="shared" si="5"/>
        <v>0.83839093677463317</v>
      </c>
      <c r="J70" s="596"/>
      <c r="K70" s="597"/>
      <c r="L70" s="597"/>
      <c r="M70" s="598"/>
    </row>
    <row r="71" spans="1:14">
      <c r="A71" s="595"/>
      <c r="B71" s="525"/>
      <c r="C71" s="29" t="s">
        <v>54</v>
      </c>
      <c r="D71" s="487">
        <f>SUM(D69:D70)</f>
        <v>14188</v>
      </c>
      <c r="E71" s="487">
        <f>SUM(E69:E70)</f>
        <v>12209</v>
      </c>
      <c r="F71" s="30">
        <f t="shared" si="4"/>
        <v>0.86051592895404572</v>
      </c>
      <c r="G71" s="487">
        <f>SUM(G69:G70)</f>
        <v>98258</v>
      </c>
      <c r="H71" s="487">
        <f>SUM(H69:H70)</f>
        <v>80787</v>
      </c>
      <c r="I71" s="30">
        <f t="shared" si="5"/>
        <v>0.82219259500498687</v>
      </c>
      <c r="J71" s="599"/>
      <c r="K71" s="600"/>
      <c r="L71" s="600"/>
      <c r="M71" s="601"/>
    </row>
    <row r="72" spans="1:14">
      <c r="A72" s="602" t="s">
        <v>61</v>
      </c>
      <c r="B72" s="525" t="s">
        <v>52</v>
      </c>
      <c r="C72" s="525"/>
      <c r="D72" s="479">
        <v>140</v>
      </c>
      <c r="E72" s="490">
        <v>170</v>
      </c>
      <c r="F72" s="28">
        <f t="shared" si="4"/>
        <v>1.2142857142857142</v>
      </c>
      <c r="G72" s="479">
        <f>D72+'2017JUN'!G72</f>
        <v>560</v>
      </c>
      <c r="H72" s="479">
        <f>E72+'2017JUN'!H72</f>
        <v>244</v>
      </c>
      <c r="I72" s="28">
        <f t="shared" si="5"/>
        <v>0.43571428571428572</v>
      </c>
      <c r="J72" s="596"/>
      <c r="K72" s="597"/>
      <c r="L72" s="597"/>
      <c r="M72" s="598"/>
    </row>
    <row r="73" spans="1:14">
      <c r="A73" s="602"/>
      <c r="B73" s="525" t="s">
        <v>53</v>
      </c>
      <c r="C73" s="525"/>
      <c r="D73" s="479">
        <v>4479</v>
      </c>
      <c r="E73" s="479">
        <f>E23-E72</f>
        <v>3621</v>
      </c>
      <c r="F73" s="28">
        <f t="shared" si="4"/>
        <v>0.80843938379102476</v>
      </c>
      <c r="G73" s="479">
        <f>D73+'2017JUN'!G73</f>
        <v>32105</v>
      </c>
      <c r="H73" s="479">
        <f>E73+'2017JUN'!H73</f>
        <v>28282</v>
      </c>
      <c r="I73" s="28">
        <f t="shared" si="5"/>
        <v>0.880921974770285</v>
      </c>
      <c r="J73" s="596"/>
      <c r="K73" s="597"/>
      <c r="L73" s="597"/>
      <c r="M73" s="598"/>
    </row>
    <row r="74" spans="1:14">
      <c r="A74" s="602"/>
      <c r="B74" s="603" t="s">
        <v>30</v>
      </c>
      <c r="C74" s="603"/>
      <c r="D74" s="474">
        <f>SUM(D72:D73)</f>
        <v>4619</v>
      </c>
      <c r="E74" s="474">
        <f>SUM(E72:E73)</f>
        <v>3791</v>
      </c>
      <c r="F74" s="31">
        <f t="shared" si="4"/>
        <v>0.8207404200043299</v>
      </c>
      <c r="G74" s="474">
        <f>SUM(G72:G73)</f>
        <v>32665</v>
      </c>
      <c r="H74" s="474">
        <f>SUM(H72:H73)</f>
        <v>28526</v>
      </c>
      <c r="I74" s="31">
        <f t="shared" si="5"/>
        <v>0.87328945354354814</v>
      </c>
      <c r="J74" s="604"/>
      <c r="K74" s="605"/>
      <c r="L74" s="605"/>
      <c r="M74" s="606"/>
    </row>
    <row r="75" spans="1:14" s="8" customFormat="1">
      <c r="A75" s="607" t="s">
        <v>46</v>
      </c>
      <c r="B75" s="609" t="s">
        <v>52</v>
      </c>
      <c r="C75" s="609"/>
      <c r="D75" s="473">
        <f>SUM(D69,D72)</f>
        <v>1225</v>
      </c>
      <c r="E75" s="473">
        <f>SUM(E69,E72)</f>
        <v>1387</v>
      </c>
      <c r="F75" s="32">
        <f t="shared" si="4"/>
        <v>1.1322448979591837</v>
      </c>
      <c r="G75" s="473">
        <f>SUM(G69,G72)</f>
        <v>4900</v>
      </c>
      <c r="H75" s="473">
        <f>SUM(H69,H72)</f>
        <v>2291</v>
      </c>
      <c r="I75" s="32">
        <f t="shared" si="5"/>
        <v>0.46755102040816326</v>
      </c>
      <c r="J75" s="610"/>
      <c r="K75" s="611"/>
      <c r="L75" s="611"/>
      <c r="M75" s="612"/>
    </row>
    <row r="76" spans="1:14" s="8" customFormat="1">
      <c r="A76" s="607"/>
      <c r="B76" s="609" t="s">
        <v>53</v>
      </c>
      <c r="C76" s="609"/>
      <c r="D76" s="473">
        <f>SUM(D70,D73)</f>
        <v>17582</v>
      </c>
      <c r="E76" s="473">
        <f>SUM(E70,E73)</f>
        <v>14613</v>
      </c>
      <c r="F76" s="32">
        <f t="shared" si="4"/>
        <v>0.83113411443521779</v>
      </c>
      <c r="G76" s="473">
        <f>SUM(G70,G73)</f>
        <v>126023</v>
      </c>
      <c r="H76" s="473">
        <f>SUM(H70,H73)</f>
        <v>107022</v>
      </c>
      <c r="I76" s="32">
        <f t="shared" si="5"/>
        <v>0.84922593494838239</v>
      </c>
      <c r="J76" s="610"/>
      <c r="K76" s="611"/>
      <c r="L76" s="611"/>
      <c r="M76" s="612"/>
    </row>
    <row r="77" spans="1:14" s="8" customFormat="1" ht="14" thickBot="1">
      <c r="A77" s="608"/>
      <c r="B77" s="613" t="s">
        <v>62</v>
      </c>
      <c r="C77" s="613"/>
      <c r="D77" s="481">
        <f>SUM(D75:D76)</f>
        <v>18807</v>
      </c>
      <c r="E77" s="481">
        <f>SUM(E75:E76)</f>
        <v>16000</v>
      </c>
      <c r="F77" s="34">
        <f t="shared" si="4"/>
        <v>0.85074706226405061</v>
      </c>
      <c r="G77" s="481">
        <f>SUM(G75:G76)</f>
        <v>130923</v>
      </c>
      <c r="H77" s="481">
        <f>SUM(H75:H76)</f>
        <v>109313</v>
      </c>
      <c r="I77" s="34">
        <f t="shared" si="5"/>
        <v>0.83494114861407087</v>
      </c>
      <c r="J77" s="614"/>
      <c r="K77" s="615"/>
      <c r="L77" s="615"/>
      <c r="M77" s="616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581" t="s">
        <v>65</v>
      </c>
      <c r="B82" s="582" t="s">
        <v>66</v>
      </c>
      <c r="C82" s="582" t="s">
        <v>50</v>
      </c>
      <c r="D82" s="582" t="s">
        <v>20</v>
      </c>
      <c r="E82" s="582"/>
      <c r="F82" s="582"/>
      <c r="G82" s="582" t="s">
        <v>21</v>
      </c>
      <c r="H82" s="582"/>
      <c r="I82" s="582"/>
      <c r="J82" s="582" t="s">
        <v>10</v>
      </c>
      <c r="K82" s="582"/>
      <c r="L82" s="582"/>
      <c r="M82" s="585"/>
    </row>
    <row r="83" spans="1:13">
      <c r="A83" s="583"/>
      <c r="B83" s="584"/>
      <c r="C83" s="584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584"/>
      <c r="K83" s="584"/>
      <c r="L83" s="584"/>
      <c r="M83" s="586"/>
    </row>
    <row r="84" spans="1:13">
      <c r="A84" s="573" t="s">
        <v>67</v>
      </c>
      <c r="B84" s="525" t="s">
        <v>68</v>
      </c>
      <c r="C84" s="27" t="s">
        <v>69</v>
      </c>
      <c r="D84" s="479">
        <v>0</v>
      </c>
      <c r="E84" s="490">
        <v>0</v>
      </c>
      <c r="F84" s="498" t="e">
        <f>E84/D84</f>
        <v>#DIV/0!</v>
      </c>
      <c r="G84" s="479">
        <f>D84+'2017JUN'!G84</f>
        <v>2</v>
      </c>
      <c r="H84" s="479">
        <f>E84+'2017JUN'!H84</f>
        <v>0</v>
      </c>
      <c r="I84" s="498">
        <f>H84/G84</f>
        <v>0</v>
      </c>
      <c r="J84" s="596"/>
      <c r="K84" s="597"/>
      <c r="L84" s="597"/>
      <c r="M84" s="598"/>
    </row>
    <row r="85" spans="1:13">
      <c r="A85" s="573"/>
      <c r="B85" s="525"/>
      <c r="C85" s="27" t="s">
        <v>70</v>
      </c>
      <c r="D85" s="479">
        <v>85</v>
      </c>
      <c r="E85" s="490">
        <v>67.5</v>
      </c>
      <c r="F85" s="28">
        <f t="shared" ref="F85:F98" si="6">E85/D85</f>
        <v>0.79411764705882348</v>
      </c>
      <c r="G85" s="479">
        <f>D85+'2017JUN'!G85</f>
        <v>593</v>
      </c>
      <c r="H85" s="479">
        <f>E85+'2017JUN'!H85</f>
        <v>469.5</v>
      </c>
      <c r="I85" s="28">
        <f t="shared" ref="I85:I98" si="7">H85/G85</f>
        <v>0.79173693086003372</v>
      </c>
      <c r="J85" s="596"/>
      <c r="K85" s="597"/>
      <c r="L85" s="597"/>
      <c r="M85" s="598"/>
    </row>
    <row r="86" spans="1:13">
      <c r="A86" s="573"/>
      <c r="B86" s="525"/>
      <c r="C86" s="38" t="s">
        <v>71</v>
      </c>
      <c r="D86" s="487">
        <f>SUM(D84:D85)</f>
        <v>85</v>
      </c>
      <c r="E86" s="487">
        <f>SUM(E84:E85)</f>
        <v>67.5</v>
      </c>
      <c r="F86" s="30">
        <f t="shared" si="6"/>
        <v>0.79411764705882348</v>
      </c>
      <c r="G86" s="487">
        <f>SUM(G84:G85)</f>
        <v>595</v>
      </c>
      <c r="H86" s="487">
        <f>SUM(H84:H85)</f>
        <v>469.5</v>
      </c>
      <c r="I86" s="30">
        <f t="shared" si="7"/>
        <v>0.78907563025210081</v>
      </c>
      <c r="J86" s="599"/>
      <c r="K86" s="600"/>
      <c r="L86" s="600"/>
      <c r="M86" s="601"/>
    </row>
    <row r="87" spans="1:13">
      <c r="A87" s="573"/>
      <c r="B87" s="525" t="s">
        <v>72</v>
      </c>
      <c r="C87" s="27" t="s">
        <v>69</v>
      </c>
      <c r="D87" s="479">
        <v>0</v>
      </c>
      <c r="E87" s="490">
        <v>4</v>
      </c>
      <c r="F87" s="28" t="e">
        <f t="shared" si="6"/>
        <v>#DIV/0!</v>
      </c>
      <c r="G87" s="479">
        <f>D87+'2017JUN'!G87</f>
        <v>1</v>
      </c>
      <c r="H87" s="479">
        <f>E87+'2017JUN'!H87</f>
        <v>4</v>
      </c>
      <c r="I87" s="28">
        <f t="shared" si="7"/>
        <v>4</v>
      </c>
      <c r="J87" s="596"/>
      <c r="K87" s="597"/>
      <c r="L87" s="597"/>
      <c r="M87" s="598"/>
    </row>
    <row r="88" spans="1:13">
      <c r="A88" s="573"/>
      <c r="B88" s="525"/>
      <c r="C88" s="27" t="s">
        <v>70</v>
      </c>
      <c r="D88" s="479">
        <v>20</v>
      </c>
      <c r="E88" s="490">
        <v>19</v>
      </c>
      <c r="F88" s="28">
        <f t="shared" si="6"/>
        <v>0.95</v>
      </c>
      <c r="G88" s="479">
        <f>D88+'2017JUN'!G88</f>
        <v>139</v>
      </c>
      <c r="H88" s="479">
        <f>E88+'2017JUN'!H88</f>
        <v>122</v>
      </c>
      <c r="I88" s="28">
        <f t="shared" si="7"/>
        <v>0.87769784172661869</v>
      </c>
      <c r="J88" s="596"/>
      <c r="K88" s="597"/>
      <c r="L88" s="597"/>
      <c r="M88" s="598"/>
    </row>
    <row r="89" spans="1:13">
      <c r="A89" s="573"/>
      <c r="B89" s="525"/>
      <c r="C89" s="38" t="s">
        <v>71</v>
      </c>
      <c r="D89" s="487">
        <f>SUM(D87:D88)</f>
        <v>20</v>
      </c>
      <c r="E89" s="487">
        <f>SUM(E87:E88)</f>
        <v>23</v>
      </c>
      <c r="F89" s="30">
        <f t="shared" si="6"/>
        <v>1.1499999999999999</v>
      </c>
      <c r="G89" s="487">
        <f>SUM(G87:G88)</f>
        <v>140</v>
      </c>
      <c r="H89" s="487">
        <f>SUM(H87:H88)</f>
        <v>126</v>
      </c>
      <c r="I89" s="30">
        <f t="shared" si="7"/>
        <v>0.9</v>
      </c>
      <c r="J89" s="599"/>
      <c r="K89" s="600"/>
      <c r="L89" s="600"/>
      <c r="M89" s="601"/>
    </row>
    <row r="90" spans="1:13">
      <c r="A90" s="573"/>
      <c r="B90" s="525" t="s">
        <v>73</v>
      </c>
      <c r="C90" s="27" t="s">
        <v>69</v>
      </c>
      <c r="D90" s="479">
        <v>0</v>
      </c>
      <c r="E90" s="490">
        <v>6</v>
      </c>
      <c r="F90" s="28" t="e">
        <f t="shared" si="6"/>
        <v>#DIV/0!</v>
      </c>
      <c r="G90" s="479">
        <f>D90+'2017JUN'!G90</f>
        <v>2</v>
      </c>
      <c r="H90" s="479">
        <f>E90+'2017MAY'!H90</f>
        <v>10</v>
      </c>
      <c r="I90" s="28">
        <f t="shared" si="7"/>
        <v>5</v>
      </c>
      <c r="J90" s="596"/>
      <c r="K90" s="597"/>
      <c r="L90" s="597"/>
      <c r="M90" s="598"/>
    </row>
    <row r="91" spans="1:13">
      <c r="A91" s="573"/>
      <c r="B91" s="525"/>
      <c r="C91" s="27" t="s">
        <v>70</v>
      </c>
      <c r="D91" s="479">
        <v>51</v>
      </c>
      <c r="E91" s="490">
        <v>48.5</v>
      </c>
      <c r="F91" s="28">
        <f t="shared" si="6"/>
        <v>0.9509803921568627</v>
      </c>
      <c r="G91" s="479">
        <f>D91+'2017JUN'!G91</f>
        <v>353</v>
      </c>
      <c r="H91" s="479">
        <f>E91+'2017JUN'!H91</f>
        <v>315.5</v>
      </c>
      <c r="I91" s="28">
        <f t="shared" si="7"/>
        <v>0.89376770538243622</v>
      </c>
      <c r="J91" s="596"/>
      <c r="K91" s="597"/>
      <c r="L91" s="597"/>
      <c r="M91" s="598"/>
    </row>
    <row r="92" spans="1:13">
      <c r="A92" s="573"/>
      <c r="B92" s="525"/>
      <c r="C92" s="38" t="s">
        <v>71</v>
      </c>
      <c r="D92" s="487">
        <f>SUM(D90:D91)</f>
        <v>51</v>
      </c>
      <c r="E92" s="487">
        <f>SUM(E90:E91)</f>
        <v>54.5</v>
      </c>
      <c r="F92" s="30">
        <f t="shared" si="6"/>
        <v>1.0686274509803921</v>
      </c>
      <c r="G92" s="487">
        <f>SUM(G90:G91)</f>
        <v>355</v>
      </c>
      <c r="H92" s="487">
        <f>SUM(H90:H91)</f>
        <v>325.5</v>
      </c>
      <c r="I92" s="30">
        <f t="shared" si="7"/>
        <v>0.91690140845070423</v>
      </c>
      <c r="J92" s="599"/>
      <c r="K92" s="600"/>
      <c r="L92" s="600"/>
      <c r="M92" s="601"/>
    </row>
    <row r="93" spans="1:13">
      <c r="A93" s="573"/>
      <c r="B93" s="525" t="s">
        <v>74</v>
      </c>
      <c r="C93" s="27" t="s">
        <v>69</v>
      </c>
      <c r="D93" s="479">
        <v>0</v>
      </c>
      <c r="E93" s="490">
        <v>9</v>
      </c>
      <c r="F93" s="28" t="e">
        <f t="shared" si="6"/>
        <v>#DIV/0!</v>
      </c>
      <c r="G93" s="479">
        <f>D93+'2017JUN'!G93</f>
        <v>3</v>
      </c>
      <c r="H93" s="479">
        <f>E93+'2017JUN'!H93</f>
        <v>24.5</v>
      </c>
      <c r="I93" s="28">
        <f t="shared" si="7"/>
        <v>8.1666666666666661</v>
      </c>
      <c r="J93" s="596"/>
      <c r="K93" s="597"/>
      <c r="L93" s="597"/>
      <c r="M93" s="598"/>
    </row>
    <row r="94" spans="1:13">
      <c r="A94" s="573"/>
      <c r="B94" s="525"/>
      <c r="C94" s="27" t="s">
        <v>70</v>
      </c>
      <c r="D94" s="479">
        <v>92</v>
      </c>
      <c r="E94" s="490">
        <v>98.5</v>
      </c>
      <c r="F94" s="28">
        <f t="shared" si="6"/>
        <v>1.0706521739130435</v>
      </c>
      <c r="G94" s="479">
        <f>D94+'2017JUN'!G94</f>
        <v>641</v>
      </c>
      <c r="H94" s="479">
        <f>E94+'2017JUN'!H94</f>
        <v>610</v>
      </c>
      <c r="I94" s="28">
        <f t="shared" si="7"/>
        <v>0.95163806552262087</v>
      </c>
      <c r="J94" s="596"/>
      <c r="K94" s="597"/>
      <c r="L94" s="597"/>
      <c r="M94" s="598"/>
    </row>
    <row r="95" spans="1:13">
      <c r="A95" s="573"/>
      <c r="B95" s="525"/>
      <c r="C95" s="38" t="s">
        <v>71</v>
      </c>
      <c r="D95" s="487">
        <f>SUM(D93:D94)</f>
        <v>92</v>
      </c>
      <c r="E95" s="487">
        <f>SUM(E93:E94)</f>
        <v>107.5</v>
      </c>
      <c r="F95" s="30">
        <f t="shared" si="6"/>
        <v>1.1684782608695652</v>
      </c>
      <c r="G95" s="487">
        <f>SUM(G93:G94)</f>
        <v>644</v>
      </c>
      <c r="H95" s="487">
        <f>SUM(H93:H94)</f>
        <v>634.5</v>
      </c>
      <c r="I95" s="30">
        <f t="shared" si="7"/>
        <v>0.98524844720496896</v>
      </c>
      <c r="J95" s="599"/>
      <c r="K95" s="600"/>
      <c r="L95" s="600"/>
      <c r="M95" s="601"/>
    </row>
    <row r="96" spans="1:13">
      <c r="A96" s="573"/>
      <c r="B96" s="603" t="s">
        <v>46</v>
      </c>
      <c r="C96" s="39" t="s">
        <v>69</v>
      </c>
      <c r="D96" s="474">
        <f>SUM(D84,D87,D90,D93)</f>
        <v>0</v>
      </c>
      <c r="E96" s="474">
        <f>SUM(E84,E87,E90,E93)</f>
        <v>19</v>
      </c>
      <c r="F96" s="31" t="e">
        <f t="shared" si="6"/>
        <v>#DIV/0!</v>
      </c>
      <c r="G96" s="474">
        <f>SUM(G84,G87,G90,G93)</f>
        <v>8</v>
      </c>
      <c r="H96" s="474">
        <f>SUM(H84,H87,H90,H93)</f>
        <v>38.5</v>
      </c>
      <c r="I96" s="31">
        <f t="shared" si="7"/>
        <v>4.8125</v>
      </c>
      <c r="J96" s="604"/>
      <c r="K96" s="605"/>
      <c r="L96" s="605"/>
      <c r="M96" s="606"/>
    </row>
    <row r="97" spans="1:13">
      <c r="A97" s="573"/>
      <c r="B97" s="603"/>
      <c r="C97" s="39" t="s">
        <v>70</v>
      </c>
      <c r="D97" s="474">
        <f>SUM(D85,D88,D91,D94)</f>
        <v>248</v>
      </c>
      <c r="E97" s="474">
        <f>SUM(E85,E88,E91,E94)</f>
        <v>233.5</v>
      </c>
      <c r="F97" s="31">
        <f t="shared" si="6"/>
        <v>0.94153225806451613</v>
      </c>
      <c r="G97" s="474">
        <f>SUM(G85,G88,G91,G94)</f>
        <v>1726</v>
      </c>
      <c r="H97" s="474">
        <f>SUM(H85,H88,H91,H94)</f>
        <v>1517</v>
      </c>
      <c r="I97" s="31">
        <f t="shared" si="7"/>
        <v>0.87891077636152959</v>
      </c>
      <c r="J97" s="604"/>
      <c r="K97" s="605"/>
      <c r="L97" s="605"/>
      <c r="M97" s="606"/>
    </row>
    <row r="98" spans="1:13" ht="14" thickBot="1">
      <c r="A98" s="623"/>
      <c r="B98" s="624"/>
      <c r="C98" s="40" t="s">
        <v>46</v>
      </c>
      <c r="D98" s="475">
        <f>SUM(D96:D97)</f>
        <v>248</v>
      </c>
      <c r="E98" s="475">
        <f>SUM(E96:E97)</f>
        <v>252.5</v>
      </c>
      <c r="F98" s="41">
        <f t="shared" si="6"/>
        <v>1.0181451612903225</v>
      </c>
      <c r="G98" s="475">
        <f>SUM(G96:G97)</f>
        <v>1734</v>
      </c>
      <c r="H98" s="475">
        <f>SUM(H96:H97)</f>
        <v>1555.5</v>
      </c>
      <c r="I98" s="41">
        <f t="shared" si="7"/>
        <v>0.8970588235294118</v>
      </c>
      <c r="J98" s="625"/>
      <c r="K98" s="626"/>
      <c r="L98" s="626"/>
      <c r="M98" s="627"/>
    </row>
    <row r="99" spans="1:13">
      <c r="A99" s="617" t="s">
        <v>75</v>
      </c>
      <c r="B99" s="619" t="s">
        <v>76</v>
      </c>
      <c r="C99" s="42" t="s">
        <v>69</v>
      </c>
      <c r="D99" s="478">
        <v>0</v>
      </c>
      <c r="E99" s="64">
        <v>5</v>
      </c>
      <c r="F99" s="499" t="e">
        <f>E99/D99</f>
        <v>#DIV/0!</v>
      </c>
      <c r="G99" s="478">
        <f>D99+'2017JUN'!G99</f>
        <v>2</v>
      </c>
      <c r="H99" s="478">
        <f>E99+'2017JUN'!H99</f>
        <v>5</v>
      </c>
      <c r="I99" s="499">
        <f>H99/G99</f>
        <v>2.5</v>
      </c>
      <c r="J99" s="620"/>
      <c r="K99" s="621"/>
      <c r="L99" s="621"/>
      <c r="M99" s="622"/>
    </row>
    <row r="100" spans="1:13" ht="13.5" customHeight="1">
      <c r="A100" s="562"/>
      <c r="B100" s="525"/>
      <c r="C100" s="27" t="s">
        <v>70</v>
      </c>
      <c r="D100" s="479">
        <v>75</v>
      </c>
      <c r="E100" s="490">
        <v>58.5</v>
      </c>
      <c r="F100" s="28">
        <f t="shared" ref="F100:F109" si="8">E100/D100</f>
        <v>0.78</v>
      </c>
      <c r="G100" s="477">
        <f>D100+'2017JUN'!G100</f>
        <v>523</v>
      </c>
      <c r="H100" s="477">
        <f>E100+'2017JUN'!H100</f>
        <v>404</v>
      </c>
      <c r="I100" s="28">
        <f t="shared" ref="I100:I109" si="9">H100/G100</f>
        <v>0.77246653919694075</v>
      </c>
      <c r="J100" s="596"/>
      <c r="K100" s="597"/>
      <c r="L100" s="597"/>
      <c r="M100" s="598"/>
    </row>
    <row r="101" spans="1:13" ht="13.5" customHeight="1">
      <c r="A101" s="562"/>
      <c r="B101" s="525"/>
      <c r="C101" s="38" t="s">
        <v>71</v>
      </c>
      <c r="D101" s="487">
        <f>SUM(D99:D100)</f>
        <v>75</v>
      </c>
      <c r="E101" s="487">
        <f>SUM(E99:E100)</f>
        <v>63.5</v>
      </c>
      <c r="F101" s="30">
        <f t="shared" si="8"/>
        <v>0.84666666666666668</v>
      </c>
      <c r="G101" s="487">
        <f>SUM(G99:G100)</f>
        <v>525</v>
      </c>
      <c r="H101" s="487">
        <f>SUM(H99:H100)</f>
        <v>409</v>
      </c>
      <c r="I101" s="30">
        <f t="shared" si="9"/>
        <v>0.7790476190476191</v>
      </c>
      <c r="J101" s="599"/>
      <c r="K101" s="600"/>
      <c r="L101" s="600"/>
      <c r="M101" s="601"/>
    </row>
    <row r="102" spans="1:13" ht="13.5" customHeight="1">
      <c r="A102" s="562"/>
      <c r="B102" s="525" t="s">
        <v>77</v>
      </c>
      <c r="C102" s="27" t="s">
        <v>69</v>
      </c>
      <c r="D102" s="479">
        <v>0</v>
      </c>
      <c r="E102" s="490">
        <v>8</v>
      </c>
      <c r="F102" s="28" t="e">
        <f t="shared" si="8"/>
        <v>#DIV/0!</v>
      </c>
      <c r="G102" s="479">
        <f>D102+'2017JUN'!G102</f>
        <v>2</v>
      </c>
      <c r="H102" s="479">
        <f>E102+'2017JUN'!H102</f>
        <v>9</v>
      </c>
      <c r="I102" s="28">
        <f t="shared" si="9"/>
        <v>4.5</v>
      </c>
      <c r="J102" s="596"/>
      <c r="K102" s="597"/>
      <c r="L102" s="597"/>
      <c r="M102" s="598"/>
    </row>
    <row r="103" spans="1:13" ht="13.5" customHeight="1">
      <c r="A103" s="562"/>
      <c r="B103" s="525"/>
      <c r="C103" s="27" t="s">
        <v>70</v>
      </c>
      <c r="D103" s="479">
        <v>41</v>
      </c>
      <c r="E103" s="490">
        <v>39</v>
      </c>
      <c r="F103" s="28">
        <f t="shared" si="8"/>
        <v>0.95121951219512191</v>
      </c>
      <c r="G103" s="479">
        <f>D103+'2017JUN'!G103</f>
        <v>285</v>
      </c>
      <c r="H103" s="479">
        <f>E103+'2017JUN'!H103</f>
        <v>244</v>
      </c>
      <c r="I103" s="28">
        <f t="shared" si="9"/>
        <v>0.85614035087719298</v>
      </c>
      <c r="J103" s="596"/>
      <c r="K103" s="597"/>
      <c r="L103" s="597"/>
      <c r="M103" s="598"/>
    </row>
    <row r="104" spans="1:13" ht="13.5" customHeight="1">
      <c r="A104" s="562"/>
      <c r="B104" s="525"/>
      <c r="C104" s="38" t="s">
        <v>71</v>
      </c>
      <c r="D104" s="487">
        <f>SUM(D102:D103)</f>
        <v>41</v>
      </c>
      <c r="E104" s="487">
        <f>SUM(E102:E103)</f>
        <v>47</v>
      </c>
      <c r="F104" s="30">
        <f t="shared" si="8"/>
        <v>1.1463414634146341</v>
      </c>
      <c r="G104" s="487">
        <f>SUM(G102:G103)</f>
        <v>287</v>
      </c>
      <c r="H104" s="487">
        <f>SUM(H102:H103)</f>
        <v>253</v>
      </c>
      <c r="I104" s="30">
        <f t="shared" si="9"/>
        <v>0.88153310104529614</v>
      </c>
      <c r="J104" s="599"/>
      <c r="K104" s="600"/>
      <c r="L104" s="600"/>
      <c r="M104" s="601"/>
    </row>
    <row r="105" spans="1:13" ht="13.5" customHeight="1">
      <c r="A105" s="562"/>
      <c r="B105" s="603" t="s">
        <v>46</v>
      </c>
      <c r="C105" s="39" t="s">
        <v>69</v>
      </c>
      <c r="D105" s="474">
        <f>SUM(D99,D102)</f>
        <v>0</v>
      </c>
      <c r="E105" s="474">
        <f>SUM(E99,E102)</f>
        <v>13</v>
      </c>
      <c r="F105" s="30" t="e">
        <f t="shared" si="8"/>
        <v>#DIV/0!</v>
      </c>
      <c r="G105" s="474">
        <f>SUM(G99,G102)</f>
        <v>4</v>
      </c>
      <c r="H105" s="474">
        <f>SUM(H99,H102)</f>
        <v>14</v>
      </c>
      <c r="I105" s="30">
        <f t="shared" si="9"/>
        <v>3.5</v>
      </c>
      <c r="J105" s="604"/>
      <c r="K105" s="605"/>
      <c r="L105" s="605"/>
      <c r="M105" s="606"/>
    </row>
    <row r="106" spans="1:13" ht="13.5" customHeight="1">
      <c r="A106" s="562"/>
      <c r="B106" s="603"/>
      <c r="C106" s="39" t="s">
        <v>70</v>
      </c>
      <c r="D106" s="474">
        <f>SUM(D100,D103)</f>
        <v>116</v>
      </c>
      <c r="E106" s="474">
        <f>SUM(E100,E103)</f>
        <v>97.5</v>
      </c>
      <c r="F106" s="30">
        <f t="shared" si="8"/>
        <v>0.84051724137931039</v>
      </c>
      <c r="G106" s="474">
        <f>SUM(G100,G103)</f>
        <v>808</v>
      </c>
      <c r="H106" s="474">
        <f>SUM(H100,H103)</f>
        <v>648</v>
      </c>
      <c r="I106" s="30">
        <f t="shared" si="9"/>
        <v>0.80198019801980203</v>
      </c>
      <c r="J106" s="604"/>
      <c r="K106" s="605"/>
      <c r="L106" s="605"/>
      <c r="M106" s="606"/>
    </row>
    <row r="107" spans="1:13" ht="14.25" customHeight="1" thickBot="1">
      <c r="A107" s="618"/>
      <c r="B107" s="624"/>
      <c r="C107" s="40" t="s">
        <v>46</v>
      </c>
      <c r="D107" s="475">
        <f>SUM(D105:D106)</f>
        <v>116</v>
      </c>
      <c r="E107" s="475">
        <f>SUM(E105:E106)</f>
        <v>110.5</v>
      </c>
      <c r="F107" s="41">
        <f t="shared" si="8"/>
        <v>0.95258620689655171</v>
      </c>
      <c r="G107" s="475">
        <f>SUM(G105:G106)</f>
        <v>812</v>
      </c>
      <c r="H107" s="475">
        <f>SUM(H105:H106)</f>
        <v>662</v>
      </c>
      <c r="I107" s="41">
        <f t="shared" si="9"/>
        <v>0.81527093596059108</v>
      </c>
      <c r="J107" s="625"/>
      <c r="K107" s="626"/>
      <c r="L107" s="626"/>
      <c r="M107" s="627"/>
    </row>
    <row r="108" spans="1:13">
      <c r="A108" s="635" t="s">
        <v>46</v>
      </c>
      <c r="B108" s="635"/>
      <c r="C108" s="44" t="s">
        <v>69</v>
      </c>
      <c r="D108" s="472">
        <f>SUM(D96,D105)</f>
        <v>0</v>
      </c>
      <c r="E108" s="472">
        <f>SUM(E96,E105)</f>
        <v>32</v>
      </c>
      <c r="F108" s="45" t="e">
        <f t="shared" si="8"/>
        <v>#DIV/0!</v>
      </c>
      <c r="G108" s="46">
        <f>SUM(G96,G105)</f>
        <v>12</v>
      </c>
      <c r="H108" s="46">
        <f>SUM(H96,H105)</f>
        <v>52.5</v>
      </c>
      <c r="I108" s="45">
        <f t="shared" si="9"/>
        <v>4.375</v>
      </c>
      <c r="J108" s="636"/>
      <c r="K108" s="637"/>
      <c r="L108" s="637"/>
      <c r="M108" s="638"/>
    </row>
    <row r="109" spans="1:13">
      <c r="A109" s="609"/>
      <c r="B109" s="609"/>
      <c r="C109" s="47" t="s">
        <v>70</v>
      </c>
      <c r="D109" s="473">
        <f>SUM(D97,D106)</f>
        <v>364</v>
      </c>
      <c r="E109" s="473">
        <f>SUM(E97,E106)</f>
        <v>331</v>
      </c>
      <c r="F109" s="32">
        <f t="shared" si="8"/>
        <v>0.90934065934065933</v>
      </c>
      <c r="G109" s="473">
        <f>SUM(G97,G106)</f>
        <v>2534</v>
      </c>
      <c r="H109" s="473">
        <f>SUM(H97,H106)</f>
        <v>2165</v>
      </c>
      <c r="I109" s="32">
        <f t="shared" si="9"/>
        <v>0.85438042620363064</v>
      </c>
      <c r="J109" s="639"/>
      <c r="K109" s="640"/>
      <c r="L109" s="640"/>
      <c r="M109" s="641"/>
    </row>
    <row r="110" spans="1:13">
      <c r="A110" s="609"/>
      <c r="B110" s="609"/>
      <c r="C110" s="48" t="s">
        <v>46</v>
      </c>
      <c r="D110" s="473">
        <f>SUM(D108:D109)</f>
        <v>364</v>
      </c>
      <c r="E110" s="473">
        <f>SUM(E108:E109)</f>
        <v>363</v>
      </c>
      <c r="F110" s="49">
        <f>E110/D110</f>
        <v>0.99725274725274726</v>
      </c>
      <c r="G110" s="472">
        <f>SUM(G108:G109)</f>
        <v>2546</v>
      </c>
      <c r="H110" s="472">
        <f>SUM(H108:H109)</f>
        <v>2217.5</v>
      </c>
      <c r="I110" s="49">
        <f>H110/G110</f>
        <v>0.87097407698350349</v>
      </c>
      <c r="J110" s="639"/>
      <c r="K110" s="640"/>
      <c r="L110" s="640"/>
      <c r="M110" s="641"/>
    </row>
    <row r="113" spans="1:13" ht="15" thickBot="1">
      <c r="A113" s="127" t="s">
        <v>78</v>
      </c>
    </row>
    <row r="114" spans="1:13">
      <c r="A114" s="642" t="s">
        <v>79</v>
      </c>
      <c r="B114" s="643"/>
      <c r="C114" s="644" t="s">
        <v>80</v>
      </c>
      <c r="D114" s="645"/>
      <c r="E114" s="644" t="s">
        <v>81</v>
      </c>
      <c r="F114" s="645"/>
      <c r="G114" s="644" t="s">
        <v>136</v>
      </c>
      <c r="H114" s="703"/>
      <c r="I114" s="646"/>
      <c r="J114" s="647"/>
      <c r="K114" s="646"/>
      <c r="L114" s="648"/>
    </row>
    <row r="115" spans="1:13">
      <c r="A115" s="628" t="s">
        <v>82</v>
      </c>
      <c r="B115" s="629"/>
      <c r="C115" s="630" t="s">
        <v>83</v>
      </c>
      <c r="D115" s="631"/>
      <c r="E115" s="630" t="s">
        <v>84</v>
      </c>
      <c r="F115" s="631"/>
      <c r="G115" s="630" t="s">
        <v>84</v>
      </c>
      <c r="H115" s="631"/>
      <c r="I115" s="632"/>
      <c r="J115" s="633"/>
      <c r="K115" s="632"/>
      <c r="L115" s="634"/>
    </row>
    <row r="116" spans="1:13">
      <c r="A116" s="628" t="s">
        <v>85</v>
      </c>
      <c r="B116" s="629"/>
      <c r="C116" s="630" t="s">
        <v>86</v>
      </c>
      <c r="D116" s="631"/>
      <c r="E116" s="630" t="s">
        <v>87</v>
      </c>
      <c r="F116" s="631"/>
      <c r="G116" s="630" t="s">
        <v>87</v>
      </c>
      <c r="H116" s="631"/>
      <c r="I116" s="632"/>
      <c r="J116" s="633"/>
      <c r="K116" s="632"/>
      <c r="L116" s="634"/>
    </row>
    <row r="117" spans="1:13">
      <c r="A117" s="628" t="s">
        <v>88</v>
      </c>
      <c r="B117" s="629"/>
      <c r="C117" s="630" t="s">
        <v>89</v>
      </c>
      <c r="D117" s="631"/>
      <c r="E117" s="630" t="s">
        <v>90</v>
      </c>
      <c r="F117" s="631"/>
      <c r="G117" s="630" t="s">
        <v>138</v>
      </c>
      <c r="H117" s="631"/>
      <c r="I117" s="632"/>
      <c r="J117" s="633"/>
      <c r="K117" s="632"/>
      <c r="L117" s="634"/>
    </row>
    <row r="118" spans="1:13">
      <c r="A118" s="628" t="s">
        <v>91</v>
      </c>
      <c r="B118" s="629"/>
      <c r="C118" s="649">
        <v>771</v>
      </c>
      <c r="D118" s="650"/>
      <c r="E118" s="649">
        <v>4</v>
      </c>
      <c r="F118" s="650"/>
      <c r="G118" s="649">
        <v>2</v>
      </c>
      <c r="H118" s="650"/>
      <c r="I118" s="632"/>
      <c r="J118" s="633"/>
      <c r="K118" s="632"/>
      <c r="L118" s="634"/>
    </row>
    <row r="119" spans="1:13">
      <c r="A119" s="628" t="s">
        <v>92</v>
      </c>
      <c r="B119" s="629"/>
      <c r="C119" s="630" t="s">
        <v>93</v>
      </c>
      <c r="D119" s="631"/>
      <c r="E119" s="630" t="s">
        <v>94</v>
      </c>
      <c r="F119" s="631"/>
      <c r="G119" s="630" t="s">
        <v>94</v>
      </c>
      <c r="H119" s="631"/>
      <c r="I119" s="632"/>
      <c r="J119" s="633"/>
      <c r="K119" s="632"/>
      <c r="L119" s="634"/>
    </row>
    <row r="120" spans="1:13">
      <c r="A120" s="628" t="s">
        <v>311</v>
      </c>
      <c r="B120" s="471" t="s">
        <v>96</v>
      </c>
      <c r="C120" s="630">
        <v>0</v>
      </c>
      <c r="D120" s="631"/>
      <c r="E120" s="630">
        <v>0</v>
      </c>
      <c r="F120" s="631"/>
      <c r="G120" s="630">
        <v>0</v>
      </c>
      <c r="H120" s="631"/>
      <c r="I120" s="632"/>
      <c r="J120" s="633"/>
      <c r="K120" s="632"/>
      <c r="L120" s="634"/>
    </row>
    <row r="121" spans="1:13">
      <c r="A121" s="628"/>
      <c r="B121" s="471" t="s">
        <v>97</v>
      </c>
      <c r="C121" s="630">
        <v>0</v>
      </c>
      <c r="D121" s="631"/>
      <c r="E121" s="630">
        <v>0</v>
      </c>
      <c r="F121" s="631"/>
      <c r="G121" s="630">
        <v>0</v>
      </c>
      <c r="H121" s="631"/>
      <c r="I121" s="632"/>
      <c r="J121" s="633"/>
      <c r="K121" s="632"/>
      <c r="L121" s="634"/>
    </row>
    <row r="122" spans="1:13">
      <c r="A122" s="628"/>
      <c r="B122" s="471" t="s">
        <v>98</v>
      </c>
      <c r="C122" s="651">
        <v>0</v>
      </c>
      <c r="D122" s="652"/>
      <c r="E122" s="651">
        <v>0</v>
      </c>
      <c r="F122" s="652"/>
      <c r="G122" s="651">
        <v>0</v>
      </c>
      <c r="H122" s="652"/>
      <c r="I122" s="653"/>
      <c r="J122" s="654"/>
      <c r="K122" s="653"/>
      <c r="L122" s="655"/>
    </row>
    <row r="123" spans="1:13">
      <c r="A123" s="628"/>
      <c r="B123" s="471" t="s">
        <v>99</v>
      </c>
      <c r="C123" s="656">
        <v>627</v>
      </c>
      <c r="D123" s="656"/>
      <c r="E123" s="656">
        <v>151</v>
      </c>
      <c r="F123" s="656"/>
      <c r="G123" s="656">
        <v>21</v>
      </c>
      <c r="H123" s="656"/>
      <c r="I123" s="653"/>
      <c r="J123" s="654"/>
      <c r="K123" s="653"/>
      <c r="L123" s="655"/>
    </row>
    <row r="124" spans="1:13" ht="13.5" customHeight="1" thickBot="1">
      <c r="A124" s="673" t="s">
        <v>10</v>
      </c>
      <c r="B124" s="674"/>
      <c r="C124" s="675"/>
      <c r="D124" s="676"/>
      <c r="E124" s="675"/>
      <c r="F124" s="676"/>
      <c r="G124" s="660"/>
      <c r="H124" s="677"/>
      <c r="I124" s="660"/>
      <c r="J124" s="677"/>
      <c r="K124" s="660"/>
      <c r="L124" s="661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31" t="s">
        <v>101</v>
      </c>
      <c r="B128" s="533"/>
      <c r="C128" s="662" t="s">
        <v>340</v>
      </c>
      <c r="D128" s="663"/>
      <c r="E128" s="664"/>
      <c r="F128" s="662" t="s">
        <v>344</v>
      </c>
      <c r="G128" s="663"/>
      <c r="H128" s="663"/>
      <c r="I128" s="664"/>
      <c r="J128" s="662" t="s">
        <v>352</v>
      </c>
      <c r="K128" s="663"/>
      <c r="L128" s="663"/>
      <c r="M128" s="665"/>
    </row>
    <row r="129" spans="1:13" ht="35.25" customHeight="1">
      <c r="A129" s="716" t="s">
        <v>103</v>
      </c>
      <c r="B129" s="717"/>
      <c r="C129" s="722" t="s">
        <v>353</v>
      </c>
      <c r="D129" s="723"/>
      <c r="E129" s="724"/>
      <c r="F129" s="744" t="s">
        <v>15</v>
      </c>
      <c r="G129" s="748"/>
      <c r="H129" s="748"/>
      <c r="I129" s="749"/>
      <c r="J129" s="745" t="s">
        <v>15</v>
      </c>
      <c r="K129" s="748"/>
      <c r="L129" s="748"/>
      <c r="M129" s="750"/>
    </row>
    <row r="130" spans="1:13" ht="35.25" customHeight="1">
      <c r="A130" s="716" t="s">
        <v>104</v>
      </c>
      <c r="B130" s="717"/>
      <c r="C130" s="722" t="s">
        <v>354</v>
      </c>
      <c r="D130" s="723"/>
      <c r="E130" s="724"/>
      <c r="F130" s="722" t="s">
        <v>348</v>
      </c>
      <c r="G130" s="723"/>
      <c r="H130" s="723"/>
      <c r="I130" s="724"/>
      <c r="J130" s="767" t="s">
        <v>15</v>
      </c>
      <c r="K130" s="731"/>
      <c r="L130" s="731"/>
      <c r="M130" s="732"/>
    </row>
    <row r="131" spans="1:13" ht="67.5" customHeight="1">
      <c r="A131" s="716" t="s">
        <v>105</v>
      </c>
      <c r="B131" s="717"/>
      <c r="C131" s="718" t="s">
        <v>355</v>
      </c>
      <c r="D131" s="719"/>
      <c r="E131" s="720"/>
      <c r="F131" s="744" t="s">
        <v>349</v>
      </c>
      <c r="G131" s="745"/>
      <c r="H131" s="745"/>
      <c r="I131" s="746"/>
      <c r="J131" s="744" t="s">
        <v>349</v>
      </c>
      <c r="K131" s="745"/>
      <c r="L131" s="745"/>
      <c r="M131" s="766"/>
    </row>
    <row r="132" spans="1:13" ht="35.25" customHeight="1" thickBot="1">
      <c r="A132" s="733" t="s">
        <v>106</v>
      </c>
      <c r="B132" s="734"/>
      <c r="C132" s="735" t="s">
        <v>356</v>
      </c>
      <c r="D132" s="736"/>
      <c r="E132" s="737"/>
      <c r="F132" s="754" t="s">
        <v>15</v>
      </c>
      <c r="G132" s="755"/>
      <c r="H132" s="755"/>
      <c r="I132" s="756"/>
      <c r="J132" s="764" t="s">
        <v>15</v>
      </c>
      <c r="K132" s="755"/>
      <c r="L132" s="755"/>
      <c r="M132" s="765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701" t="s">
        <v>112</v>
      </c>
      <c r="F137" s="701"/>
      <c r="G137" s="701"/>
      <c r="H137" s="54" t="s">
        <v>113</v>
      </c>
    </row>
    <row r="138" spans="1:13" ht="40.5" customHeight="1" thickBot="1">
      <c r="A138" s="62">
        <f>E42</f>
        <v>51000</v>
      </c>
      <c r="B138" s="63">
        <f>'2017JUN'!H138</f>
        <v>-31562</v>
      </c>
      <c r="C138" s="63">
        <f>E43-E42</f>
        <v>50460</v>
      </c>
      <c r="D138" s="504">
        <v>71436</v>
      </c>
      <c r="E138" s="681" t="s">
        <v>114</v>
      </c>
      <c r="F138" s="681"/>
      <c r="G138" s="681"/>
      <c r="H138" s="505">
        <f>C138+A138+B138-D138</f>
        <v>-1538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679" t="s">
        <v>117</v>
      </c>
      <c r="C140" s="679"/>
      <c r="D140" s="679"/>
      <c r="E140" s="679"/>
      <c r="F140" s="679"/>
      <c r="G140" s="680"/>
    </row>
    <row r="141" spans="1:13" ht="45" customHeight="1" thickBot="1">
      <c r="A141" s="56">
        <v>17000</v>
      </c>
      <c r="B141" s="681" t="s">
        <v>114</v>
      </c>
      <c r="C141" s="681"/>
      <c r="D141" s="681"/>
      <c r="E141" s="681"/>
      <c r="F141" s="681"/>
      <c r="G141" s="682"/>
    </row>
    <row r="143" spans="1:13" ht="14">
      <c r="A143" s="127" t="s">
        <v>118</v>
      </c>
    </row>
    <row r="144" spans="1:13">
      <c r="A144" s="629" t="s">
        <v>50</v>
      </c>
      <c r="B144" s="629"/>
      <c r="C144" s="629"/>
      <c r="D144" s="629"/>
      <c r="E144" s="629"/>
      <c r="F144" s="629"/>
      <c r="G144" s="486" t="s">
        <v>119</v>
      </c>
      <c r="H144" s="683" t="s">
        <v>10</v>
      </c>
      <c r="I144" s="684"/>
      <c r="J144" s="684"/>
      <c r="K144" s="685"/>
    </row>
    <row r="145" spans="1:11">
      <c r="A145" s="574" t="s">
        <v>120</v>
      </c>
      <c r="B145" s="686" t="s">
        <v>121</v>
      </c>
      <c r="C145" s="686"/>
      <c r="D145" s="686"/>
      <c r="E145" s="686"/>
      <c r="F145" s="686"/>
      <c r="G145" s="506">
        <v>15</v>
      </c>
      <c r="H145" s="687"/>
      <c r="I145" s="688"/>
      <c r="J145" s="688"/>
      <c r="K145" s="689"/>
    </row>
    <row r="146" spans="1:11">
      <c r="A146" s="574"/>
      <c r="B146" s="686" t="s">
        <v>122</v>
      </c>
      <c r="C146" s="686"/>
      <c r="D146" s="686"/>
      <c r="E146" s="686"/>
      <c r="F146" s="686"/>
      <c r="G146" s="507">
        <v>20100</v>
      </c>
      <c r="H146" s="690"/>
      <c r="I146" s="691"/>
      <c r="J146" s="691"/>
      <c r="K146" s="692"/>
    </row>
    <row r="147" spans="1:11">
      <c r="A147" s="574" t="s">
        <v>123</v>
      </c>
      <c r="B147" s="686" t="s">
        <v>124</v>
      </c>
      <c r="C147" s="686"/>
      <c r="D147" s="686"/>
      <c r="E147" s="686"/>
      <c r="F147" s="686"/>
      <c r="G147" s="479">
        <v>10</v>
      </c>
      <c r="H147" s="670"/>
      <c r="I147" s="671"/>
      <c r="J147" s="671"/>
      <c r="K147" s="672"/>
    </row>
    <row r="148" spans="1:11">
      <c r="A148" s="574"/>
      <c r="B148" s="686" t="s">
        <v>125</v>
      </c>
      <c r="C148" s="686"/>
      <c r="D148" s="686"/>
      <c r="E148" s="686"/>
      <c r="F148" s="686"/>
      <c r="G148" s="508">
        <v>17466</v>
      </c>
      <c r="H148" s="670"/>
      <c r="I148" s="671"/>
      <c r="J148" s="671"/>
      <c r="K148" s="672"/>
    </row>
    <row r="149" spans="1:11" ht="14">
      <c r="A149" s="488" t="s">
        <v>126</v>
      </c>
      <c r="B149" s="686" t="s">
        <v>127</v>
      </c>
      <c r="C149" s="686"/>
      <c r="D149" s="686"/>
      <c r="E149" s="686"/>
      <c r="F149" s="686"/>
      <c r="G149" s="509">
        <v>1870</v>
      </c>
      <c r="H149" s="670"/>
      <c r="I149" s="671"/>
      <c r="J149" s="671"/>
      <c r="K149" s="672"/>
    </row>
    <row r="150" spans="1:11" ht="14">
      <c r="A150" s="488" t="s">
        <v>128</v>
      </c>
      <c r="B150" s="686" t="s">
        <v>129</v>
      </c>
      <c r="C150" s="686"/>
      <c r="D150" s="686"/>
      <c r="E150" s="686"/>
      <c r="F150" s="686"/>
      <c r="G150" s="479"/>
      <c r="H150" s="670"/>
      <c r="I150" s="671"/>
      <c r="J150" s="671"/>
      <c r="K150" s="672"/>
    </row>
  </sheetData>
  <mergeCells count="274"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1:F1"/>
    <mergeCell ref="J3:K3"/>
    <mergeCell ref="L3:M3"/>
    <mergeCell ref="J5:K5"/>
    <mergeCell ref="L5:M5"/>
    <mergeCell ref="J6:K6"/>
    <mergeCell ref="L6:M6"/>
    <mergeCell ref="A14:B14"/>
    <mergeCell ref="E14:I14"/>
  </mergeCells>
  <dataValidations count="2">
    <dataValidation type="list" allowBlank="1" showInputMessage="1" showErrorMessage="1" sqref="L3" xr:uid="{01701A23-A9C0-2F4F-BEF7-311D29F5A7D7}">
      <formula1>"USA, JAPAN"</formula1>
    </dataValidation>
    <dataValidation type="list" allowBlank="1" showInputMessage="1" showErrorMessage="1" sqref="G1" xr:uid="{FF282F4A-2A3D-CA4C-A462-1CC7AE420D0E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6B69B-BF4F-DB4D-B8FC-F75FE0139A09}">
  <sheetPr codeName="Sheet9">
    <pageSetUpPr fitToPage="1"/>
  </sheetPr>
  <dimension ref="A1:N150"/>
  <sheetViews>
    <sheetView topLeftCell="A97" zoomScale="80" zoomScaleNormal="80" zoomScaleSheetLayoutView="85" workbookViewId="0">
      <selection activeCell="Y102" sqref="Y10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145</v>
      </c>
      <c r="H1" s="2">
        <v>2017</v>
      </c>
      <c r="I1" s="491"/>
      <c r="J1" s="491"/>
      <c r="K1" s="491"/>
      <c r="L1" s="491"/>
      <c r="M1" s="491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4</v>
      </c>
      <c r="M6" s="525"/>
    </row>
    <row r="7" spans="1:13">
      <c r="J7" s="525" t="s">
        <v>6</v>
      </c>
      <c r="K7" s="525"/>
      <c r="L7" s="702">
        <v>42992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470" t="s">
        <v>305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79" t="s">
        <v>306</v>
      </c>
      <c r="C10" s="61">
        <v>5</v>
      </c>
      <c r="D10" s="490">
        <v>4</v>
      </c>
      <c r="E10" s="538" t="s">
        <v>332</v>
      </c>
      <c r="F10" s="538"/>
      <c r="G10" s="538"/>
      <c r="H10" s="538"/>
      <c r="I10" s="539"/>
    </row>
    <row r="11" spans="1:13">
      <c r="A11" s="537"/>
      <c r="B11" s="479" t="s">
        <v>12</v>
      </c>
      <c r="C11" s="61">
        <v>0</v>
      </c>
      <c r="D11" s="490">
        <v>1</v>
      </c>
      <c r="E11" s="540" t="s">
        <v>308</v>
      </c>
      <c r="F11" s="541"/>
      <c r="G11" s="541"/>
      <c r="H11" s="541"/>
      <c r="I11" s="542"/>
    </row>
    <row r="12" spans="1:13">
      <c r="A12" s="537"/>
      <c r="B12" s="479" t="s">
        <v>309</v>
      </c>
      <c r="C12" s="61">
        <v>1</v>
      </c>
      <c r="D12" s="490">
        <v>1</v>
      </c>
      <c r="E12" s="538" t="s">
        <v>130</v>
      </c>
      <c r="F12" s="538"/>
      <c r="G12" s="538"/>
      <c r="H12" s="538"/>
      <c r="I12" s="539"/>
    </row>
    <row r="13" spans="1:13">
      <c r="A13" s="537"/>
      <c r="B13" s="479" t="s">
        <v>13</v>
      </c>
      <c r="C13" s="61">
        <v>5</v>
      </c>
      <c r="D13" s="490">
        <v>0</v>
      </c>
      <c r="E13" s="768" t="s">
        <v>15</v>
      </c>
      <c r="F13" s="538"/>
      <c r="G13" s="538"/>
      <c r="H13" s="538"/>
      <c r="I13" s="539"/>
    </row>
    <row r="14" spans="1:13" s="8" customFormat="1" ht="14" thickBot="1">
      <c r="A14" s="526" t="s">
        <v>14</v>
      </c>
      <c r="B14" s="527"/>
      <c r="C14" s="7">
        <f>SUM(C10:C13)</f>
        <v>11</v>
      </c>
      <c r="D14" s="7">
        <f>SUM(D10:D13)</f>
        <v>6</v>
      </c>
      <c r="E14" s="528" t="s">
        <v>15</v>
      </c>
      <c r="F14" s="529"/>
      <c r="G14" s="529"/>
      <c r="H14" s="529"/>
      <c r="I14" s="530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31" t="s">
        <v>18</v>
      </c>
      <c r="B18" s="533" t="s">
        <v>19</v>
      </c>
      <c r="C18" s="533"/>
      <c r="D18" s="533" t="s">
        <v>20</v>
      </c>
      <c r="E18" s="533"/>
      <c r="F18" s="533"/>
      <c r="G18" s="533" t="s">
        <v>21</v>
      </c>
      <c r="H18" s="533"/>
      <c r="I18" s="533"/>
      <c r="J18" s="533" t="s">
        <v>22</v>
      </c>
      <c r="K18" s="533"/>
      <c r="L18" s="533"/>
      <c r="M18" s="536"/>
    </row>
    <row r="19" spans="1:13">
      <c r="A19" s="532"/>
      <c r="B19" s="534"/>
      <c r="C19" s="534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534"/>
      <c r="K19" s="534"/>
      <c r="L19" s="534"/>
      <c r="M19" s="543"/>
    </row>
    <row r="20" spans="1:13">
      <c r="A20" s="544" t="s">
        <v>26</v>
      </c>
      <c r="B20" s="545"/>
      <c r="C20" s="545"/>
      <c r="D20" s="545"/>
      <c r="E20" s="545"/>
      <c r="F20" s="545"/>
      <c r="G20" s="545"/>
      <c r="H20" s="545"/>
      <c r="I20" s="545"/>
      <c r="J20" s="545"/>
      <c r="K20" s="545"/>
      <c r="L20" s="545"/>
      <c r="M20" s="546"/>
    </row>
    <row r="21" spans="1:13">
      <c r="A21" s="547" t="s">
        <v>27</v>
      </c>
      <c r="B21" s="550" t="s">
        <v>28</v>
      </c>
      <c r="C21" s="128" t="s">
        <v>29</v>
      </c>
      <c r="D21" s="61">
        <v>14240</v>
      </c>
      <c r="E21" s="490">
        <v>9043</v>
      </c>
      <c r="F21" s="14">
        <f t="shared" ref="F21:F26" si="0">E21/D21</f>
        <v>0.63504213483146066</v>
      </c>
      <c r="G21" s="479">
        <f>D21+'2017JUL'!G21</f>
        <v>112498</v>
      </c>
      <c r="H21" s="479">
        <f>E21+'2017JUL'!H21</f>
        <v>89830</v>
      </c>
      <c r="I21" s="14">
        <f t="shared" ref="I21:I26" si="1">H21/G21</f>
        <v>0.79850308449927998</v>
      </c>
      <c r="J21" s="525"/>
      <c r="K21" s="525"/>
      <c r="L21" s="525"/>
      <c r="M21" s="552"/>
    </row>
    <row r="22" spans="1:13" ht="13.5" customHeight="1">
      <c r="A22" s="548"/>
      <c r="B22" s="551"/>
      <c r="C22" s="15" t="s">
        <v>30</v>
      </c>
      <c r="D22" s="487">
        <f>SUM(D21:D21)</f>
        <v>14240</v>
      </c>
      <c r="E22" s="487">
        <f>SUM(E21:E21)</f>
        <v>9043</v>
      </c>
      <c r="F22" s="16">
        <f t="shared" si="0"/>
        <v>0.63504213483146066</v>
      </c>
      <c r="G22" s="487">
        <f>SUM(G21:G21)</f>
        <v>112498</v>
      </c>
      <c r="H22" s="487">
        <f>SUM(H21:H21)</f>
        <v>89830</v>
      </c>
      <c r="I22" s="16">
        <f t="shared" si="1"/>
        <v>0.79850308449927998</v>
      </c>
      <c r="J22" s="553"/>
      <c r="K22" s="553"/>
      <c r="L22" s="553"/>
      <c r="M22" s="554"/>
    </row>
    <row r="23" spans="1:13" ht="13.5" customHeight="1">
      <c r="A23" s="548"/>
      <c r="B23" s="555" t="s">
        <v>31</v>
      </c>
      <c r="C23" s="128" t="s">
        <v>29</v>
      </c>
      <c r="D23" s="61">
        <v>4604</v>
      </c>
      <c r="E23" s="490">
        <v>2787</v>
      </c>
      <c r="F23" s="14">
        <f t="shared" si="0"/>
        <v>0.6053431798436143</v>
      </c>
      <c r="G23" s="479">
        <f>D23+'2017JUL'!G23</f>
        <v>37269</v>
      </c>
      <c r="H23" s="479">
        <f>E23+'2017JUL'!H23</f>
        <v>31313</v>
      </c>
      <c r="I23" s="14">
        <f t="shared" si="1"/>
        <v>0.84018889693847432</v>
      </c>
      <c r="J23" s="525"/>
      <c r="K23" s="525"/>
      <c r="L23" s="525"/>
      <c r="M23" s="552"/>
    </row>
    <row r="24" spans="1:13" ht="13.5" customHeight="1">
      <c r="A24" s="548"/>
      <c r="B24" s="555"/>
      <c r="C24" s="128" t="s">
        <v>32</v>
      </c>
      <c r="D24" s="479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525"/>
      <c r="K24" s="525"/>
      <c r="L24" s="525"/>
      <c r="M24" s="552"/>
    </row>
    <row r="25" spans="1:13" ht="13.5" customHeight="1">
      <c r="A25" s="548"/>
      <c r="B25" s="555"/>
      <c r="C25" s="15" t="s">
        <v>30</v>
      </c>
      <c r="D25" s="487">
        <f>SUM(D23:D24)</f>
        <v>4604</v>
      </c>
      <c r="E25" s="487">
        <f>SUM(E23:E24)</f>
        <v>2787</v>
      </c>
      <c r="F25" s="16">
        <f t="shared" si="0"/>
        <v>0.6053431798436143</v>
      </c>
      <c r="G25" s="487">
        <f>SUM(G23:G24)</f>
        <v>37269</v>
      </c>
      <c r="H25" s="487">
        <f>SUM(H23:H24)</f>
        <v>31313</v>
      </c>
      <c r="I25" s="16">
        <f t="shared" si="1"/>
        <v>0.84018889693847432</v>
      </c>
      <c r="J25" s="553"/>
      <c r="K25" s="553"/>
      <c r="L25" s="553"/>
      <c r="M25" s="554"/>
    </row>
    <row r="26" spans="1:13" s="8" customFormat="1" ht="14.25" customHeight="1" thickBot="1">
      <c r="A26" s="549"/>
      <c r="B26" s="556" t="s">
        <v>30</v>
      </c>
      <c r="C26" s="556"/>
      <c r="D26" s="489">
        <f>SUM(D22,D25)</f>
        <v>18844</v>
      </c>
      <c r="E26" s="489">
        <f>SUM(E22,E25)</f>
        <v>11830</v>
      </c>
      <c r="F26" s="17">
        <f t="shared" si="0"/>
        <v>0.62778603268945021</v>
      </c>
      <c r="G26" s="489">
        <f>SUM(G22,G25)</f>
        <v>149767</v>
      </c>
      <c r="H26" s="489">
        <f>SUM(H22,H25)</f>
        <v>121143</v>
      </c>
      <c r="I26" s="17">
        <f t="shared" si="1"/>
        <v>0.8088764547597268</v>
      </c>
      <c r="J26" s="556"/>
      <c r="K26" s="556"/>
      <c r="L26" s="556"/>
      <c r="M26" s="557"/>
    </row>
    <row r="27" spans="1:13">
      <c r="A27" s="558" t="s">
        <v>33</v>
      </c>
      <c r="B27" s="559"/>
      <c r="C27" s="559"/>
      <c r="D27" s="559"/>
      <c r="E27" s="559"/>
      <c r="F27" s="559"/>
      <c r="G27" s="559"/>
      <c r="H27" s="559"/>
      <c r="I27" s="559"/>
      <c r="J27" s="559"/>
      <c r="K27" s="559"/>
      <c r="L27" s="559"/>
      <c r="M27" s="560"/>
    </row>
    <row r="28" spans="1:13" ht="12.75" customHeight="1">
      <c r="A28" s="561" t="s">
        <v>34</v>
      </c>
      <c r="B28" s="564" t="s">
        <v>35</v>
      </c>
      <c r="C28" s="128" t="s">
        <v>29</v>
      </c>
      <c r="D28" s="61">
        <v>200</v>
      </c>
      <c r="E28" s="490">
        <v>364</v>
      </c>
      <c r="F28" s="14">
        <f>E28/D28</f>
        <v>1.82</v>
      </c>
      <c r="G28" s="479">
        <f>D28+'2017JUL'!G28</f>
        <v>1600</v>
      </c>
      <c r="H28" s="479">
        <f>E28+'2017JUL'!H28</f>
        <v>6426</v>
      </c>
      <c r="I28" s="14">
        <f>H28/G28</f>
        <v>4.0162500000000003</v>
      </c>
      <c r="J28" s="525"/>
      <c r="K28" s="525"/>
      <c r="L28" s="525"/>
      <c r="M28" s="552"/>
    </row>
    <row r="29" spans="1:13">
      <c r="A29" s="562"/>
      <c r="B29" s="565"/>
      <c r="C29" s="128" t="s">
        <v>32</v>
      </c>
      <c r="D29" s="61">
        <v>0</v>
      </c>
      <c r="E29" s="490">
        <v>0</v>
      </c>
      <c r="F29" s="14" t="e">
        <f t="shared" ref="F29:F45" si="2">E29/D29</f>
        <v>#DIV/0!</v>
      </c>
      <c r="G29" s="479">
        <f>D29</f>
        <v>0</v>
      </c>
      <c r="H29" s="479">
        <f>E29</f>
        <v>0</v>
      </c>
      <c r="I29" s="14" t="e">
        <f t="shared" ref="I29:I45" si="3">H29/G29</f>
        <v>#DIV/0!</v>
      </c>
      <c r="J29" s="525"/>
      <c r="K29" s="525"/>
      <c r="L29" s="525"/>
      <c r="M29" s="552"/>
    </row>
    <row r="30" spans="1:13">
      <c r="A30" s="562"/>
      <c r="B30" s="566"/>
      <c r="C30" s="15" t="s">
        <v>30</v>
      </c>
      <c r="D30" s="487">
        <f>SUM(D28:D29)</f>
        <v>200</v>
      </c>
      <c r="E30" s="487">
        <f>SUM(E28:E29)</f>
        <v>364</v>
      </c>
      <c r="F30" s="14">
        <f t="shared" si="2"/>
        <v>1.82</v>
      </c>
      <c r="G30" s="487">
        <f>SUM(G28:G29)</f>
        <v>1600</v>
      </c>
      <c r="H30" s="487">
        <f>SUM(H28:H29)</f>
        <v>6426</v>
      </c>
      <c r="I30" s="14">
        <f t="shared" si="3"/>
        <v>4.0162500000000003</v>
      </c>
      <c r="J30" s="553"/>
      <c r="K30" s="553"/>
      <c r="L30" s="553"/>
      <c r="M30" s="554"/>
    </row>
    <row r="31" spans="1:13" ht="12.75" customHeight="1">
      <c r="A31" s="562"/>
      <c r="B31" s="567" t="s">
        <v>36</v>
      </c>
      <c r="C31" s="568"/>
      <c r="D31" s="61">
        <v>3700</v>
      </c>
      <c r="E31" s="490">
        <v>10543</v>
      </c>
      <c r="F31" s="14">
        <f t="shared" si="2"/>
        <v>2.8494594594594593</v>
      </c>
      <c r="G31" s="479">
        <f>D31+'2017JUL'!G31</f>
        <v>22100</v>
      </c>
      <c r="H31" s="479">
        <f>E31+'2017JUL'!H31</f>
        <v>38525</v>
      </c>
      <c r="I31" s="14">
        <f t="shared" si="3"/>
        <v>1.7432126696832579</v>
      </c>
      <c r="J31" s="525"/>
      <c r="K31" s="525"/>
      <c r="L31" s="525"/>
      <c r="M31" s="552"/>
    </row>
    <row r="32" spans="1:13" s="8" customFormat="1">
      <c r="A32" s="563"/>
      <c r="B32" s="534" t="s">
        <v>30</v>
      </c>
      <c r="C32" s="534"/>
      <c r="D32" s="485">
        <f>SUM(D30,D31)</f>
        <v>3900</v>
      </c>
      <c r="E32" s="485">
        <f>SUM(E30,E31)</f>
        <v>10907</v>
      </c>
      <c r="F32" s="14">
        <f t="shared" si="2"/>
        <v>2.7966666666666669</v>
      </c>
      <c r="G32" s="485">
        <f>SUM(G30,G31)</f>
        <v>23700</v>
      </c>
      <c r="H32" s="485">
        <f>SUM(H30,H31)</f>
        <v>44951</v>
      </c>
      <c r="I32" s="14">
        <f t="shared" si="3"/>
        <v>1.8966666666666667</v>
      </c>
      <c r="J32" s="534"/>
      <c r="K32" s="534"/>
      <c r="L32" s="534"/>
      <c r="M32" s="543"/>
    </row>
    <row r="33" spans="1:13">
      <c r="A33" s="573" t="s">
        <v>37</v>
      </c>
      <c r="B33" s="555" t="s">
        <v>38</v>
      </c>
      <c r="C33" s="18" t="s">
        <v>39</v>
      </c>
      <c r="D33" s="61">
        <v>35000</v>
      </c>
      <c r="E33" s="479">
        <v>0</v>
      </c>
      <c r="F33" s="14">
        <f t="shared" si="2"/>
        <v>0</v>
      </c>
      <c r="G33" s="479">
        <f>D33+'2017JUL'!G33</f>
        <v>280000</v>
      </c>
      <c r="H33" s="479">
        <f>E33+'2017JUL'!H33</f>
        <v>0</v>
      </c>
      <c r="I33" s="14">
        <f t="shared" si="3"/>
        <v>0</v>
      </c>
      <c r="J33" s="525"/>
      <c r="K33" s="525"/>
      <c r="L33" s="525"/>
      <c r="M33" s="552"/>
    </row>
    <row r="34" spans="1:13">
      <c r="A34" s="573"/>
      <c r="B34" s="555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525"/>
      <c r="K34" s="525"/>
      <c r="L34" s="525"/>
      <c r="M34" s="552"/>
    </row>
    <row r="35" spans="1:13">
      <c r="A35" s="573"/>
      <c r="B35" s="555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87">
        <f>SUM(G33:G34)</f>
        <v>280000</v>
      </c>
      <c r="H35" s="487">
        <f>SUM(H33:H34)</f>
        <v>0</v>
      </c>
      <c r="I35" s="16">
        <f t="shared" si="3"/>
        <v>0</v>
      </c>
      <c r="J35" s="553"/>
      <c r="K35" s="553"/>
      <c r="L35" s="553"/>
      <c r="M35" s="554"/>
    </row>
    <row r="36" spans="1:13" ht="12" customHeight="1">
      <c r="A36" s="573"/>
      <c r="B36" s="574" t="s">
        <v>41</v>
      </c>
      <c r="C36" s="18" t="s">
        <v>270</v>
      </c>
      <c r="D36" s="479">
        <v>2222</v>
      </c>
      <c r="E36" s="490">
        <v>0</v>
      </c>
      <c r="F36" s="14">
        <f t="shared" si="2"/>
        <v>0</v>
      </c>
      <c r="G36" s="479">
        <f>D36+'2017JUL'!G36</f>
        <v>11110</v>
      </c>
      <c r="H36" s="479">
        <f>'2017JUL'!H36</f>
        <v>28435</v>
      </c>
      <c r="I36" s="14">
        <f t="shared" si="3"/>
        <v>2.5594059405940595</v>
      </c>
      <c r="J36" s="525"/>
      <c r="K36" s="525"/>
      <c r="L36" s="525"/>
      <c r="M36" s="552"/>
    </row>
    <row r="37" spans="1:13" ht="12" customHeight="1">
      <c r="A37" s="573"/>
      <c r="B37" s="574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525"/>
      <c r="K37" s="525"/>
      <c r="L37" s="525"/>
      <c r="M37" s="552"/>
    </row>
    <row r="38" spans="1:13" ht="12" customHeight="1">
      <c r="A38" s="573"/>
      <c r="B38" s="574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11110</v>
      </c>
      <c r="H38" s="487">
        <f>SUM(H36:H37)</f>
        <v>28435</v>
      </c>
      <c r="I38" s="16">
        <f t="shared" si="3"/>
        <v>2.5594059405940595</v>
      </c>
      <c r="J38" s="553"/>
      <c r="K38" s="553"/>
      <c r="L38" s="553"/>
      <c r="M38" s="554"/>
    </row>
    <row r="39" spans="1:13" s="8" customFormat="1" ht="12" customHeight="1">
      <c r="A39" s="573"/>
      <c r="B39" s="534" t="s">
        <v>30</v>
      </c>
      <c r="C39" s="534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291110</v>
      </c>
      <c r="H39" s="485">
        <f>SUM(H35,H38)</f>
        <v>28435</v>
      </c>
      <c r="I39" s="19">
        <f t="shared" si="3"/>
        <v>9.7677853732266159E-2</v>
      </c>
      <c r="J39" s="534"/>
      <c r="K39" s="534"/>
      <c r="L39" s="534"/>
      <c r="M39" s="543"/>
    </row>
    <row r="40" spans="1:13" s="8" customFormat="1">
      <c r="A40" s="569" t="s">
        <v>42</v>
      </c>
      <c r="B40" s="570"/>
      <c r="C40" s="570"/>
      <c r="D40" s="483">
        <v>300</v>
      </c>
      <c r="E40" s="510">
        <v>762</v>
      </c>
      <c r="F40" s="21">
        <f t="shared" si="2"/>
        <v>2.54</v>
      </c>
      <c r="G40" s="483">
        <f>D40+'2017JUL'!G40</f>
        <v>2400</v>
      </c>
      <c r="H40" s="483">
        <f>E40+'2017JUL'!H40</f>
        <v>6944</v>
      </c>
      <c r="I40" s="21">
        <f t="shared" si="3"/>
        <v>2.8933333333333335</v>
      </c>
      <c r="J40" s="570"/>
      <c r="K40" s="570"/>
      <c r="L40" s="570"/>
      <c r="M40" s="571"/>
    </row>
    <row r="41" spans="1:13" s="8" customFormat="1">
      <c r="A41" s="569" t="s">
        <v>43</v>
      </c>
      <c r="B41" s="570"/>
      <c r="C41" s="570"/>
      <c r="D41" s="483">
        <v>5250</v>
      </c>
      <c r="E41" s="483">
        <v>0</v>
      </c>
      <c r="F41" s="21">
        <f t="shared" si="2"/>
        <v>0</v>
      </c>
      <c r="G41" s="483">
        <f>D41+'2017JUL'!G41</f>
        <v>28500</v>
      </c>
      <c r="H41" s="483">
        <f>E41+'2017JUL'!H41</f>
        <v>0</v>
      </c>
      <c r="I41" s="21">
        <f t="shared" si="3"/>
        <v>0</v>
      </c>
      <c r="J41" s="572" t="s">
        <v>44</v>
      </c>
      <c r="K41" s="570"/>
      <c r="L41" s="570"/>
      <c r="M41" s="571"/>
    </row>
    <row r="42" spans="1:13" s="8" customFormat="1">
      <c r="A42" s="569" t="s">
        <v>45</v>
      </c>
      <c r="B42" s="570"/>
      <c r="C42" s="570"/>
      <c r="D42" s="483">
        <v>17000</v>
      </c>
      <c r="E42" s="20">
        <v>0</v>
      </c>
      <c r="F42" s="21">
        <f t="shared" si="2"/>
        <v>0</v>
      </c>
      <c r="G42" s="483">
        <f>D42+'2017JUL'!G42</f>
        <v>136000</v>
      </c>
      <c r="H42" s="483">
        <f>E42+'2017JUL'!H42</f>
        <v>153000</v>
      </c>
      <c r="I42" s="21">
        <f t="shared" si="3"/>
        <v>1.125</v>
      </c>
      <c r="J42" s="570"/>
      <c r="K42" s="570"/>
      <c r="L42" s="570"/>
      <c r="M42" s="571"/>
    </row>
    <row r="43" spans="1:13" s="8" customFormat="1">
      <c r="A43" s="587" t="s">
        <v>46</v>
      </c>
      <c r="B43" s="588"/>
      <c r="C43" s="589"/>
      <c r="D43" s="484">
        <f>SUM(D26,D32,D39,D40:D42)</f>
        <v>82516</v>
      </c>
      <c r="E43" s="484">
        <f>SUM(E26,E32,E39,E40:E42)</f>
        <v>23499</v>
      </c>
      <c r="F43" s="22">
        <f t="shared" si="2"/>
        <v>0.28478113335595523</v>
      </c>
      <c r="G43" s="484">
        <f>SUM(G26,G32,G39,G40:G42)</f>
        <v>631477</v>
      </c>
      <c r="H43" s="484">
        <f>SUM(H26,H32,H39,H40:H42)</f>
        <v>354473</v>
      </c>
      <c r="I43" s="22">
        <f t="shared" si="3"/>
        <v>0.56133952622185768</v>
      </c>
      <c r="J43" s="590" t="s">
        <v>15</v>
      </c>
      <c r="K43" s="591"/>
      <c r="L43" s="591"/>
      <c r="M43" s="592"/>
    </row>
    <row r="44" spans="1:13" s="8" customFormat="1">
      <c r="A44" s="587" t="s">
        <v>47</v>
      </c>
      <c r="B44" s="588"/>
      <c r="C44" s="589"/>
      <c r="D44" s="484">
        <f>D43-D40</f>
        <v>82216</v>
      </c>
      <c r="E44" s="484">
        <f>E43-E40</f>
        <v>22737</v>
      </c>
      <c r="F44" s="22">
        <f t="shared" si="2"/>
        <v>0.27655200934124746</v>
      </c>
      <c r="G44" s="484">
        <f>G43-G40</f>
        <v>629077</v>
      </c>
      <c r="H44" s="484">
        <f>H43-H40</f>
        <v>347529</v>
      </c>
      <c r="I44" s="22">
        <f t="shared" si="3"/>
        <v>0.55244270574190446</v>
      </c>
      <c r="J44" s="590" t="s">
        <v>15</v>
      </c>
      <c r="K44" s="591"/>
      <c r="L44" s="591"/>
      <c r="M44" s="592"/>
    </row>
    <row r="45" spans="1:13" s="8" customFormat="1" ht="14" thickBot="1">
      <c r="A45" s="575" t="s">
        <v>48</v>
      </c>
      <c r="B45" s="576"/>
      <c r="C45" s="577"/>
      <c r="D45" s="482">
        <f>D44-D42</f>
        <v>65216</v>
      </c>
      <c r="E45" s="482">
        <f>E44-E42</f>
        <v>22737</v>
      </c>
      <c r="F45" s="23">
        <f t="shared" si="2"/>
        <v>0.34864143768400391</v>
      </c>
      <c r="G45" s="482">
        <f>G44-G42</f>
        <v>493077</v>
      </c>
      <c r="H45" s="482">
        <f>H44-H42</f>
        <v>194529</v>
      </c>
      <c r="I45" s="23">
        <f t="shared" si="3"/>
        <v>0.39452053127604814</v>
      </c>
      <c r="J45" s="578" t="s">
        <v>15</v>
      </c>
      <c r="K45" s="579"/>
      <c r="L45" s="579"/>
      <c r="M45" s="580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581" t="s">
        <v>50</v>
      </c>
      <c r="B49" s="582"/>
      <c r="C49" s="582"/>
      <c r="D49" s="582" t="s">
        <v>20</v>
      </c>
      <c r="E49" s="582"/>
      <c r="F49" s="582"/>
      <c r="G49" s="582" t="s">
        <v>21</v>
      </c>
      <c r="H49" s="582"/>
      <c r="I49" s="582"/>
      <c r="J49" s="582" t="s">
        <v>10</v>
      </c>
      <c r="K49" s="582"/>
      <c r="L49" s="582"/>
      <c r="M49" s="585"/>
    </row>
    <row r="50" spans="1:13">
      <c r="A50" s="583"/>
      <c r="B50" s="584"/>
      <c r="C50" s="584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584"/>
      <c r="K50" s="584"/>
      <c r="L50" s="584"/>
      <c r="M50" s="586"/>
    </row>
    <row r="51" spans="1:13" ht="13.5" customHeight="1">
      <c r="A51" s="593" t="s">
        <v>51</v>
      </c>
      <c r="B51" s="525" t="s">
        <v>29</v>
      </c>
      <c r="C51" s="27" t="s">
        <v>52</v>
      </c>
      <c r="D51" s="61">
        <v>5</v>
      </c>
      <c r="E51" s="490">
        <v>44</v>
      </c>
      <c r="F51" s="28">
        <f t="shared" ref="F51:F77" si="4">E51/D51</f>
        <v>8.8000000000000007</v>
      </c>
      <c r="G51" s="479">
        <f>D51+'2017JUL'!G51</f>
        <v>40</v>
      </c>
      <c r="H51" s="479">
        <f>E51+'2017JUL'!H51</f>
        <v>101</v>
      </c>
      <c r="I51" s="28">
        <f t="shared" ref="I51:I77" si="5">H51/G51</f>
        <v>2.5249999999999999</v>
      </c>
      <c r="J51" s="596"/>
      <c r="K51" s="597"/>
      <c r="L51" s="597"/>
      <c r="M51" s="598"/>
    </row>
    <row r="52" spans="1:13">
      <c r="A52" s="594"/>
      <c r="B52" s="525"/>
      <c r="C52" s="27" t="s">
        <v>53</v>
      </c>
      <c r="D52" s="61">
        <v>398</v>
      </c>
      <c r="E52" s="490">
        <v>260</v>
      </c>
      <c r="F52" s="28">
        <f t="shared" si="4"/>
        <v>0.65326633165829151</v>
      </c>
      <c r="G52" s="479">
        <f>D52+'2017JUL'!G52</f>
        <v>3270</v>
      </c>
      <c r="H52" s="479">
        <f>E52+'2017JUL'!H52</f>
        <v>3061</v>
      </c>
      <c r="I52" s="28">
        <f t="shared" si="5"/>
        <v>0.93608562691131503</v>
      </c>
      <c r="J52" s="596"/>
      <c r="K52" s="597"/>
      <c r="L52" s="597"/>
      <c r="M52" s="598"/>
    </row>
    <row r="53" spans="1:13">
      <c r="A53" s="595"/>
      <c r="B53" s="525"/>
      <c r="C53" s="29" t="s">
        <v>54</v>
      </c>
      <c r="D53" s="487">
        <f>SUM(D51:D52)</f>
        <v>403</v>
      </c>
      <c r="E53" s="487">
        <f>SUM(E51:E52)</f>
        <v>304</v>
      </c>
      <c r="F53" s="30">
        <f t="shared" si="4"/>
        <v>0.75434243176178661</v>
      </c>
      <c r="G53" s="487">
        <f>SUM(G51:G52)</f>
        <v>3310</v>
      </c>
      <c r="H53" s="487">
        <f>SUM(H51:H52)</f>
        <v>3162</v>
      </c>
      <c r="I53" s="30">
        <f t="shared" si="5"/>
        <v>0.9552870090634441</v>
      </c>
      <c r="J53" s="599"/>
      <c r="K53" s="600"/>
      <c r="L53" s="600"/>
      <c r="M53" s="601"/>
    </row>
    <row r="54" spans="1:13">
      <c r="A54" s="602" t="s">
        <v>55</v>
      </c>
      <c r="B54" s="525" t="s">
        <v>52</v>
      </c>
      <c r="C54" s="525"/>
      <c r="D54" s="61">
        <v>2</v>
      </c>
      <c r="E54" s="490">
        <v>208</v>
      </c>
      <c r="F54" s="28">
        <f t="shared" si="4"/>
        <v>104</v>
      </c>
      <c r="G54" s="479">
        <f>D54+'2017JUL'!G54</f>
        <v>16</v>
      </c>
      <c r="H54" s="479">
        <f>E54+'2017JUL'!H54</f>
        <v>220</v>
      </c>
      <c r="I54" s="28">
        <f t="shared" si="5"/>
        <v>13.75</v>
      </c>
      <c r="J54" s="596"/>
      <c r="K54" s="597"/>
      <c r="L54" s="597"/>
      <c r="M54" s="598"/>
    </row>
    <row r="55" spans="1:13">
      <c r="A55" s="602"/>
      <c r="B55" s="525" t="s">
        <v>53</v>
      </c>
      <c r="C55" s="525"/>
      <c r="D55" s="61">
        <v>296</v>
      </c>
      <c r="E55" s="490">
        <v>208</v>
      </c>
      <c r="F55" s="28">
        <f t="shared" si="4"/>
        <v>0.70270270270270274</v>
      </c>
      <c r="G55" s="479">
        <f>D55+'2017JUL'!G55</f>
        <v>2437</v>
      </c>
      <c r="H55" s="479">
        <f>E55+'2017JUL'!H55</f>
        <v>2659</v>
      </c>
      <c r="I55" s="28">
        <f t="shared" si="5"/>
        <v>1.0910956093557653</v>
      </c>
      <c r="J55" s="596"/>
      <c r="K55" s="597"/>
      <c r="L55" s="597"/>
      <c r="M55" s="598"/>
    </row>
    <row r="56" spans="1:13">
      <c r="A56" s="602"/>
      <c r="B56" s="603" t="s">
        <v>30</v>
      </c>
      <c r="C56" s="603"/>
      <c r="D56" s="474">
        <f>SUM(D54:D55)</f>
        <v>298</v>
      </c>
      <c r="E56" s="474">
        <f>SUM(E54:E55)</f>
        <v>416</v>
      </c>
      <c r="F56" s="28">
        <f t="shared" si="4"/>
        <v>1.3959731543624161</v>
      </c>
      <c r="G56" s="474">
        <f>SUM(G54:G55)</f>
        <v>2453</v>
      </c>
      <c r="H56" s="474">
        <f>SUM(H54:H55)</f>
        <v>2879</v>
      </c>
      <c r="I56" s="31">
        <f t="shared" si="5"/>
        <v>1.1736649001222992</v>
      </c>
      <c r="J56" s="604"/>
      <c r="K56" s="605"/>
      <c r="L56" s="605"/>
      <c r="M56" s="606"/>
    </row>
    <row r="57" spans="1:13" s="8" customFormat="1">
      <c r="A57" s="607" t="s">
        <v>46</v>
      </c>
      <c r="B57" s="609" t="s">
        <v>52</v>
      </c>
      <c r="C57" s="609"/>
      <c r="D57" s="473">
        <f>SUM(D51,D54)</f>
        <v>7</v>
      </c>
      <c r="E57" s="473">
        <f>SUM(E51,E54)</f>
        <v>252</v>
      </c>
      <c r="F57" s="32">
        <f t="shared" si="4"/>
        <v>36</v>
      </c>
      <c r="G57" s="473">
        <f>SUM(G51,G54)</f>
        <v>56</v>
      </c>
      <c r="H57" s="473">
        <f>SUM(H51,H54)</f>
        <v>321</v>
      </c>
      <c r="I57" s="32">
        <f t="shared" si="5"/>
        <v>5.7321428571428568</v>
      </c>
      <c r="J57" s="610"/>
      <c r="K57" s="611"/>
      <c r="L57" s="611"/>
      <c r="M57" s="612"/>
    </row>
    <row r="58" spans="1:13" s="8" customFormat="1">
      <c r="A58" s="607"/>
      <c r="B58" s="609" t="s">
        <v>53</v>
      </c>
      <c r="C58" s="609"/>
      <c r="D58" s="473">
        <f>SUM(D52,D55)</f>
        <v>694</v>
      </c>
      <c r="E58" s="473">
        <f>SUM(E52,E55)</f>
        <v>468</v>
      </c>
      <c r="F58" s="32">
        <f t="shared" si="4"/>
        <v>0.67435158501440917</v>
      </c>
      <c r="G58" s="473">
        <f>SUM(G52,G55)</f>
        <v>5707</v>
      </c>
      <c r="H58" s="473">
        <f>SUM(H52,H55)</f>
        <v>5720</v>
      </c>
      <c r="I58" s="32">
        <f t="shared" si="5"/>
        <v>1.0022779043280183</v>
      </c>
      <c r="J58" s="610"/>
      <c r="K58" s="611"/>
      <c r="L58" s="611"/>
      <c r="M58" s="612"/>
    </row>
    <row r="59" spans="1:13" s="8" customFormat="1" ht="17.25" customHeight="1" thickBot="1">
      <c r="A59" s="608"/>
      <c r="B59" s="613" t="s">
        <v>56</v>
      </c>
      <c r="C59" s="613"/>
      <c r="D59" s="481">
        <f>SUM(D57:D58)</f>
        <v>701</v>
      </c>
      <c r="E59" s="481">
        <f>SUM(E57:E58)</f>
        <v>720</v>
      </c>
      <c r="F59" s="33">
        <f t="shared" si="4"/>
        <v>1.0271041369472182</v>
      </c>
      <c r="G59" s="481">
        <f>SUM(G57:G58)</f>
        <v>5763</v>
      </c>
      <c r="H59" s="481">
        <f>SUM(H57:H58)</f>
        <v>6041</v>
      </c>
      <c r="I59" s="33">
        <f t="shared" si="5"/>
        <v>1.0482387645323616</v>
      </c>
      <c r="J59" s="614"/>
      <c r="K59" s="615"/>
      <c r="L59" s="615"/>
      <c r="M59" s="616"/>
    </row>
    <row r="60" spans="1:13">
      <c r="A60" s="593" t="s">
        <v>57</v>
      </c>
      <c r="B60" s="525" t="s">
        <v>29</v>
      </c>
      <c r="C60" s="27" t="s">
        <v>52</v>
      </c>
      <c r="D60" s="61">
        <v>16</v>
      </c>
      <c r="E60" s="479">
        <f>E69/10</f>
        <v>121.7</v>
      </c>
      <c r="F60" s="28">
        <f t="shared" si="4"/>
        <v>7.6062500000000002</v>
      </c>
      <c r="G60" s="479">
        <f>D60+'2017JUL'!G60</f>
        <v>128</v>
      </c>
      <c r="H60" s="479">
        <f>E60+'2017JUL'!H60</f>
        <v>326.39999999999998</v>
      </c>
      <c r="I60" s="28">
        <f t="shared" si="5"/>
        <v>2.5499999999999998</v>
      </c>
      <c r="J60" s="596"/>
      <c r="K60" s="597"/>
      <c r="L60" s="597"/>
      <c r="M60" s="598"/>
    </row>
    <row r="61" spans="1:13">
      <c r="A61" s="594"/>
      <c r="B61" s="525"/>
      <c r="C61" s="27" t="s">
        <v>53</v>
      </c>
      <c r="D61" s="61">
        <v>1300</v>
      </c>
      <c r="E61" s="479">
        <f>E70/10</f>
        <v>782.6</v>
      </c>
      <c r="F61" s="28">
        <f t="shared" si="4"/>
        <v>0.60199999999999998</v>
      </c>
      <c r="G61" s="479">
        <f>D61+'2017JUL'!G61</f>
        <v>10690</v>
      </c>
      <c r="H61" s="479">
        <f>E61+'2017JUL'!H61</f>
        <v>8656.6</v>
      </c>
      <c r="I61" s="28">
        <f t="shared" si="5"/>
        <v>0.80978484565014031</v>
      </c>
      <c r="J61" s="596"/>
      <c r="K61" s="597"/>
      <c r="L61" s="597"/>
      <c r="M61" s="598"/>
    </row>
    <row r="62" spans="1:13">
      <c r="A62" s="595"/>
      <c r="B62" s="525"/>
      <c r="C62" s="29" t="s">
        <v>54</v>
      </c>
      <c r="D62" s="61">
        <f>SUM(D60:D61)</f>
        <v>1316</v>
      </c>
      <c r="E62" s="487">
        <f>SUM(E60:E61)</f>
        <v>904.30000000000007</v>
      </c>
      <c r="F62" s="30">
        <f t="shared" si="4"/>
        <v>0.68715805471124625</v>
      </c>
      <c r="G62" s="487">
        <f>SUM(G60:G61)</f>
        <v>10818</v>
      </c>
      <c r="H62" s="487">
        <f>SUM(H60:H61)</f>
        <v>8983</v>
      </c>
      <c r="I62" s="30">
        <f t="shared" si="5"/>
        <v>0.83037530042521723</v>
      </c>
      <c r="J62" s="599"/>
      <c r="K62" s="600"/>
      <c r="L62" s="600"/>
      <c r="M62" s="601"/>
    </row>
    <row r="63" spans="1:13">
      <c r="A63" s="602" t="s">
        <v>58</v>
      </c>
      <c r="B63" s="525" t="s">
        <v>52</v>
      </c>
      <c r="C63" s="525"/>
      <c r="D63" s="61">
        <v>2</v>
      </c>
      <c r="E63" s="479">
        <f>E72/10</f>
        <v>17</v>
      </c>
      <c r="F63" s="28">
        <f t="shared" si="4"/>
        <v>8.5</v>
      </c>
      <c r="G63" s="479">
        <f>D63+'2017JUL'!G63</f>
        <v>16</v>
      </c>
      <c r="H63" s="479">
        <f>E63+'2017JUL'!H63</f>
        <v>41.4</v>
      </c>
      <c r="I63" s="28">
        <f t="shared" si="5"/>
        <v>2.5874999999999999</v>
      </c>
      <c r="J63" s="596"/>
      <c r="K63" s="597"/>
      <c r="L63" s="597"/>
      <c r="M63" s="598"/>
    </row>
    <row r="64" spans="1:13">
      <c r="A64" s="602"/>
      <c r="B64" s="525" t="s">
        <v>53</v>
      </c>
      <c r="C64" s="525"/>
      <c r="D64" s="61">
        <v>444</v>
      </c>
      <c r="E64" s="479">
        <f>E73/10</f>
        <v>261.7</v>
      </c>
      <c r="F64" s="28">
        <f t="shared" si="4"/>
        <v>0.58941441441441433</v>
      </c>
      <c r="G64" s="479">
        <f>D64+'2017JUL'!G64</f>
        <v>3655</v>
      </c>
      <c r="H64" s="479">
        <f>E64+'2017JUL'!H64</f>
        <v>3089.8999999999996</v>
      </c>
      <c r="I64" s="28">
        <f t="shared" si="5"/>
        <v>0.84538987688098488</v>
      </c>
      <c r="J64" s="596"/>
      <c r="K64" s="597"/>
      <c r="L64" s="597"/>
      <c r="M64" s="598"/>
    </row>
    <row r="65" spans="1:14">
      <c r="A65" s="602"/>
      <c r="B65" s="603" t="s">
        <v>30</v>
      </c>
      <c r="C65" s="603"/>
      <c r="D65" s="474">
        <f>SUM(D63:D64)</f>
        <v>446</v>
      </c>
      <c r="E65" s="474">
        <f>SUM(E63:E64)</f>
        <v>278.7</v>
      </c>
      <c r="F65" s="31">
        <f t="shared" si="4"/>
        <v>0.62488789237668163</v>
      </c>
      <c r="G65" s="474">
        <f>SUM(G63:G64)</f>
        <v>3671</v>
      </c>
      <c r="H65" s="474">
        <f>SUM(H63:H64)</f>
        <v>3131.2999999999997</v>
      </c>
      <c r="I65" s="31">
        <f t="shared" si="5"/>
        <v>0.85298283846363376</v>
      </c>
      <c r="J65" s="604"/>
      <c r="K65" s="605"/>
      <c r="L65" s="605"/>
      <c r="M65" s="606"/>
    </row>
    <row r="66" spans="1:14" s="8" customFormat="1">
      <c r="A66" s="607" t="s">
        <v>46</v>
      </c>
      <c r="B66" s="609" t="s">
        <v>52</v>
      </c>
      <c r="C66" s="609"/>
      <c r="D66" s="473">
        <f>SUM(D60,D63)</f>
        <v>18</v>
      </c>
      <c r="E66" s="473">
        <f>SUM(E60,E63)</f>
        <v>138.69999999999999</v>
      </c>
      <c r="F66" s="32">
        <f t="shared" si="4"/>
        <v>7.7055555555555548</v>
      </c>
      <c r="G66" s="473">
        <f>SUM(G60,G63)</f>
        <v>144</v>
      </c>
      <c r="H66" s="473">
        <f>SUM(H60,H63)</f>
        <v>367.79999999999995</v>
      </c>
      <c r="I66" s="32">
        <f t="shared" si="5"/>
        <v>2.5541666666666663</v>
      </c>
      <c r="J66" s="610"/>
      <c r="K66" s="611"/>
      <c r="L66" s="611"/>
      <c r="M66" s="612"/>
    </row>
    <row r="67" spans="1:14" s="8" customFormat="1">
      <c r="A67" s="607"/>
      <c r="B67" s="609" t="s">
        <v>53</v>
      </c>
      <c r="C67" s="609"/>
      <c r="D67" s="473">
        <f>SUM(D61,D64)</f>
        <v>1744</v>
      </c>
      <c r="E67" s="473">
        <f>SUM(E61,E64)</f>
        <v>1044.3</v>
      </c>
      <c r="F67" s="32">
        <f t="shared" si="4"/>
        <v>0.59879587155963299</v>
      </c>
      <c r="G67" s="473">
        <f>SUM(G61,G64)</f>
        <v>14345</v>
      </c>
      <c r="H67" s="473">
        <f>SUM(H61,H64)</f>
        <v>11746.5</v>
      </c>
      <c r="I67" s="32">
        <f t="shared" si="5"/>
        <v>0.81885674451028234</v>
      </c>
      <c r="J67" s="610"/>
      <c r="K67" s="611"/>
      <c r="L67" s="611"/>
      <c r="M67" s="612"/>
    </row>
    <row r="68" spans="1:14" s="8" customFormat="1" ht="14" thickBot="1">
      <c r="A68" s="608"/>
      <c r="B68" s="613" t="s">
        <v>59</v>
      </c>
      <c r="C68" s="613"/>
      <c r="D68" s="481">
        <f>SUM(D66:D67)</f>
        <v>1762</v>
      </c>
      <c r="E68" s="481">
        <f>SUM(E66:E67)</f>
        <v>1183</v>
      </c>
      <c r="F68" s="34">
        <f t="shared" si="4"/>
        <v>0.67139614074914866</v>
      </c>
      <c r="G68" s="481">
        <f>SUM(G66:G67)</f>
        <v>14489</v>
      </c>
      <c r="H68" s="481">
        <f>SUM(H66:H67)</f>
        <v>12114.3</v>
      </c>
      <c r="I68" s="34">
        <f t="shared" si="5"/>
        <v>0.83610325074194214</v>
      </c>
      <c r="J68" s="614"/>
      <c r="K68" s="615"/>
      <c r="L68" s="615"/>
      <c r="M68" s="616"/>
    </row>
    <row r="69" spans="1:14">
      <c r="A69" s="593" t="s">
        <v>60</v>
      </c>
      <c r="B69" s="525" t="s">
        <v>29</v>
      </c>
      <c r="C69" s="27" t="s">
        <v>52</v>
      </c>
      <c r="D69" s="479">
        <v>1240</v>
      </c>
      <c r="E69" s="490">
        <v>1217</v>
      </c>
      <c r="F69" s="28">
        <f t="shared" si="4"/>
        <v>0.9814516129032258</v>
      </c>
      <c r="G69" s="479">
        <f>D69+'2017JUL'!G69</f>
        <v>5580</v>
      </c>
      <c r="H69" s="479">
        <f>E69+'2017JUL'!H69</f>
        <v>3264</v>
      </c>
      <c r="I69" s="28">
        <f t="shared" si="5"/>
        <v>0.5849462365591398</v>
      </c>
      <c r="J69" s="596"/>
      <c r="K69" s="597"/>
      <c r="L69" s="597"/>
      <c r="M69" s="598"/>
    </row>
    <row r="70" spans="1:14">
      <c r="A70" s="594"/>
      <c r="B70" s="525"/>
      <c r="C70" s="27" t="s">
        <v>53</v>
      </c>
      <c r="D70" s="479">
        <v>13000</v>
      </c>
      <c r="E70" s="479">
        <f>E21-E69</f>
        <v>7826</v>
      </c>
      <c r="F70" s="28">
        <f t="shared" si="4"/>
        <v>0.60199999999999998</v>
      </c>
      <c r="G70" s="479">
        <f>D70+'2017JUL'!G70</f>
        <v>106918</v>
      </c>
      <c r="H70" s="479">
        <f>E70+'2017JUL'!H70</f>
        <v>86566</v>
      </c>
      <c r="I70" s="28">
        <f t="shared" si="5"/>
        <v>0.80964851568491736</v>
      </c>
      <c r="J70" s="596"/>
      <c r="K70" s="597"/>
      <c r="L70" s="597"/>
      <c r="M70" s="598"/>
    </row>
    <row r="71" spans="1:14">
      <c r="A71" s="595"/>
      <c r="B71" s="525"/>
      <c r="C71" s="29" t="s">
        <v>54</v>
      </c>
      <c r="D71" s="487">
        <f>SUM(D69:D70)</f>
        <v>14240</v>
      </c>
      <c r="E71" s="487">
        <f>SUM(E69:E70)</f>
        <v>9043</v>
      </c>
      <c r="F71" s="30">
        <f t="shared" si="4"/>
        <v>0.63504213483146066</v>
      </c>
      <c r="G71" s="487">
        <f>SUM(G69:G70)</f>
        <v>112498</v>
      </c>
      <c r="H71" s="487">
        <f>SUM(H69:H70)</f>
        <v>89830</v>
      </c>
      <c r="I71" s="30">
        <f t="shared" si="5"/>
        <v>0.79850308449927998</v>
      </c>
      <c r="J71" s="599"/>
      <c r="K71" s="600"/>
      <c r="L71" s="600"/>
      <c r="M71" s="601"/>
    </row>
    <row r="72" spans="1:14">
      <c r="A72" s="602" t="s">
        <v>61</v>
      </c>
      <c r="B72" s="525" t="s">
        <v>52</v>
      </c>
      <c r="C72" s="525"/>
      <c r="D72" s="479">
        <v>160</v>
      </c>
      <c r="E72" s="490">
        <v>170</v>
      </c>
      <c r="F72" s="28">
        <f t="shared" si="4"/>
        <v>1.0625</v>
      </c>
      <c r="G72" s="479">
        <f>D72+'2017JUL'!G72</f>
        <v>720</v>
      </c>
      <c r="H72" s="479">
        <f>E72+'2017JUL'!H72</f>
        <v>414</v>
      </c>
      <c r="I72" s="28">
        <f t="shared" si="5"/>
        <v>0.57499999999999996</v>
      </c>
      <c r="J72" s="596"/>
      <c r="K72" s="597"/>
      <c r="L72" s="597"/>
      <c r="M72" s="598"/>
    </row>
    <row r="73" spans="1:14">
      <c r="A73" s="602"/>
      <c r="B73" s="525" t="s">
        <v>53</v>
      </c>
      <c r="C73" s="525"/>
      <c r="D73" s="479">
        <v>4444</v>
      </c>
      <c r="E73" s="479">
        <f>E23-E72</f>
        <v>2617</v>
      </c>
      <c r="F73" s="28">
        <f t="shared" si="4"/>
        <v>0.58888388838883887</v>
      </c>
      <c r="G73" s="479">
        <f>D73+'2017JUL'!G73</f>
        <v>36549</v>
      </c>
      <c r="H73" s="479">
        <f>E73+'2017JUL'!H73</f>
        <v>30899</v>
      </c>
      <c r="I73" s="28">
        <f t="shared" si="5"/>
        <v>0.84541300719581935</v>
      </c>
      <c r="J73" s="596"/>
      <c r="K73" s="597"/>
      <c r="L73" s="597"/>
      <c r="M73" s="598"/>
    </row>
    <row r="74" spans="1:14">
      <c r="A74" s="602"/>
      <c r="B74" s="603" t="s">
        <v>30</v>
      </c>
      <c r="C74" s="603"/>
      <c r="D74" s="474">
        <f>SUM(D72:D73)</f>
        <v>4604</v>
      </c>
      <c r="E74" s="474">
        <f>SUM(E72:E73)</f>
        <v>2787</v>
      </c>
      <c r="F74" s="31">
        <f t="shared" si="4"/>
        <v>0.6053431798436143</v>
      </c>
      <c r="G74" s="474">
        <f>SUM(G72:G73)</f>
        <v>37269</v>
      </c>
      <c r="H74" s="474">
        <f>SUM(H72:H73)</f>
        <v>31313</v>
      </c>
      <c r="I74" s="31">
        <f t="shared" si="5"/>
        <v>0.84018889693847432</v>
      </c>
      <c r="J74" s="604"/>
      <c r="K74" s="605"/>
      <c r="L74" s="605"/>
      <c r="M74" s="606"/>
    </row>
    <row r="75" spans="1:14" s="8" customFormat="1">
      <c r="A75" s="607" t="s">
        <v>46</v>
      </c>
      <c r="B75" s="609" t="s">
        <v>52</v>
      </c>
      <c r="C75" s="609"/>
      <c r="D75" s="473">
        <f>SUM(D69,D72)</f>
        <v>1400</v>
      </c>
      <c r="E75" s="473">
        <f>SUM(E69,E72)</f>
        <v>1387</v>
      </c>
      <c r="F75" s="32">
        <f t="shared" si="4"/>
        <v>0.99071428571428577</v>
      </c>
      <c r="G75" s="473">
        <f>SUM(G69,G72)</f>
        <v>6300</v>
      </c>
      <c r="H75" s="473">
        <f>SUM(H69,H72)</f>
        <v>3678</v>
      </c>
      <c r="I75" s="32">
        <f t="shared" si="5"/>
        <v>0.58380952380952378</v>
      </c>
      <c r="J75" s="610"/>
      <c r="K75" s="611"/>
      <c r="L75" s="611"/>
      <c r="M75" s="612"/>
    </row>
    <row r="76" spans="1:14" s="8" customFormat="1">
      <c r="A76" s="607"/>
      <c r="B76" s="609" t="s">
        <v>53</v>
      </c>
      <c r="C76" s="609"/>
      <c r="D76" s="473">
        <f>SUM(D70,D73)</f>
        <v>17444</v>
      </c>
      <c r="E76" s="473">
        <f>SUM(E70,E73)</f>
        <v>10443</v>
      </c>
      <c r="F76" s="32">
        <f t="shared" si="4"/>
        <v>0.59865856454941524</v>
      </c>
      <c r="G76" s="473">
        <f>SUM(G70,G73)</f>
        <v>143467</v>
      </c>
      <c r="H76" s="473">
        <f>SUM(H70,H73)</f>
        <v>117465</v>
      </c>
      <c r="I76" s="32">
        <f t="shared" si="5"/>
        <v>0.81875971477761433</v>
      </c>
      <c r="J76" s="610"/>
      <c r="K76" s="611"/>
      <c r="L76" s="611"/>
      <c r="M76" s="612"/>
    </row>
    <row r="77" spans="1:14" s="8" customFormat="1" ht="14" thickBot="1">
      <c r="A77" s="608"/>
      <c r="B77" s="613" t="s">
        <v>62</v>
      </c>
      <c r="C77" s="613"/>
      <c r="D77" s="481">
        <f>SUM(D75:D76)</f>
        <v>18844</v>
      </c>
      <c r="E77" s="481">
        <f>SUM(E75:E76)</f>
        <v>11830</v>
      </c>
      <c r="F77" s="34">
        <f t="shared" si="4"/>
        <v>0.62778603268945021</v>
      </c>
      <c r="G77" s="481">
        <f>SUM(G75:G76)</f>
        <v>149767</v>
      </c>
      <c r="H77" s="481">
        <f>SUM(H75:H76)</f>
        <v>121143</v>
      </c>
      <c r="I77" s="34">
        <f t="shared" si="5"/>
        <v>0.8088764547597268</v>
      </c>
      <c r="J77" s="614"/>
      <c r="K77" s="615"/>
      <c r="L77" s="615"/>
      <c r="M77" s="616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581" t="s">
        <v>65</v>
      </c>
      <c r="B82" s="582" t="s">
        <v>66</v>
      </c>
      <c r="C82" s="582" t="s">
        <v>50</v>
      </c>
      <c r="D82" s="582" t="s">
        <v>20</v>
      </c>
      <c r="E82" s="582"/>
      <c r="F82" s="582"/>
      <c r="G82" s="582" t="s">
        <v>21</v>
      </c>
      <c r="H82" s="582"/>
      <c r="I82" s="582"/>
      <c r="J82" s="582" t="s">
        <v>10</v>
      </c>
      <c r="K82" s="582"/>
      <c r="L82" s="582"/>
      <c r="M82" s="585"/>
    </row>
    <row r="83" spans="1:13">
      <c r="A83" s="583"/>
      <c r="B83" s="584"/>
      <c r="C83" s="584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584"/>
      <c r="K83" s="584"/>
      <c r="L83" s="584"/>
      <c r="M83" s="586"/>
    </row>
    <row r="84" spans="1:13">
      <c r="A84" s="573" t="s">
        <v>67</v>
      </c>
      <c r="B84" s="525" t="s">
        <v>68</v>
      </c>
      <c r="C84" s="27" t="s">
        <v>69</v>
      </c>
      <c r="D84" s="479">
        <v>0</v>
      </c>
      <c r="E84" s="490">
        <v>3</v>
      </c>
      <c r="F84" s="498" t="e">
        <f>E84/D84</f>
        <v>#DIV/0!</v>
      </c>
      <c r="G84" s="479">
        <f>D84+'2017JUL'!G84</f>
        <v>2</v>
      </c>
      <c r="H84" s="479">
        <f>E84+'2017JUL'!H84</f>
        <v>3</v>
      </c>
      <c r="I84" s="498">
        <f>H84/G84</f>
        <v>1.5</v>
      </c>
      <c r="J84" s="596"/>
      <c r="K84" s="597"/>
      <c r="L84" s="597"/>
      <c r="M84" s="598"/>
    </row>
    <row r="85" spans="1:13">
      <c r="A85" s="573"/>
      <c r="B85" s="525"/>
      <c r="C85" s="27" t="s">
        <v>70</v>
      </c>
      <c r="D85" s="479">
        <v>85</v>
      </c>
      <c r="E85" s="490">
        <v>52</v>
      </c>
      <c r="F85" s="28">
        <f t="shared" ref="F85:F98" si="6">E85/D85</f>
        <v>0.61176470588235299</v>
      </c>
      <c r="G85" s="479">
        <f>D85+'2017JUL'!G85</f>
        <v>678</v>
      </c>
      <c r="H85" s="479">
        <f>E85+'2017JUL'!H85</f>
        <v>521.5</v>
      </c>
      <c r="I85" s="28">
        <f t="shared" ref="I85:I98" si="7">H85/G85</f>
        <v>0.7691740412979351</v>
      </c>
      <c r="J85" s="596"/>
      <c r="K85" s="597"/>
      <c r="L85" s="597"/>
      <c r="M85" s="598"/>
    </row>
    <row r="86" spans="1:13">
      <c r="A86" s="573"/>
      <c r="B86" s="525"/>
      <c r="C86" s="38" t="s">
        <v>71</v>
      </c>
      <c r="D86" s="487">
        <f>SUM(D84:D85)</f>
        <v>85</v>
      </c>
      <c r="E86" s="487">
        <f>SUM(E84:E85)</f>
        <v>55</v>
      </c>
      <c r="F86" s="30">
        <f t="shared" si="6"/>
        <v>0.6470588235294118</v>
      </c>
      <c r="G86" s="487">
        <f>SUM(G84:G85)</f>
        <v>680</v>
      </c>
      <c r="H86" s="487">
        <f>SUM(H84:H85)</f>
        <v>524.5</v>
      </c>
      <c r="I86" s="30">
        <f t="shared" si="7"/>
        <v>0.77132352941176474</v>
      </c>
      <c r="J86" s="599"/>
      <c r="K86" s="600"/>
      <c r="L86" s="600"/>
      <c r="M86" s="601"/>
    </row>
    <row r="87" spans="1:13">
      <c r="A87" s="573"/>
      <c r="B87" s="525" t="s">
        <v>72</v>
      </c>
      <c r="C87" s="27" t="s">
        <v>69</v>
      </c>
      <c r="D87" s="479">
        <v>0</v>
      </c>
      <c r="E87" s="490">
        <v>3</v>
      </c>
      <c r="F87" s="28" t="e">
        <f t="shared" si="6"/>
        <v>#DIV/0!</v>
      </c>
      <c r="G87" s="479">
        <f>D87+'2017JUL'!G87</f>
        <v>1</v>
      </c>
      <c r="H87" s="479">
        <f>E87+'2017JUL'!H87</f>
        <v>7</v>
      </c>
      <c r="I87" s="28">
        <f t="shared" si="7"/>
        <v>7</v>
      </c>
      <c r="J87" s="596"/>
      <c r="K87" s="597"/>
      <c r="L87" s="597"/>
      <c r="M87" s="598"/>
    </row>
    <row r="88" spans="1:13">
      <c r="A88" s="573"/>
      <c r="B88" s="525"/>
      <c r="C88" s="27" t="s">
        <v>70</v>
      </c>
      <c r="D88" s="479">
        <v>20</v>
      </c>
      <c r="E88" s="490">
        <v>13</v>
      </c>
      <c r="F88" s="28">
        <f t="shared" si="6"/>
        <v>0.65</v>
      </c>
      <c r="G88" s="479">
        <f>D88+'2017JUL'!G88</f>
        <v>159</v>
      </c>
      <c r="H88" s="479">
        <f>E88+'2017JUL'!H88</f>
        <v>135</v>
      </c>
      <c r="I88" s="28">
        <f t="shared" si="7"/>
        <v>0.84905660377358494</v>
      </c>
      <c r="J88" s="596"/>
      <c r="K88" s="597"/>
      <c r="L88" s="597"/>
      <c r="M88" s="598"/>
    </row>
    <row r="89" spans="1:13">
      <c r="A89" s="573"/>
      <c r="B89" s="525"/>
      <c r="C89" s="38" t="s">
        <v>71</v>
      </c>
      <c r="D89" s="487">
        <f>SUM(D87:D88)</f>
        <v>20</v>
      </c>
      <c r="E89" s="487">
        <f>SUM(E87:E88)</f>
        <v>16</v>
      </c>
      <c r="F89" s="30">
        <f t="shared" si="6"/>
        <v>0.8</v>
      </c>
      <c r="G89" s="487">
        <f>SUM(G87:G88)</f>
        <v>160</v>
      </c>
      <c r="H89" s="487">
        <f>SUM(H87:H88)</f>
        <v>142</v>
      </c>
      <c r="I89" s="30">
        <f t="shared" si="7"/>
        <v>0.88749999999999996</v>
      </c>
      <c r="J89" s="599"/>
      <c r="K89" s="600"/>
      <c r="L89" s="600"/>
      <c r="M89" s="601"/>
    </row>
    <row r="90" spans="1:13">
      <c r="A90" s="573"/>
      <c r="B90" s="525" t="s">
        <v>73</v>
      </c>
      <c r="C90" s="27" t="s">
        <v>69</v>
      </c>
      <c r="D90" s="479">
        <v>0</v>
      </c>
      <c r="E90" s="490">
        <v>10</v>
      </c>
      <c r="F90" s="28" t="e">
        <f t="shared" si="6"/>
        <v>#DIV/0!</v>
      </c>
      <c r="G90" s="479">
        <f>D90+'2017JUL'!G90</f>
        <v>2</v>
      </c>
      <c r="H90" s="479">
        <f>E90+'2017JUL'!H90</f>
        <v>20</v>
      </c>
      <c r="I90" s="28">
        <f t="shared" si="7"/>
        <v>10</v>
      </c>
      <c r="J90" s="596"/>
      <c r="K90" s="597"/>
      <c r="L90" s="597"/>
      <c r="M90" s="598"/>
    </row>
    <row r="91" spans="1:13">
      <c r="A91" s="573"/>
      <c r="B91" s="525"/>
      <c r="C91" s="27" t="s">
        <v>70</v>
      </c>
      <c r="D91" s="479">
        <v>51</v>
      </c>
      <c r="E91" s="490">
        <v>41</v>
      </c>
      <c r="F91" s="28">
        <f t="shared" si="6"/>
        <v>0.80392156862745101</v>
      </c>
      <c r="G91" s="479">
        <f>D91+'2017JUL'!G91</f>
        <v>404</v>
      </c>
      <c r="H91" s="479">
        <f>E91+'2017JUL'!H91</f>
        <v>356.5</v>
      </c>
      <c r="I91" s="28">
        <f t="shared" si="7"/>
        <v>0.88242574257425743</v>
      </c>
      <c r="J91" s="596"/>
      <c r="K91" s="597"/>
      <c r="L91" s="597"/>
      <c r="M91" s="598"/>
    </row>
    <row r="92" spans="1:13">
      <c r="A92" s="573"/>
      <c r="B92" s="525"/>
      <c r="C92" s="38" t="s">
        <v>71</v>
      </c>
      <c r="D92" s="487">
        <f>SUM(D90:D91)</f>
        <v>51</v>
      </c>
      <c r="E92" s="487">
        <f>SUM(E90:E91)</f>
        <v>51</v>
      </c>
      <c r="F92" s="30">
        <f t="shared" si="6"/>
        <v>1</v>
      </c>
      <c r="G92" s="487">
        <f>SUM(G90:G91)</f>
        <v>406</v>
      </c>
      <c r="H92" s="487">
        <f>SUM(H90:H91)</f>
        <v>376.5</v>
      </c>
      <c r="I92" s="30">
        <f t="shared" si="7"/>
        <v>0.92733990147783252</v>
      </c>
      <c r="J92" s="599"/>
      <c r="K92" s="600"/>
      <c r="L92" s="600"/>
      <c r="M92" s="601"/>
    </row>
    <row r="93" spans="1:13">
      <c r="A93" s="573"/>
      <c r="B93" s="525" t="s">
        <v>74</v>
      </c>
      <c r="C93" s="27" t="s">
        <v>69</v>
      </c>
      <c r="D93" s="479">
        <v>0</v>
      </c>
      <c r="E93" s="490">
        <v>16</v>
      </c>
      <c r="F93" s="28" t="e">
        <f t="shared" si="6"/>
        <v>#DIV/0!</v>
      </c>
      <c r="G93" s="479">
        <f>D93+'2017JUL'!G93</f>
        <v>3</v>
      </c>
      <c r="H93" s="479">
        <f>E93+'2017JUL'!H93</f>
        <v>40.5</v>
      </c>
      <c r="I93" s="28">
        <f t="shared" si="7"/>
        <v>13.5</v>
      </c>
      <c r="J93" s="596"/>
      <c r="K93" s="597"/>
      <c r="L93" s="597"/>
      <c r="M93" s="598"/>
    </row>
    <row r="94" spans="1:13">
      <c r="A94" s="573"/>
      <c r="B94" s="525"/>
      <c r="C94" s="27" t="s">
        <v>70</v>
      </c>
      <c r="D94" s="479">
        <v>92</v>
      </c>
      <c r="E94" s="490">
        <v>81</v>
      </c>
      <c r="F94" s="28">
        <f t="shared" si="6"/>
        <v>0.88043478260869568</v>
      </c>
      <c r="G94" s="479">
        <f>D94+'2017JUL'!G94</f>
        <v>733</v>
      </c>
      <c r="H94" s="479">
        <f>E94+'2017JUL'!H94</f>
        <v>691</v>
      </c>
      <c r="I94" s="28">
        <f t="shared" si="7"/>
        <v>0.94270122783083221</v>
      </c>
      <c r="J94" s="596"/>
      <c r="K94" s="597"/>
      <c r="L94" s="597"/>
      <c r="M94" s="598"/>
    </row>
    <row r="95" spans="1:13">
      <c r="A95" s="573"/>
      <c r="B95" s="525"/>
      <c r="C95" s="38" t="s">
        <v>71</v>
      </c>
      <c r="D95" s="487">
        <f>SUM(D93:D94)</f>
        <v>92</v>
      </c>
      <c r="E95" s="487">
        <f>SUM(E93:E94)</f>
        <v>97</v>
      </c>
      <c r="F95" s="30">
        <f t="shared" si="6"/>
        <v>1.0543478260869565</v>
      </c>
      <c r="G95" s="487">
        <f>SUM(G93:G94)</f>
        <v>736</v>
      </c>
      <c r="H95" s="487">
        <f>SUM(H93:H94)</f>
        <v>731.5</v>
      </c>
      <c r="I95" s="30">
        <f t="shared" si="7"/>
        <v>0.99388586956521741</v>
      </c>
      <c r="J95" s="599"/>
      <c r="K95" s="600"/>
      <c r="L95" s="600"/>
      <c r="M95" s="601"/>
    </row>
    <row r="96" spans="1:13">
      <c r="A96" s="573"/>
      <c r="B96" s="603" t="s">
        <v>46</v>
      </c>
      <c r="C96" s="39" t="s">
        <v>69</v>
      </c>
      <c r="D96" s="474">
        <f>SUM(D84,D87,D90,D93)</f>
        <v>0</v>
      </c>
      <c r="E96" s="474">
        <f>SUM(E84,E87,E90,E93)</f>
        <v>32</v>
      </c>
      <c r="F96" s="31" t="e">
        <f t="shared" si="6"/>
        <v>#DIV/0!</v>
      </c>
      <c r="G96" s="474">
        <f>SUM(G84,G87,G90,G93)</f>
        <v>8</v>
      </c>
      <c r="H96" s="474">
        <f>SUM(H84,H87,H90,H93)</f>
        <v>70.5</v>
      </c>
      <c r="I96" s="31">
        <f t="shared" si="7"/>
        <v>8.8125</v>
      </c>
      <c r="J96" s="604"/>
      <c r="K96" s="605"/>
      <c r="L96" s="605"/>
      <c r="M96" s="606"/>
    </row>
    <row r="97" spans="1:13">
      <c r="A97" s="573"/>
      <c r="B97" s="603"/>
      <c r="C97" s="39" t="s">
        <v>70</v>
      </c>
      <c r="D97" s="474">
        <f>SUM(D85,D88,D91,D94)</f>
        <v>248</v>
      </c>
      <c r="E97" s="474">
        <f>SUM(E85,E88,E91,E94)</f>
        <v>187</v>
      </c>
      <c r="F97" s="31">
        <f t="shared" si="6"/>
        <v>0.75403225806451613</v>
      </c>
      <c r="G97" s="474">
        <f>SUM(G85,G88,G91,G94)</f>
        <v>1974</v>
      </c>
      <c r="H97" s="474">
        <f>SUM(H85,H88,H91,H94)</f>
        <v>1704</v>
      </c>
      <c r="I97" s="31">
        <f t="shared" si="7"/>
        <v>0.86322188449848025</v>
      </c>
      <c r="J97" s="604"/>
      <c r="K97" s="605"/>
      <c r="L97" s="605"/>
      <c r="M97" s="606"/>
    </row>
    <row r="98" spans="1:13" ht="14" thickBot="1">
      <c r="A98" s="623"/>
      <c r="B98" s="624"/>
      <c r="C98" s="40" t="s">
        <v>46</v>
      </c>
      <c r="D98" s="475">
        <f>SUM(D96:D97)</f>
        <v>248</v>
      </c>
      <c r="E98" s="475">
        <f>SUM(E96:E97)</f>
        <v>219</v>
      </c>
      <c r="F98" s="41">
        <f t="shared" si="6"/>
        <v>0.88306451612903225</v>
      </c>
      <c r="G98" s="475">
        <f>SUM(G96:G97)</f>
        <v>1982</v>
      </c>
      <c r="H98" s="475">
        <f>SUM(H96:H97)</f>
        <v>1774.5</v>
      </c>
      <c r="I98" s="41">
        <f t="shared" si="7"/>
        <v>0.89530776992936423</v>
      </c>
      <c r="J98" s="625"/>
      <c r="K98" s="626"/>
      <c r="L98" s="626"/>
      <c r="M98" s="627"/>
    </row>
    <row r="99" spans="1:13">
      <c r="A99" s="617" t="s">
        <v>75</v>
      </c>
      <c r="B99" s="619" t="s">
        <v>76</v>
      </c>
      <c r="C99" s="42" t="s">
        <v>69</v>
      </c>
      <c r="D99" s="478">
        <v>0</v>
      </c>
      <c r="E99" s="64">
        <v>3</v>
      </c>
      <c r="F99" s="499" t="e">
        <f>E99/D99</f>
        <v>#DIV/0!</v>
      </c>
      <c r="G99" s="478">
        <f>D99+'2017JUL'!G99</f>
        <v>2</v>
      </c>
      <c r="H99" s="478">
        <f>E99+'2017JUL'!H99</f>
        <v>8</v>
      </c>
      <c r="I99" s="499">
        <f>H99/G99</f>
        <v>4</v>
      </c>
      <c r="J99" s="620"/>
      <c r="K99" s="621"/>
      <c r="L99" s="621"/>
      <c r="M99" s="622"/>
    </row>
    <row r="100" spans="1:13" ht="13.5" customHeight="1">
      <c r="A100" s="562"/>
      <c r="B100" s="525"/>
      <c r="C100" s="27" t="s">
        <v>70</v>
      </c>
      <c r="D100" s="479">
        <v>75</v>
      </c>
      <c r="E100" s="490">
        <v>41</v>
      </c>
      <c r="F100" s="28">
        <f t="shared" ref="F100:F109" si="8">E100/D100</f>
        <v>0.54666666666666663</v>
      </c>
      <c r="G100" s="477">
        <f>D100+'2017JUL'!G100</f>
        <v>598</v>
      </c>
      <c r="H100" s="477">
        <f>E100+'2017JUL'!H100</f>
        <v>445</v>
      </c>
      <c r="I100" s="28">
        <f t="shared" ref="I100:I109" si="9">H100/G100</f>
        <v>0.7441471571906354</v>
      </c>
      <c r="J100" s="596"/>
      <c r="K100" s="597"/>
      <c r="L100" s="597"/>
      <c r="M100" s="598"/>
    </row>
    <row r="101" spans="1:13" ht="13.5" customHeight="1">
      <c r="A101" s="562"/>
      <c r="B101" s="525"/>
      <c r="C101" s="38" t="s">
        <v>71</v>
      </c>
      <c r="D101" s="487">
        <f>SUM(D99:D100)</f>
        <v>75</v>
      </c>
      <c r="E101" s="487">
        <f>SUM(E99:E100)</f>
        <v>44</v>
      </c>
      <c r="F101" s="30">
        <f t="shared" si="8"/>
        <v>0.58666666666666667</v>
      </c>
      <c r="G101" s="487">
        <f>SUM(G99:G100)</f>
        <v>600</v>
      </c>
      <c r="H101" s="487">
        <f>SUM(H99:H100)</f>
        <v>453</v>
      </c>
      <c r="I101" s="30">
        <f t="shared" si="9"/>
        <v>0.755</v>
      </c>
      <c r="J101" s="599"/>
      <c r="K101" s="600"/>
      <c r="L101" s="600"/>
      <c r="M101" s="601"/>
    </row>
    <row r="102" spans="1:13" ht="13.5" customHeight="1">
      <c r="A102" s="562"/>
      <c r="B102" s="525" t="s">
        <v>77</v>
      </c>
      <c r="C102" s="27" t="s">
        <v>69</v>
      </c>
      <c r="D102" s="479">
        <v>0</v>
      </c>
      <c r="E102" s="490">
        <v>9</v>
      </c>
      <c r="F102" s="28" t="e">
        <f t="shared" si="8"/>
        <v>#DIV/0!</v>
      </c>
      <c r="G102" s="479">
        <f>D102+'2017JUL'!G102</f>
        <v>2</v>
      </c>
      <c r="H102" s="479">
        <f>E102+'2017JUL'!H102</f>
        <v>18</v>
      </c>
      <c r="I102" s="28">
        <f t="shared" si="9"/>
        <v>9</v>
      </c>
      <c r="J102" s="596"/>
      <c r="K102" s="597"/>
      <c r="L102" s="597"/>
      <c r="M102" s="598"/>
    </row>
    <row r="103" spans="1:13" ht="13.5" customHeight="1">
      <c r="A103" s="562"/>
      <c r="B103" s="525"/>
      <c r="C103" s="27" t="s">
        <v>70</v>
      </c>
      <c r="D103" s="479">
        <v>41</v>
      </c>
      <c r="E103" s="490">
        <v>32</v>
      </c>
      <c r="F103" s="28">
        <f t="shared" si="8"/>
        <v>0.78048780487804881</v>
      </c>
      <c r="G103" s="479">
        <f>D103+'2017JUL'!G103</f>
        <v>326</v>
      </c>
      <c r="H103" s="479">
        <f>E103+'2017JUL'!H103</f>
        <v>276</v>
      </c>
      <c r="I103" s="28">
        <f t="shared" si="9"/>
        <v>0.84662576687116564</v>
      </c>
      <c r="J103" s="596"/>
      <c r="K103" s="597"/>
      <c r="L103" s="597"/>
      <c r="M103" s="598"/>
    </row>
    <row r="104" spans="1:13" ht="13.5" customHeight="1">
      <c r="A104" s="562"/>
      <c r="B104" s="525"/>
      <c r="C104" s="38" t="s">
        <v>71</v>
      </c>
      <c r="D104" s="487">
        <f>SUM(D102:D103)</f>
        <v>41</v>
      </c>
      <c r="E104" s="487">
        <f>SUM(E102:E103)</f>
        <v>41</v>
      </c>
      <c r="F104" s="30">
        <f t="shared" si="8"/>
        <v>1</v>
      </c>
      <c r="G104" s="487">
        <f>SUM(G102:G103)</f>
        <v>328</v>
      </c>
      <c r="H104" s="487">
        <f>SUM(H102:H103)</f>
        <v>294</v>
      </c>
      <c r="I104" s="30">
        <f t="shared" si="9"/>
        <v>0.89634146341463417</v>
      </c>
      <c r="J104" s="599"/>
      <c r="K104" s="600"/>
      <c r="L104" s="600"/>
      <c r="M104" s="601"/>
    </row>
    <row r="105" spans="1:13" ht="13.5" customHeight="1">
      <c r="A105" s="562"/>
      <c r="B105" s="603" t="s">
        <v>46</v>
      </c>
      <c r="C105" s="39" t="s">
        <v>69</v>
      </c>
      <c r="D105" s="474">
        <f>SUM(D99,D102)</f>
        <v>0</v>
      </c>
      <c r="E105" s="474">
        <f>SUM(E99,E102)</f>
        <v>12</v>
      </c>
      <c r="F105" s="30" t="e">
        <f t="shared" si="8"/>
        <v>#DIV/0!</v>
      </c>
      <c r="G105" s="474">
        <f>SUM(G99,G102)</f>
        <v>4</v>
      </c>
      <c r="H105" s="474">
        <f>SUM(H99,H102)</f>
        <v>26</v>
      </c>
      <c r="I105" s="30">
        <f t="shared" si="9"/>
        <v>6.5</v>
      </c>
      <c r="J105" s="604"/>
      <c r="K105" s="605"/>
      <c r="L105" s="605"/>
      <c r="M105" s="606"/>
    </row>
    <row r="106" spans="1:13" ht="13.5" customHeight="1">
      <c r="A106" s="562"/>
      <c r="B106" s="603"/>
      <c r="C106" s="39" t="s">
        <v>70</v>
      </c>
      <c r="D106" s="474">
        <f>SUM(D100,D103)</f>
        <v>116</v>
      </c>
      <c r="E106" s="474">
        <f>SUM(E100,E103)</f>
        <v>73</v>
      </c>
      <c r="F106" s="30">
        <f t="shared" si="8"/>
        <v>0.62931034482758619</v>
      </c>
      <c r="G106" s="474">
        <f>SUM(G100,G103)</f>
        <v>924</v>
      </c>
      <c r="H106" s="474">
        <f>SUM(H100,H103)</f>
        <v>721</v>
      </c>
      <c r="I106" s="30">
        <f t="shared" si="9"/>
        <v>0.78030303030303028</v>
      </c>
      <c r="J106" s="604"/>
      <c r="K106" s="605"/>
      <c r="L106" s="605"/>
      <c r="M106" s="606"/>
    </row>
    <row r="107" spans="1:13" ht="14.25" customHeight="1" thickBot="1">
      <c r="A107" s="618"/>
      <c r="B107" s="624"/>
      <c r="C107" s="40" t="s">
        <v>46</v>
      </c>
      <c r="D107" s="475">
        <f>SUM(D105:D106)</f>
        <v>116</v>
      </c>
      <c r="E107" s="475">
        <f>SUM(E105:E106)</f>
        <v>85</v>
      </c>
      <c r="F107" s="41">
        <f t="shared" si="8"/>
        <v>0.73275862068965514</v>
      </c>
      <c r="G107" s="475">
        <f>SUM(G105:G106)</f>
        <v>928</v>
      </c>
      <c r="H107" s="475">
        <f>SUM(H105:H106)</f>
        <v>747</v>
      </c>
      <c r="I107" s="41">
        <f t="shared" si="9"/>
        <v>0.80495689655172409</v>
      </c>
      <c r="J107" s="625"/>
      <c r="K107" s="626"/>
      <c r="L107" s="626"/>
      <c r="M107" s="627"/>
    </row>
    <row r="108" spans="1:13">
      <c r="A108" s="635" t="s">
        <v>46</v>
      </c>
      <c r="B108" s="635"/>
      <c r="C108" s="44" t="s">
        <v>69</v>
      </c>
      <c r="D108" s="472">
        <f>SUM(D96,D105)</f>
        <v>0</v>
      </c>
      <c r="E108" s="472">
        <f>SUM(E96,E105)</f>
        <v>44</v>
      </c>
      <c r="F108" s="45" t="e">
        <f t="shared" si="8"/>
        <v>#DIV/0!</v>
      </c>
      <c r="G108" s="46">
        <f>SUM(G96,G105)</f>
        <v>12</v>
      </c>
      <c r="H108" s="46">
        <f>SUM(H96,H105)</f>
        <v>96.5</v>
      </c>
      <c r="I108" s="45">
        <f t="shared" si="9"/>
        <v>8.0416666666666661</v>
      </c>
      <c r="J108" s="636"/>
      <c r="K108" s="637"/>
      <c r="L108" s="637"/>
      <c r="M108" s="638"/>
    </row>
    <row r="109" spans="1:13">
      <c r="A109" s="609"/>
      <c r="B109" s="609"/>
      <c r="C109" s="47" t="s">
        <v>70</v>
      </c>
      <c r="D109" s="473">
        <f>SUM(D97,D106)</f>
        <v>364</v>
      </c>
      <c r="E109" s="473">
        <f>SUM(E97,E106)</f>
        <v>260</v>
      </c>
      <c r="F109" s="32">
        <f t="shared" si="8"/>
        <v>0.7142857142857143</v>
      </c>
      <c r="G109" s="473">
        <f>SUM(G97,G106)</f>
        <v>2898</v>
      </c>
      <c r="H109" s="473">
        <f>SUM(H97,H106)</f>
        <v>2425</v>
      </c>
      <c r="I109" s="32">
        <f t="shared" si="9"/>
        <v>0.83678398895790196</v>
      </c>
      <c r="J109" s="639"/>
      <c r="K109" s="640"/>
      <c r="L109" s="640"/>
      <c r="M109" s="641"/>
    </row>
    <row r="110" spans="1:13">
      <c r="A110" s="609"/>
      <c r="B110" s="609"/>
      <c r="C110" s="48" t="s">
        <v>46</v>
      </c>
      <c r="D110" s="473">
        <f>SUM(D108:D109)</f>
        <v>364</v>
      </c>
      <c r="E110" s="473">
        <f>SUM(E108:E109)</f>
        <v>304</v>
      </c>
      <c r="F110" s="49">
        <f>E110/D110</f>
        <v>0.8351648351648352</v>
      </c>
      <c r="G110" s="472">
        <f>SUM(G108:G109)</f>
        <v>2910</v>
      </c>
      <c r="H110" s="472">
        <f>SUM(H108:H109)</f>
        <v>2521.5</v>
      </c>
      <c r="I110" s="49">
        <f>H110/G110</f>
        <v>0.86649484536082477</v>
      </c>
      <c r="J110" s="639"/>
      <c r="K110" s="640"/>
      <c r="L110" s="640"/>
      <c r="M110" s="641"/>
    </row>
    <row r="113" spans="1:13" ht="15" thickBot="1">
      <c r="A113" s="127" t="s">
        <v>78</v>
      </c>
    </row>
    <row r="114" spans="1:13">
      <c r="A114" s="642" t="s">
        <v>79</v>
      </c>
      <c r="B114" s="643"/>
      <c r="C114" s="644" t="s">
        <v>80</v>
      </c>
      <c r="D114" s="645"/>
      <c r="E114" s="644" t="s">
        <v>81</v>
      </c>
      <c r="F114" s="645"/>
      <c r="G114" s="644" t="s">
        <v>136</v>
      </c>
      <c r="H114" s="703"/>
      <c r="I114" s="646"/>
      <c r="J114" s="647"/>
      <c r="K114" s="646"/>
      <c r="L114" s="648"/>
    </row>
    <row r="115" spans="1:13">
      <c r="A115" s="628" t="s">
        <v>82</v>
      </c>
      <c r="B115" s="629"/>
      <c r="C115" s="630" t="s">
        <v>83</v>
      </c>
      <c r="D115" s="631"/>
      <c r="E115" s="630" t="s">
        <v>84</v>
      </c>
      <c r="F115" s="631"/>
      <c r="G115" s="630" t="s">
        <v>84</v>
      </c>
      <c r="H115" s="631"/>
      <c r="I115" s="632"/>
      <c r="J115" s="633"/>
      <c r="K115" s="632"/>
      <c r="L115" s="634"/>
    </row>
    <row r="116" spans="1:13">
      <c r="A116" s="628" t="s">
        <v>85</v>
      </c>
      <c r="B116" s="629"/>
      <c r="C116" s="630" t="s">
        <v>86</v>
      </c>
      <c r="D116" s="631"/>
      <c r="E116" s="630" t="s">
        <v>87</v>
      </c>
      <c r="F116" s="631"/>
      <c r="G116" s="630" t="s">
        <v>87</v>
      </c>
      <c r="H116" s="631"/>
      <c r="I116" s="632"/>
      <c r="J116" s="633"/>
      <c r="K116" s="632"/>
      <c r="L116" s="634"/>
    </row>
    <row r="117" spans="1:13">
      <c r="A117" s="628" t="s">
        <v>88</v>
      </c>
      <c r="B117" s="629"/>
      <c r="C117" s="630" t="s">
        <v>89</v>
      </c>
      <c r="D117" s="631"/>
      <c r="E117" s="630" t="s">
        <v>90</v>
      </c>
      <c r="F117" s="631"/>
      <c r="G117" s="630" t="s">
        <v>138</v>
      </c>
      <c r="H117" s="631"/>
      <c r="I117" s="632"/>
      <c r="J117" s="633"/>
      <c r="K117" s="632"/>
      <c r="L117" s="634"/>
    </row>
    <row r="118" spans="1:13">
      <c r="A118" s="628" t="s">
        <v>91</v>
      </c>
      <c r="B118" s="629"/>
      <c r="C118" s="649">
        <v>864</v>
      </c>
      <c r="D118" s="650"/>
      <c r="E118" s="649">
        <v>5</v>
      </c>
      <c r="F118" s="650"/>
      <c r="G118" s="649">
        <v>2</v>
      </c>
      <c r="H118" s="650"/>
      <c r="I118" s="632"/>
      <c r="J118" s="633"/>
      <c r="K118" s="632"/>
      <c r="L118" s="634"/>
    </row>
    <row r="119" spans="1:13">
      <c r="A119" s="628" t="s">
        <v>92</v>
      </c>
      <c r="B119" s="629"/>
      <c r="C119" s="630" t="s">
        <v>93</v>
      </c>
      <c r="D119" s="631"/>
      <c r="E119" s="630" t="s">
        <v>94</v>
      </c>
      <c r="F119" s="631"/>
      <c r="G119" s="630" t="s">
        <v>94</v>
      </c>
      <c r="H119" s="631"/>
      <c r="I119" s="632"/>
      <c r="J119" s="633"/>
      <c r="K119" s="632"/>
      <c r="L119" s="634"/>
    </row>
    <row r="120" spans="1:13">
      <c r="A120" s="628" t="s">
        <v>311</v>
      </c>
      <c r="B120" s="471" t="s">
        <v>96</v>
      </c>
      <c r="C120" s="630">
        <v>0</v>
      </c>
      <c r="D120" s="631"/>
      <c r="E120" s="630">
        <v>0</v>
      </c>
      <c r="F120" s="631"/>
      <c r="G120" s="630">
        <v>0</v>
      </c>
      <c r="H120" s="631"/>
      <c r="I120" s="632"/>
      <c r="J120" s="633"/>
      <c r="K120" s="632"/>
      <c r="L120" s="634"/>
    </row>
    <row r="121" spans="1:13">
      <c r="A121" s="628"/>
      <c r="B121" s="471" t="s">
        <v>97</v>
      </c>
      <c r="C121" s="630">
        <v>0</v>
      </c>
      <c r="D121" s="631"/>
      <c r="E121" s="630">
        <v>0</v>
      </c>
      <c r="F121" s="631"/>
      <c r="G121" s="630">
        <v>0</v>
      </c>
      <c r="H121" s="631"/>
      <c r="I121" s="632"/>
      <c r="J121" s="633"/>
      <c r="K121" s="632"/>
      <c r="L121" s="634"/>
    </row>
    <row r="122" spans="1:13">
      <c r="A122" s="628"/>
      <c r="B122" s="471" t="s">
        <v>98</v>
      </c>
      <c r="C122" s="651">
        <v>0</v>
      </c>
      <c r="D122" s="652"/>
      <c r="E122" s="651">
        <v>0</v>
      </c>
      <c r="F122" s="652"/>
      <c r="G122" s="651">
        <v>0</v>
      </c>
      <c r="H122" s="652"/>
      <c r="I122" s="653"/>
      <c r="J122" s="654"/>
      <c r="K122" s="653"/>
      <c r="L122" s="655"/>
    </row>
    <row r="123" spans="1:13">
      <c r="A123" s="628"/>
      <c r="B123" s="471" t="s">
        <v>99</v>
      </c>
      <c r="C123" s="656">
        <v>661</v>
      </c>
      <c r="D123" s="656"/>
      <c r="E123" s="656">
        <v>92</v>
      </c>
      <c r="F123" s="656"/>
      <c r="G123" s="656">
        <v>9</v>
      </c>
      <c r="H123" s="656"/>
      <c r="I123" s="653"/>
      <c r="J123" s="654"/>
      <c r="K123" s="653"/>
      <c r="L123" s="655"/>
    </row>
    <row r="124" spans="1:13" ht="13.5" customHeight="1" thickBot="1">
      <c r="A124" s="673" t="s">
        <v>10</v>
      </c>
      <c r="B124" s="674"/>
      <c r="C124" s="675"/>
      <c r="D124" s="676"/>
      <c r="E124" s="675"/>
      <c r="F124" s="676"/>
      <c r="G124" s="660"/>
      <c r="H124" s="677"/>
      <c r="I124" s="660"/>
      <c r="J124" s="677"/>
      <c r="K124" s="660"/>
      <c r="L124" s="661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31" t="s">
        <v>101</v>
      </c>
      <c r="B128" s="533"/>
      <c r="C128" s="662" t="s">
        <v>344</v>
      </c>
      <c r="D128" s="663"/>
      <c r="E128" s="664"/>
      <c r="F128" s="662" t="s">
        <v>352</v>
      </c>
      <c r="G128" s="663"/>
      <c r="H128" s="663"/>
      <c r="I128" s="664"/>
      <c r="J128" s="662" t="s">
        <v>357</v>
      </c>
      <c r="K128" s="663"/>
      <c r="L128" s="663"/>
      <c r="M128" s="665"/>
    </row>
    <row r="129" spans="1:13" ht="35.25" customHeight="1">
      <c r="A129" s="716" t="s">
        <v>103</v>
      </c>
      <c r="B129" s="717"/>
      <c r="C129" s="722" t="s">
        <v>353</v>
      </c>
      <c r="D129" s="723"/>
      <c r="E129" s="724"/>
      <c r="F129" s="744" t="s">
        <v>15</v>
      </c>
      <c r="G129" s="748"/>
      <c r="H129" s="748"/>
      <c r="I129" s="749"/>
      <c r="J129" s="745" t="s">
        <v>358</v>
      </c>
      <c r="K129" s="748"/>
      <c r="L129" s="748"/>
      <c r="M129" s="750"/>
    </row>
    <row r="130" spans="1:13" ht="35.25" customHeight="1">
      <c r="A130" s="716" t="s">
        <v>104</v>
      </c>
      <c r="B130" s="717"/>
      <c r="C130" s="722" t="s">
        <v>359</v>
      </c>
      <c r="D130" s="723"/>
      <c r="E130" s="724"/>
      <c r="F130" s="722" t="s">
        <v>15</v>
      </c>
      <c r="G130" s="723"/>
      <c r="H130" s="723"/>
      <c r="I130" s="724"/>
      <c r="J130" s="767" t="s">
        <v>15</v>
      </c>
      <c r="K130" s="731"/>
      <c r="L130" s="731"/>
      <c r="M130" s="732"/>
    </row>
    <row r="131" spans="1:13" ht="67.5" customHeight="1">
      <c r="A131" s="716" t="s">
        <v>105</v>
      </c>
      <c r="B131" s="717"/>
      <c r="C131" s="718" t="s">
        <v>355</v>
      </c>
      <c r="D131" s="719"/>
      <c r="E131" s="720"/>
      <c r="F131" s="744" t="s">
        <v>349</v>
      </c>
      <c r="G131" s="745"/>
      <c r="H131" s="745"/>
      <c r="I131" s="746"/>
      <c r="J131" s="744" t="s">
        <v>349</v>
      </c>
      <c r="K131" s="745"/>
      <c r="L131" s="745"/>
      <c r="M131" s="766"/>
    </row>
    <row r="132" spans="1:13" ht="35.25" customHeight="1" thickBot="1">
      <c r="A132" s="733" t="s">
        <v>106</v>
      </c>
      <c r="B132" s="734"/>
      <c r="C132" s="735" t="s">
        <v>353</v>
      </c>
      <c r="D132" s="736"/>
      <c r="E132" s="737"/>
      <c r="F132" s="754" t="s">
        <v>360</v>
      </c>
      <c r="G132" s="755"/>
      <c r="H132" s="755"/>
      <c r="I132" s="756"/>
      <c r="J132" s="764" t="s">
        <v>15</v>
      </c>
      <c r="K132" s="755"/>
      <c r="L132" s="755"/>
      <c r="M132" s="765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444</v>
      </c>
      <c r="D137" s="469" t="s">
        <v>111</v>
      </c>
      <c r="E137" s="701" t="s">
        <v>112</v>
      </c>
      <c r="F137" s="701"/>
      <c r="G137" s="701"/>
      <c r="H137" s="54" t="s">
        <v>113</v>
      </c>
    </row>
    <row r="138" spans="1:13" ht="40.5" customHeight="1" thickBot="1">
      <c r="A138" s="62">
        <f>E42</f>
        <v>0</v>
      </c>
      <c r="B138" s="63">
        <f>'2017JUL'!H138</f>
        <v>-1538</v>
      </c>
      <c r="C138" s="63">
        <f>E43-E42</f>
        <v>23499</v>
      </c>
      <c r="D138" s="504">
        <v>47921</v>
      </c>
      <c r="E138" s="681" t="s">
        <v>114</v>
      </c>
      <c r="F138" s="681"/>
      <c r="G138" s="681"/>
      <c r="H138" s="505">
        <f>C138+A138+B138-D138</f>
        <v>-25960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679" t="s">
        <v>117</v>
      </c>
      <c r="C140" s="679"/>
      <c r="D140" s="679"/>
      <c r="E140" s="679"/>
      <c r="F140" s="679"/>
      <c r="G140" s="680"/>
    </row>
    <row r="141" spans="1:13" ht="45" customHeight="1" thickBot="1">
      <c r="A141" s="56">
        <v>17000</v>
      </c>
      <c r="B141" s="681" t="s">
        <v>114</v>
      </c>
      <c r="C141" s="681"/>
      <c r="D141" s="681"/>
      <c r="E141" s="681"/>
      <c r="F141" s="681"/>
      <c r="G141" s="682"/>
    </row>
    <row r="143" spans="1:13" ht="14">
      <c r="A143" s="127" t="s">
        <v>118</v>
      </c>
    </row>
    <row r="144" spans="1:13">
      <c r="A144" s="629" t="s">
        <v>50</v>
      </c>
      <c r="B144" s="629"/>
      <c r="C144" s="629"/>
      <c r="D144" s="629"/>
      <c r="E144" s="629"/>
      <c r="F144" s="629"/>
      <c r="G144" s="486" t="s">
        <v>119</v>
      </c>
      <c r="H144" s="683" t="s">
        <v>10</v>
      </c>
      <c r="I144" s="684"/>
      <c r="J144" s="684"/>
      <c r="K144" s="685"/>
    </row>
    <row r="145" spans="1:11">
      <c r="A145" s="574" t="s">
        <v>120</v>
      </c>
      <c r="B145" s="686" t="s">
        <v>121</v>
      </c>
      <c r="C145" s="686"/>
      <c r="D145" s="686"/>
      <c r="E145" s="686"/>
      <c r="F145" s="686"/>
      <c r="G145" s="506">
        <v>15</v>
      </c>
      <c r="H145" s="687"/>
      <c r="I145" s="688"/>
      <c r="J145" s="688"/>
      <c r="K145" s="689"/>
    </row>
    <row r="146" spans="1:11">
      <c r="A146" s="574"/>
      <c r="B146" s="686" t="s">
        <v>122</v>
      </c>
      <c r="C146" s="686"/>
      <c r="D146" s="686"/>
      <c r="E146" s="686"/>
      <c r="F146" s="686"/>
      <c r="G146" s="507">
        <v>19199</v>
      </c>
      <c r="H146" s="690"/>
      <c r="I146" s="691"/>
      <c r="J146" s="691"/>
      <c r="K146" s="692"/>
    </row>
    <row r="147" spans="1:11">
      <c r="A147" s="574" t="s">
        <v>123</v>
      </c>
      <c r="B147" s="686" t="s">
        <v>124</v>
      </c>
      <c r="C147" s="686"/>
      <c r="D147" s="686"/>
      <c r="E147" s="686"/>
      <c r="F147" s="686"/>
      <c r="G147" s="479">
        <v>10</v>
      </c>
      <c r="H147" s="670"/>
      <c r="I147" s="671"/>
      <c r="J147" s="671"/>
      <c r="K147" s="672"/>
    </row>
    <row r="148" spans="1:11">
      <c r="A148" s="574"/>
      <c r="B148" s="686" t="s">
        <v>125</v>
      </c>
      <c r="C148" s="686"/>
      <c r="D148" s="686"/>
      <c r="E148" s="686"/>
      <c r="F148" s="686"/>
      <c r="G148" s="508">
        <v>17498</v>
      </c>
      <c r="H148" s="670"/>
      <c r="I148" s="671"/>
      <c r="J148" s="671"/>
      <c r="K148" s="672"/>
    </row>
    <row r="149" spans="1:11" ht="14">
      <c r="A149" s="488" t="s">
        <v>126</v>
      </c>
      <c r="B149" s="686" t="s">
        <v>127</v>
      </c>
      <c r="C149" s="686"/>
      <c r="D149" s="686"/>
      <c r="E149" s="686"/>
      <c r="F149" s="686"/>
      <c r="G149" s="509">
        <v>1871</v>
      </c>
      <c r="H149" s="670"/>
      <c r="I149" s="671"/>
      <c r="J149" s="671"/>
      <c r="K149" s="672"/>
    </row>
    <row r="150" spans="1:11" ht="14">
      <c r="A150" s="488" t="s">
        <v>128</v>
      </c>
      <c r="B150" s="686" t="s">
        <v>129</v>
      </c>
      <c r="C150" s="686"/>
      <c r="D150" s="686"/>
      <c r="E150" s="686"/>
      <c r="F150" s="686"/>
      <c r="G150" s="479"/>
      <c r="H150" s="670"/>
      <c r="I150" s="671"/>
      <c r="J150" s="671"/>
      <c r="K150" s="672"/>
    </row>
  </sheetData>
  <mergeCells count="274"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1:F1"/>
    <mergeCell ref="J3:K3"/>
    <mergeCell ref="L3:M3"/>
    <mergeCell ref="J5:K5"/>
    <mergeCell ref="L5:M5"/>
    <mergeCell ref="J6:K6"/>
    <mergeCell ref="L6:M6"/>
    <mergeCell ref="A14:B14"/>
    <mergeCell ref="E14:I14"/>
  </mergeCells>
  <dataValidations count="2">
    <dataValidation type="list" allowBlank="1" showInputMessage="1" showErrorMessage="1" sqref="G1" xr:uid="{93538BBC-1F71-FD4B-9691-05C41CCB5331}">
      <formula1>"Jan, Feb, March, April, May, June, July, Aug, Sep, Oct, Nov, Dec"</formula1>
    </dataValidation>
    <dataValidation type="list" allowBlank="1" showInputMessage="1" showErrorMessage="1" sqref="L3" xr:uid="{1FEF1878-B86B-4A41-9979-C312177781A5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A01D6-9560-6443-A76B-1D3972BCC9A2}">
  <sheetPr codeName="Sheet10">
    <pageSetUpPr fitToPage="1"/>
  </sheetPr>
  <dimension ref="A1:N150"/>
  <sheetViews>
    <sheetView topLeftCell="A100" zoomScale="80" zoomScaleNormal="80" zoomScaleSheetLayoutView="85" workbookViewId="0">
      <selection activeCell="C138" sqref="C138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361</v>
      </c>
      <c r="H1" s="2">
        <v>2017</v>
      </c>
      <c r="I1" s="491"/>
      <c r="J1" s="491"/>
      <c r="K1" s="491"/>
      <c r="L1" s="491"/>
      <c r="M1" s="491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4</v>
      </c>
      <c r="M6" s="525"/>
    </row>
    <row r="7" spans="1:13">
      <c r="J7" s="525" t="s">
        <v>6</v>
      </c>
      <c r="K7" s="525"/>
      <c r="L7" s="702">
        <v>42992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470" t="s">
        <v>305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79" t="s">
        <v>306</v>
      </c>
      <c r="C10" s="61">
        <v>5</v>
      </c>
      <c r="D10" s="490">
        <v>5</v>
      </c>
      <c r="E10" s="538" t="s">
        <v>362</v>
      </c>
      <c r="F10" s="538"/>
      <c r="G10" s="538"/>
      <c r="H10" s="538"/>
      <c r="I10" s="539"/>
    </row>
    <row r="11" spans="1:13">
      <c r="A11" s="537"/>
      <c r="B11" s="479" t="s">
        <v>12</v>
      </c>
      <c r="C11" s="61">
        <v>0</v>
      </c>
      <c r="D11" s="490">
        <v>1</v>
      </c>
      <c r="E11" s="540" t="s">
        <v>308</v>
      </c>
      <c r="F11" s="541"/>
      <c r="G11" s="541"/>
      <c r="H11" s="541"/>
      <c r="I11" s="542"/>
    </row>
    <row r="12" spans="1:13">
      <c r="A12" s="537"/>
      <c r="B12" s="479" t="s">
        <v>309</v>
      </c>
      <c r="C12" s="61">
        <v>1</v>
      </c>
      <c r="D12" s="490">
        <v>1</v>
      </c>
      <c r="E12" s="538" t="s">
        <v>130</v>
      </c>
      <c r="F12" s="538"/>
      <c r="G12" s="538"/>
      <c r="H12" s="538"/>
      <c r="I12" s="539"/>
    </row>
    <row r="13" spans="1:13">
      <c r="A13" s="537"/>
      <c r="B13" s="479" t="s">
        <v>13</v>
      </c>
      <c r="C13" s="61">
        <v>5</v>
      </c>
      <c r="D13" s="490">
        <v>0</v>
      </c>
      <c r="E13" s="768" t="s">
        <v>15</v>
      </c>
      <c r="F13" s="538"/>
      <c r="G13" s="538"/>
      <c r="H13" s="538"/>
      <c r="I13" s="539"/>
    </row>
    <row r="14" spans="1:13" s="8" customFormat="1" ht="14" thickBot="1">
      <c r="A14" s="526" t="s">
        <v>14</v>
      </c>
      <c r="B14" s="527"/>
      <c r="C14" s="7">
        <f>SUM(C10:C13)</f>
        <v>11</v>
      </c>
      <c r="D14" s="7">
        <f>SUM(D10:D13)</f>
        <v>7</v>
      </c>
      <c r="E14" s="528" t="s">
        <v>15</v>
      </c>
      <c r="F14" s="529"/>
      <c r="G14" s="529"/>
      <c r="H14" s="529"/>
      <c r="I14" s="530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31" t="s">
        <v>18</v>
      </c>
      <c r="B18" s="533" t="s">
        <v>19</v>
      </c>
      <c r="C18" s="533"/>
      <c r="D18" s="533" t="s">
        <v>20</v>
      </c>
      <c r="E18" s="533"/>
      <c r="F18" s="533"/>
      <c r="G18" s="533" t="s">
        <v>21</v>
      </c>
      <c r="H18" s="533"/>
      <c r="I18" s="533"/>
      <c r="J18" s="533" t="s">
        <v>22</v>
      </c>
      <c r="K18" s="533"/>
      <c r="L18" s="533"/>
      <c r="M18" s="536"/>
    </row>
    <row r="19" spans="1:13">
      <c r="A19" s="532"/>
      <c r="B19" s="534"/>
      <c r="C19" s="534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534"/>
      <c r="K19" s="534"/>
      <c r="L19" s="534"/>
      <c r="M19" s="543"/>
    </row>
    <row r="20" spans="1:13">
      <c r="A20" s="544" t="s">
        <v>26</v>
      </c>
      <c r="B20" s="545"/>
      <c r="C20" s="545"/>
      <c r="D20" s="545"/>
      <c r="E20" s="545"/>
      <c r="F20" s="545"/>
      <c r="G20" s="545"/>
      <c r="H20" s="545"/>
      <c r="I20" s="545"/>
      <c r="J20" s="545"/>
      <c r="K20" s="545"/>
      <c r="L20" s="545"/>
      <c r="M20" s="546"/>
    </row>
    <row r="21" spans="1:13">
      <c r="A21" s="547" t="s">
        <v>27</v>
      </c>
      <c r="B21" s="550" t="s">
        <v>28</v>
      </c>
      <c r="C21" s="128" t="s">
        <v>29</v>
      </c>
      <c r="D21" s="65">
        <v>14293</v>
      </c>
      <c r="E21" s="490">
        <v>9357</v>
      </c>
      <c r="F21" s="14">
        <f t="shared" ref="F21:F26" si="0">E21/D21</f>
        <v>0.65465612537605822</v>
      </c>
      <c r="G21" s="66">
        <f>D21+'2017AUG'!G21</f>
        <v>126791</v>
      </c>
      <c r="H21" s="66">
        <f>E21+'2017AUG'!H21</f>
        <v>99187</v>
      </c>
      <c r="I21" s="14">
        <f t="shared" ref="I21:I26" si="1">H21/G21</f>
        <v>0.78228738632868267</v>
      </c>
      <c r="J21" s="525"/>
      <c r="K21" s="525"/>
      <c r="L21" s="525"/>
      <c r="M21" s="552"/>
    </row>
    <row r="22" spans="1:13" ht="13.5" customHeight="1">
      <c r="A22" s="548"/>
      <c r="B22" s="551"/>
      <c r="C22" s="15" t="s">
        <v>30</v>
      </c>
      <c r="D22" s="487">
        <f>SUM(D21:D21)</f>
        <v>14293</v>
      </c>
      <c r="E22" s="487">
        <f>SUM(E21:E21)</f>
        <v>9357</v>
      </c>
      <c r="F22" s="16">
        <f t="shared" si="0"/>
        <v>0.65465612537605822</v>
      </c>
      <c r="G22" s="487">
        <f>SUM(G21:G21)</f>
        <v>126791</v>
      </c>
      <c r="H22" s="487">
        <f>SUM(H21:H21)</f>
        <v>99187</v>
      </c>
      <c r="I22" s="16">
        <f t="shared" si="1"/>
        <v>0.78228738632868267</v>
      </c>
      <c r="J22" s="553"/>
      <c r="K22" s="553"/>
      <c r="L22" s="553"/>
      <c r="M22" s="554"/>
    </row>
    <row r="23" spans="1:13" ht="13.5" customHeight="1">
      <c r="A23" s="548"/>
      <c r="B23" s="555" t="s">
        <v>31</v>
      </c>
      <c r="C23" s="128" t="s">
        <v>29</v>
      </c>
      <c r="D23" s="65">
        <v>4589</v>
      </c>
      <c r="E23" s="490">
        <v>2778</v>
      </c>
      <c r="F23" s="14">
        <f t="shared" si="0"/>
        <v>0.60536064502070164</v>
      </c>
      <c r="G23" s="66">
        <f>D23+'2017AUG'!G23</f>
        <v>41858</v>
      </c>
      <c r="H23" s="66">
        <f>E23+'2017AUG'!H23</f>
        <v>34091</v>
      </c>
      <c r="I23" s="14">
        <f t="shared" si="1"/>
        <v>0.81444407281762143</v>
      </c>
      <c r="J23" s="525"/>
      <c r="K23" s="525"/>
      <c r="L23" s="525"/>
      <c r="M23" s="552"/>
    </row>
    <row r="24" spans="1:13" ht="13.5" customHeight="1">
      <c r="A24" s="548"/>
      <c r="B24" s="555"/>
      <c r="C24" s="128" t="s">
        <v>32</v>
      </c>
      <c r="D24" s="65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525"/>
      <c r="K24" s="525"/>
      <c r="L24" s="525"/>
      <c r="M24" s="552"/>
    </row>
    <row r="25" spans="1:13" ht="13.5" customHeight="1">
      <c r="A25" s="548"/>
      <c r="B25" s="555"/>
      <c r="C25" s="15" t="s">
        <v>30</v>
      </c>
      <c r="D25" s="487">
        <f>SUM(D23:D24)</f>
        <v>4589</v>
      </c>
      <c r="E25" s="487">
        <f>SUM(E23:E24)</f>
        <v>2778</v>
      </c>
      <c r="F25" s="16">
        <f t="shared" si="0"/>
        <v>0.60536064502070164</v>
      </c>
      <c r="G25" s="487">
        <f>SUM(G23:G24)</f>
        <v>41858</v>
      </c>
      <c r="H25" s="487">
        <f>SUM(H23:H24)</f>
        <v>34091</v>
      </c>
      <c r="I25" s="16">
        <f t="shared" si="1"/>
        <v>0.81444407281762143</v>
      </c>
      <c r="J25" s="553"/>
      <c r="K25" s="553"/>
      <c r="L25" s="553"/>
      <c r="M25" s="554"/>
    </row>
    <row r="26" spans="1:13" s="8" customFormat="1" ht="14.25" customHeight="1" thickBot="1">
      <c r="A26" s="549"/>
      <c r="B26" s="556" t="s">
        <v>30</v>
      </c>
      <c r="C26" s="556"/>
      <c r="D26" s="489">
        <f>SUM(D22,D25)</f>
        <v>18882</v>
      </c>
      <c r="E26" s="489">
        <f>SUM(E22,E25)</f>
        <v>12135</v>
      </c>
      <c r="F26" s="17">
        <f t="shared" si="0"/>
        <v>0.6426755640292342</v>
      </c>
      <c r="G26" s="489">
        <f>SUM(G22,G25)</f>
        <v>168649</v>
      </c>
      <c r="H26" s="489">
        <f>SUM(H22,H25)</f>
        <v>133278</v>
      </c>
      <c r="I26" s="17">
        <f t="shared" si="1"/>
        <v>0.79026854591488827</v>
      </c>
      <c r="J26" s="556"/>
      <c r="K26" s="556"/>
      <c r="L26" s="556"/>
      <c r="M26" s="557"/>
    </row>
    <row r="27" spans="1:13">
      <c r="A27" s="558" t="s">
        <v>33</v>
      </c>
      <c r="B27" s="559"/>
      <c r="C27" s="559"/>
      <c r="D27" s="559"/>
      <c r="E27" s="559"/>
      <c r="F27" s="559"/>
      <c r="G27" s="559"/>
      <c r="H27" s="559"/>
      <c r="I27" s="559"/>
      <c r="J27" s="559"/>
      <c r="K27" s="559"/>
      <c r="L27" s="559"/>
      <c r="M27" s="560"/>
    </row>
    <row r="28" spans="1:13" ht="12.75" customHeight="1">
      <c r="A28" s="561" t="s">
        <v>34</v>
      </c>
      <c r="B28" s="564" t="s">
        <v>35</v>
      </c>
      <c r="C28" s="128" t="s">
        <v>29</v>
      </c>
      <c r="D28" s="65">
        <v>200</v>
      </c>
      <c r="E28" s="490">
        <v>338</v>
      </c>
      <c r="F28" s="14">
        <f>E28/D28</f>
        <v>1.69</v>
      </c>
      <c r="G28" s="66">
        <f>D28+'2017AUG'!G28</f>
        <v>1800</v>
      </c>
      <c r="H28" s="66">
        <f>E28+'2017AUG'!H28</f>
        <v>6764</v>
      </c>
      <c r="I28" s="14">
        <f>H28/G28</f>
        <v>3.7577777777777777</v>
      </c>
      <c r="J28" s="525"/>
      <c r="K28" s="525"/>
      <c r="L28" s="525"/>
      <c r="M28" s="552"/>
    </row>
    <row r="29" spans="1:13">
      <c r="A29" s="562"/>
      <c r="B29" s="565"/>
      <c r="C29" s="128" t="s">
        <v>32</v>
      </c>
      <c r="D29" s="65">
        <v>0</v>
      </c>
      <c r="E29" s="490">
        <v>0</v>
      </c>
      <c r="F29" s="14" t="e">
        <f t="shared" ref="F29:F45" si="2">E29/D29</f>
        <v>#DIV/0!</v>
      </c>
      <c r="G29" s="66">
        <f>D29</f>
        <v>0</v>
      </c>
      <c r="H29" s="66">
        <f>E29</f>
        <v>0</v>
      </c>
      <c r="I29" s="14" t="e">
        <f t="shared" ref="I29:I45" si="3">H29/G29</f>
        <v>#DIV/0!</v>
      </c>
      <c r="J29" s="525"/>
      <c r="K29" s="525"/>
      <c r="L29" s="525"/>
      <c r="M29" s="552"/>
    </row>
    <row r="30" spans="1:13">
      <c r="A30" s="562"/>
      <c r="B30" s="566"/>
      <c r="C30" s="15" t="s">
        <v>30</v>
      </c>
      <c r="D30" s="487">
        <f>SUM(D28:D29)</f>
        <v>200</v>
      </c>
      <c r="E30" s="487">
        <f>SUM(E28:E29)</f>
        <v>338</v>
      </c>
      <c r="F30" s="14">
        <f t="shared" si="2"/>
        <v>1.69</v>
      </c>
      <c r="G30" s="487">
        <f>SUM(G28:G29)</f>
        <v>1800</v>
      </c>
      <c r="H30" s="487">
        <f>SUM(H28:H29)</f>
        <v>6764</v>
      </c>
      <c r="I30" s="14">
        <f t="shared" si="3"/>
        <v>3.7577777777777777</v>
      </c>
      <c r="J30" s="553"/>
      <c r="K30" s="553"/>
      <c r="L30" s="553"/>
      <c r="M30" s="554"/>
    </row>
    <row r="31" spans="1:13" ht="12.75" customHeight="1">
      <c r="A31" s="562"/>
      <c r="B31" s="567" t="s">
        <v>36</v>
      </c>
      <c r="C31" s="568"/>
      <c r="D31" s="65">
        <v>3700</v>
      </c>
      <c r="E31" s="490">
        <v>12480</v>
      </c>
      <c r="F31" s="14">
        <f t="shared" si="2"/>
        <v>3.3729729729729732</v>
      </c>
      <c r="G31" s="66">
        <f>D31+'2017AUG'!G31</f>
        <v>25800</v>
      </c>
      <c r="H31" s="66">
        <f>E31+'2017AUG'!H31</f>
        <v>51005</v>
      </c>
      <c r="I31" s="14">
        <f t="shared" si="3"/>
        <v>1.9769379844961241</v>
      </c>
      <c r="J31" s="525"/>
      <c r="K31" s="525"/>
      <c r="L31" s="525"/>
      <c r="M31" s="552"/>
    </row>
    <row r="32" spans="1:13" s="8" customFormat="1">
      <c r="A32" s="563"/>
      <c r="B32" s="534" t="s">
        <v>30</v>
      </c>
      <c r="C32" s="534"/>
      <c r="D32" s="485">
        <f>SUM(D30,D31)</f>
        <v>3900</v>
      </c>
      <c r="E32" s="485">
        <f>SUM(E30,E31)</f>
        <v>12818</v>
      </c>
      <c r="F32" s="14">
        <f t="shared" si="2"/>
        <v>3.2866666666666666</v>
      </c>
      <c r="G32" s="485">
        <f>SUM(G30,G31)</f>
        <v>27600</v>
      </c>
      <c r="H32" s="485">
        <f>SUM(H30,H31)</f>
        <v>57769</v>
      </c>
      <c r="I32" s="14">
        <f t="shared" si="3"/>
        <v>2.0930797101449277</v>
      </c>
      <c r="J32" s="534"/>
      <c r="K32" s="534"/>
      <c r="L32" s="534"/>
      <c r="M32" s="543"/>
    </row>
    <row r="33" spans="1:13">
      <c r="A33" s="573" t="s">
        <v>37</v>
      </c>
      <c r="B33" s="555" t="s">
        <v>38</v>
      </c>
      <c r="C33" s="18" t="s">
        <v>39</v>
      </c>
      <c r="D33" s="65">
        <v>35000</v>
      </c>
      <c r="E33" s="479">
        <v>0</v>
      </c>
      <c r="F33" s="14">
        <f t="shared" si="2"/>
        <v>0</v>
      </c>
      <c r="G33" s="66">
        <f>D33+'2017AUG'!G33</f>
        <v>315000</v>
      </c>
      <c r="H33" s="66">
        <f>E33+'2017AUG'!H33</f>
        <v>0</v>
      </c>
      <c r="I33" s="14">
        <f t="shared" si="3"/>
        <v>0</v>
      </c>
      <c r="J33" s="525"/>
      <c r="K33" s="525"/>
      <c r="L33" s="525"/>
      <c r="M33" s="552"/>
    </row>
    <row r="34" spans="1:13">
      <c r="A34" s="573"/>
      <c r="B34" s="555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525"/>
      <c r="K34" s="525"/>
      <c r="L34" s="525"/>
      <c r="M34" s="552"/>
    </row>
    <row r="35" spans="1:13">
      <c r="A35" s="573"/>
      <c r="B35" s="555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79">
        <f>SUM(G33:G34)</f>
        <v>315000</v>
      </c>
      <c r="H35" s="479">
        <f>SUM(H33:H34)</f>
        <v>0</v>
      </c>
      <c r="I35" s="16">
        <f t="shared" si="3"/>
        <v>0</v>
      </c>
      <c r="J35" s="553"/>
      <c r="K35" s="553"/>
      <c r="L35" s="553"/>
      <c r="M35" s="554"/>
    </row>
    <row r="36" spans="1:13" ht="12" customHeight="1">
      <c r="A36" s="573"/>
      <c r="B36" s="574" t="s">
        <v>41</v>
      </c>
      <c r="C36" s="18" t="s">
        <v>270</v>
      </c>
      <c r="D36" s="65">
        <v>2222</v>
      </c>
      <c r="E36" s="490">
        <v>0</v>
      </c>
      <c r="F36" s="14">
        <f t="shared" si="2"/>
        <v>0</v>
      </c>
      <c r="G36" s="66">
        <f>D36+'2017AUG'!G36</f>
        <v>13332</v>
      </c>
      <c r="H36" s="66">
        <f>E36+'2017AUG'!H36</f>
        <v>28435</v>
      </c>
      <c r="I36" s="14">
        <f t="shared" si="3"/>
        <v>2.132838283828383</v>
      </c>
      <c r="J36" s="525"/>
      <c r="K36" s="525"/>
      <c r="L36" s="525"/>
      <c r="M36" s="552"/>
    </row>
    <row r="37" spans="1:13" ht="12" customHeight="1">
      <c r="A37" s="573"/>
      <c r="B37" s="574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525"/>
      <c r="K37" s="525"/>
      <c r="L37" s="525"/>
      <c r="M37" s="552"/>
    </row>
    <row r="38" spans="1:13" ht="12" customHeight="1">
      <c r="A38" s="573"/>
      <c r="B38" s="574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13332</v>
      </c>
      <c r="H38" s="487">
        <f>SUM(H36:H37)</f>
        <v>28435</v>
      </c>
      <c r="I38" s="16">
        <f t="shared" si="3"/>
        <v>2.132838283828383</v>
      </c>
      <c r="J38" s="553"/>
      <c r="K38" s="553"/>
      <c r="L38" s="553"/>
      <c r="M38" s="554"/>
    </row>
    <row r="39" spans="1:13" s="8" customFormat="1" ht="12" customHeight="1">
      <c r="A39" s="573"/>
      <c r="B39" s="534" t="s">
        <v>30</v>
      </c>
      <c r="C39" s="534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328332</v>
      </c>
      <c r="H39" s="485">
        <f>SUM(H35,H38)</f>
        <v>28435</v>
      </c>
      <c r="I39" s="19">
        <f t="shared" si="3"/>
        <v>8.6604412606751696E-2</v>
      </c>
      <c r="J39" s="534"/>
      <c r="K39" s="534"/>
      <c r="L39" s="534"/>
      <c r="M39" s="543"/>
    </row>
    <row r="40" spans="1:13" s="8" customFormat="1">
      <c r="A40" s="569" t="s">
        <v>42</v>
      </c>
      <c r="B40" s="570"/>
      <c r="C40" s="570"/>
      <c r="D40" s="67">
        <v>300</v>
      </c>
      <c r="E40" s="511">
        <f>C123+E123+G123+I123</f>
        <v>5107</v>
      </c>
      <c r="F40" s="21">
        <f t="shared" si="2"/>
        <v>17.023333333333333</v>
      </c>
      <c r="G40" s="68">
        <f>D40+'2017AUG'!G40</f>
        <v>2700</v>
      </c>
      <c r="H40" s="68">
        <f>E40+'2017AUG'!H40</f>
        <v>12051</v>
      </c>
      <c r="I40" s="21">
        <f t="shared" si="3"/>
        <v>4.4633333333333329</v>
      </c>
      <c r="J40" s="570"/>
      <c r="K40" s="570"/>
      <c r="L40" s="570"/>
      <c r="M40" s="571"/>
    </row>
    <row r="41" spans="1:13" s="8" customFormat="1">
      <c r="A41" s="569" t="s">
        <v>43</v>
      </c>
      <c r="B41" s="570"/>
      <c r="C41" s="570"/>
      <c r="D41" s="67">
        <v>5250</v>
      </c>
      <c r="E41" s="20">
        <v>0</v>
      </c>
      <c r="F41" s="21">
        <f t="shared" si="2"/>
        <v>0</v>
      </c>
      <c r="G41" s="68">
        <f>D41+'2017AUG'!G41</f>
        <v>33750</v>
      </c>
      <c r="H41" s="68">
        <f>E41+'2017AUG'!H41</f>
        <v>0</v>
      </c>
      <c r="I41" s="21">
        <f t="shared" si="3"/>
        <v>0</v>
      </c>
      <c r="J41" s="572" t="s">
        <v>44</v>
      </c>
      <c r="K41" s="570"/>
      <c r="L41" s="570"/>
      <c r="M41" s="571"/>
    </row>
    <row r="42" spans="1:13" s="8" customFormat="1">
      <c r="A42" s="569" t="s">
        <v>45</v>
      </c>
      <c r="B42" s="570"/>
      <c r="C42" s="570"/>
      <c r="D42" s="67">
        <v>17000</v>
      </c>
      <c r="E42" s="20">
        <v>0</v>
      </c>
      <c r="F42" s="21">
        <f t="shared" si="2"/>
        <v>0</v>
      </c>
      <c r="G42" s="68">
        <f>D42+'2017AUG'!G42</f>
        <v>153000</v>
      </c>
      <c r="H42" s="68">
        <f>E42+'2017AUG'!H42</f>
        <v>153000</v>
      </c>
      <c r="I42" s="21">
        <f t="shared" si="3"/>
        <v>1</v>
      </c>
      <c r="J42" s="570"/>
      <c r="K42" s="570"/>
      <c r="L42" s="570"/>
      <c r="M42" s="571"/>
    </row>
    <row r="43" spans="1:13" s="8" customFormat="1">
      <c r="A43" s="587" t="s">
        <v>46</v>
      </c>
      <c r="B43" s="588"/>
      <c r="C43" s="589"/>
      <c r="D43" s="484">
        <f>SUM(D26,D32,D39,D40:D42)</f>
        <v>82554</v>
      </c>
      <c r="E43" s="78">
        <f>SUM(E26,E32,E39,E40:E42)</f>
        <v>30060</v>
      </c>
      <c r="F43" s="22">
        <f t="shared" si="2"/>
        <v>0.36412529980376479</v>
      </c>
      <c r="G43" s="484">
        <f>SUM(G26,G32,G39,G40:G42)</f>
        <v>714031</v>
      </c>
      <c r="H43" s="484">
        <f>SUM(H26,H32,H39,H40:H42)</f>
        <v>384533</v>
      </c>
      <c r="I43" s="22">
        <f t="shared" si="3"/>
        <v>0.53853824273736017</v>
      </c>
      <c r="J43" s="590" t="s">
        <v>15</v>
      </c>
      <c r="K43" s="591"/>
      <c r="L43" s="591"/>
      <c r="M43" s="592"/>
    </row>
    <row r="44" spans="1:13" s="8" customFormat="1">
      <c r="A44" s="587" t="s">
        <v>47</v>
      </c>
      <c r="B44" s="588"/>
      <c r="C44" s="589"/>
      <c r="D44" s="484">
        <f>D43-D40</f>
        <v>82254</v>
      </c>
      <c r="E44" s="484">
        <f>E43-E40</f>
        <v>24953</v>
      </c>
      <c r="F44" s="22">
        <f t="shared" si="2"/>
        <v>0.30336518588761641</v>
      </c>
      <c r="G44" s="484">
        <f>G43-G40</f>
        <v>711331</v>
      </c>
      <c r="H44" s="484">
        <f>H43-H40</f>
        <v>372482</v>
      </c>
      <c r="I44" s="22">
        <f t="shared" si="3"/>
        <v>0.52364089291764315</v>
      </c>
      <c r="J44" s="590" t="s">
        <v>15</v>
      </c>
      <c r="K44" s="591"/>
      <c r="L44" s="591"/>
      <c r="M44" s="592"/>
    </row>
    <row r="45" spans="1:13" s="8" customFormat="1" ht="14" thickBot="1">
      <c r="A45" s="575" t="s">
        <v>48</v>
      </c>
      <c r="B45" s="576"/>
      <c r="C45" s="577"/>
      <c r="D45" s="482">
        <f>D44-D42</f>
        <v>65254</v>
      </c>
      <c r="E45" s="482">
        <f>E44-E42</f>
        <v>24953</v>
      </c>
      <c r="F45" s="23">
        <f t="shared" si="2"/>
        <v>0.38239801391485578</v>
      </c>
      <c r="G45" s="482">
        <f>G44-G42</f>
        <v>558331</v>
      </c>
      <c r="H45" s="482">
        <f>H44-H42</f>
        <v>219482</v>
      </c>
      <c r="I45" s="23">
        <f t="shared" si="3"/>
        <v>0.39310373237380691</v>
      </c>
      <c r="J45" s="578" t="s">
        <v>15</v>
      </c>
      <c r="K45" s="579"/>
      <c r="L45" s="579"/>
      <c r="M45" s="580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581" t="s">
        <v>50</v>
      </c>
      <c r="B49" s="582"/>
      <c r="C49" s="582"/>
      <c r="D49" s="582" t="s">
        <v>20</v>
      </c>
      <c r="E49" s="582"/>
      <c r="F49" s="582"/>
      <c r="G49" s="582" t="s">
        <v>21</v>
      </c>
      <c r="H49" s="582"/>
      <c r="I49" s="582"/>
      <c r="J49" s="582" t="s">
        <v>10</v>
      </c>
      <c r="K49" s="582"/>
      <c r="L49" s="582"/>
      <c r="M49" s="585"/>
    </row>
    <row r="50" spans="1:13">
      <c r="A50" s="583"/>
      <c r="B50" s="584"/>
      <c r="C50" s="584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584"/>
      <c r="K50" s="584"/>
      <c r="L50" s="584"/>
      <c r="M50" s="586"/>
    </row>
    <row r="51" spans="1:13" ht="13.5" customHeight="1">
      <c r="A51" s="593" t="s">
        <v>51</v>
      </c>
      <c r="B51" s="525" t="s">
        <v>29</v>
      </c>
      <c r="C51" s="27" t="s">
        <v>52</v>
      </c>
      <c r="D51" s="65">
        <v>5</v>
      </c>
      <c r="E51" s="490">
        <v>12</v>
      </c>
      <c r="F51" s="28">
        <f t="shared" ref="F51:F77" si="4">E51/D51</f>
        <v>2.4</v>
      </c>
      <c r="G51" s="66">
        <f>D51+'2017AUG'!G51</f>
        <v>45</v>
      </c>
      <c r="H51" s="66">
        <f>E51+'2017AUG'!H51</f>
        <v>113</v>
      </c>
      <c r="I51" s="28">
        <f t="shared" ref="I51:I77" si="5">H51/G51</f>
        <v>2.5111111111111111</v>
      </c>
      <c r="J51" s="596"/>
      <c r="K51" s="597"/>
      <c r="L51" s="597"/>
      <c r="M51" s="598"/>
    </row>
    <row r="52" spans="1:13">
      <c r="A52" s="594"/>
      <c r="B52" s="525"/>
      <c r="C52" s="27" t="s">
        <v>53</v>
      </c>
      <c r="D52" s="65">
        <v>394</v>
      </c>
      <c r="E52" s="490">
        <v>257</v>
      </c>
      <c r="F52" s="28">
        <f t="shared" si="4"/>
        <v>0.65228426395939088</v>
      </c>
      <c r="G52" s="66">
        <f>D52+'2017AUG'!G52</f>
        <v>3664</v>
      </c>
      <c r="H52" s="66">
        <f>E52+'2017AUG'!H52</f>
        <v>3318</v>
      </c>
      <c r="I52" s="28">
        <f t="shared" si="5"/>
        <v>0.90556768558951961</v>
      </c>
      <c r="J52" s="596"/>
      <c r="K52" s="597"/>
      <c r="L52" s="597"/>
      <c r="M52" s="598"/>
    </row>
    <row r="53" spans="1:13">
      <c r="A53" s="595"/>
      <c r="B53" s="525"/>
      <c r="C53" s="29" t="s">
        <v>54</v>
      </c>
      <c r="D53" s="487">
        <f>SUM(D51:D52)</f>
        <v>399</v>
      </c>
      <c r="E53" s="487">
        <f>SUM(E51:E52)</f>
        <v>269</v>
      </c>
      <c r="F53" s="30">
        <f t="shared" si="4"/>
        <v>0.67418546365914789</v>
      </c>
      <c r="G53" s="487">
        <f>SUM(G51:G52)</f>
        <v>3709</v>
      </c>
      <c r="H53" s="487">
        <f>SUM(H51:H52)</f>
        <v>3431</v>
      </c>
      <c r="I53" s="30">
        <f t="shared" si="5"/>
        <v>0.92504718252898355</v>
      </c>
      <c r="J53" s="599"/>
      <c r="K53" s="600"/>
      <c r="L53" s="600"/>
      <c r="M53" s="601"/>
    </row>
    <row r="54" spans="1:13">
      <c r="A54" s="602" t="s">
        <v>55</v>
      </c>
      <c r="B54" s="525" t="s">
        <v>52</v>
      </c>
      <c r="C54" s="525"/>
      <c r="D54" s="65">
        <v>2</v>
      </c>
      <c r="E54" s="490">
        <v>0</v>
      </c>
      <c r="F54" s="28">
        <f t="shared" si="4"/>
        <v>0</v>
      </c>
      <c r="G54" s="66">
        <f>D54+'2017AUG'!G54</f>
        <v>18</v>
      </c>
      <c r="H54" s="66">
        <f>E54+'2017AUG'!H54</f>
        <v>220</v>
      </c>
      <c r="I54" s="28">
        <f t="shared" si="5"/>
        <v>12.222222222222221</v>
      </c>
      <c r="J54" s="596"/>
      <c r="K54" s="597"/>
      <c r="L54" s="597"/>
      <c r="M54" s="598"/>
    </row>
    <row r="55" spans="1:13">
      <c r="A55" s="602"/>
      <c r="B55" s="525" t="s">
        <v>53</v>
      </c>
      <c r="C55" s="525"/>
      <c r="D55" s="65">
        <v>294</v>
      </c>
      <c r="E55" s="490">
        <v>207</v>
      </c>
      <c r="F55" s="28">
        <f t="shared" si="4"/>
        <v>0.70408163265306123</v>
      </c>
      <c r="G55" s="66">
        <f>D55+'2017AUG'!G55</f>
        <v>2731</v>
      </c>
      <c r="H55" s="66">
        <f>E55+'2017AUG'!H55</f>
        <v>2866</v>
      </c>
      <c r="I55" s="28">
        <f t="shared" si="5"/>
        <v>1.0494324423288173</v>
      </c>
      <c r="J55" s="596"/>
      <c r="K55" s="597"/>
      <c r="L55" s="597"/>
      <c r="M55" s="598"/>
    </row>
    <row r="56" spans="1:13">
      <c r="A56" s="602"/>
      <c r="B56" s="603" t="s">
        <v>30</v>
      </c>
      <c r="C56" s="603"/>
      <c r="D56" s="474">
        <f>SUM(D54:D55)</f>
        <v>296</v>
      </c>
      <c r="E56" s="474">
        <f>SUM(E54:E55)</f>
        <v>207</v>
      </c>
      <c r="F56" s="28">
        <f t="shared" si="4"/>
        <v>0.69932432432432434</v>
      </c>
      <c r="G56" s="474">
        <f>SUM(G54:G55)</f>
        <v>2749</v>
      </c>
      <c r="H56" s="474">
        <f>SUM(H54:H55)</f>
        <v>3086</v>
      </c>
      <c r="I56" s="31">
        <f t="shared" si="5"/>
        <v>1.1225900327391778</v>
      </c>
      <c r="J56" s="604"/>
      <c r="K56" s="605"/>
      <c r="L56" s="605"/>
      <c r="M56" s="606"/>
    </row>
    <row r="57" spans="1:13" s="8" customFormat="1">
      <c r="A57" s="607" t="s">
        <v>46</v>
      </c>
      <c r="B57" s="609" t="s">
        <v>52</v>
      </c>
      <c r="C57" s="609"/>
      <c r="D57" s="473">
        <f>SUM(D51,D54)</f>
        <v>7</v>
      </c>
      <c r="E57" s="473">
        <f>SUM(E51,E54)</f>
        <v>12</v>
      </c>
      <c r="F57" s="32">
        <f t="shared" si="4"/>
        <v>1.7142857142857142</v>
      </c>
      <c r="G57" s="473">
        <f>SUM(G51,G54)</f>
        <v>63</v>
      </c>
      <c r="H57" s="473">
        <f>SUM(H51,H54)</f>
        <v>333</v>
      </c>
      <c r="I57" s="32">
        <f t="shared" si="5"/>
        <v>5.2857142857142856</v>
      </c>
      <c r="J57" s="610"/>
      <c r="K57" s="611"/>
      <c r="L57" s="611"/>
      <c r="M57" s="612"/>
    </row>
    <row r="58" spans="1:13" s="8" customFormat="1">
      <c r="A58" s="607"/>
      <c r="B58" s="609" t="s">
        <v>53</v>
      </c>
      <c r="C58" s="609"/>
      <c r="D58" s="473">
        <f>SUM(D52,D55)</f>
        <v>688</v>
      </c>
      <c r="E58" s="473">
        <f>SUM(E52,E55)</f>
        <v>464</v>
      </c>
      <c r="F58" s="32">
        <f t="shared" si="4"/>
        <v>0.67441860465116277</v>
      </c>
      <c r="G58" s="473">
        <f>SUM(G52,G55)</f>
        <v>6395</v>
      </c>
      <c r="H58" s="473">
        <f>SUM(H52,H55)</f>
        <v>6184</v>
      </c>
      <c r="I58" s="32">
        <f t="shared" si="5"/>
        <v>0.96700547302580142</v>
      </c>
      <c r="J58" s="610"/>
      <c r="K58" s="611"/>
      <c r="L58" s="611"/>
      <c r="M58" s="612"/>
    </row>
    <row r="59" spans="1:13" s="8" customFormat="1" ht="17.25" customHeight="1" thickBot="1">
      <c r="A59" s="608"/>
      <c r="B59" s="613" t="s">
        <v>56</v>
      </c>
      <c r="C59" s="613"/>
      <c r="D59" s="481">
        <f>SUM(D57:D58)</f>
        <v>695</v>
      </c>
      <c r="E59" s="481">
        <f>SUM(E57:E58)</f>
        <v>476</v>
      </c>
      <c r="F59" s="33">
        <f t="shared" si="4"/>
        <v>0.68489208633093523</v>
      </c>
      <c r="G59" s="481">
        <f>SUM(G57:G58)</f>
        <v>6458</v>
      </c>
      <c r="H59" s="481">
        <f>SUM(H57:H58)</f>
        <v>6517</v>
      </c>
      <c r="I59" s="33">
        <f t="shared" si="5"/>
        <v>1.0091359554041499</v>
      </c>
      <c r="J59" s="614"/>
      <c r="K59" s="615"/>
      <c r="L59" s="615"/>
      <c r="M59" s="616"/>
    </row>
    <row r="60" spans="1:13">
      <c r="A60" s="593" t="s">
        <v>57</v>
      </c>
      <c r="B60" s="525" t="s">
        <v>29</v>
      </c>
      <c r="C60" s="27" t="s">
        <v>52</v>
      </c>
      <c r="D60" s="65">
        <v>16</v>
      </c>
      <c r="E60" s="479">
        <f>E69/10</f>
        <v>31.3</v>
      </c>
      <c r="F60" s="28">
        <f t="shared" si="4"/>
        <v>1.95625</v>
      </c>
      <c r="G60" s="66">
        <f>D60+'2017AUG'!G60</f>
        <v>144</v>
      </c>
      <c r="H60" s="66">
        <f>E60+'2017AUG'!H60</f>
        <v>357.7</v>
      </c>
      <c r="I60" s="28">
        <f t="shared" si="5"/>
        <v>2.4840277777777775</v>
      </c>
      <c r="J60" s="596"/>
      <c r="K60" s="597"/>
      <c r="L60" s="597"/>
      <c r="M60" s="598"/>
    </row>
    <row r="61" spans="1:13">
      <c r="A61" s="594"/>
      <c r="B61" s="525"/>
      <c r="C61" s="27" t="s">
        <v>53</v>
      </c>
      <c r="D61" s="65">
        <v>1290</v>
      </c>
      <c r="E61" s="479">
        <f>E70/10</f>
        <v>904.4</v>
      </c>
      <c r="F61" s="28">
        <f t="shared" si="4"/>
        <v>0.70108527131782949</v>
      </c>
      <c r="G61" s="66">
        <f>D61+'2017AUG'!G61</f>
        <v>11980</v>
      </c>
      <c r="H61" s="66">
        <f>E61+'2017AUG'!H61</f>
        <v>9561</v>
      </c>
      <c r="I61" s="28">
        <f t="shared" si="5"/>
        <v>0.79808013355592655</v>
      </c>
      <c r="J61" s="596"/>
      <c r="K61" s="597"/>
      <c r="L61" s="597"/>
      <c r="M61" s="598"/>
    </row>
    <row r="62" spans="1:13">
      <c r="A62" s="595"/>
      <c r="B62" s="525"/>
      <c r="C62" s="29" t="s">
        <v>54</v>
      </c>
      <c r="D62" s="61">
        <f>SUM(D60:D61)</f>
        <v>1306</v>
      </c>
      <c r="E62" s="487">
        <f>SUM(E60:E61)</f>
        <v>935.69999999999993</v>
      </c>
      <c r="F62" s="30">
        <f t="shared" si="4"/>
        <v>0.71646248085758035</v>
      </c>
      <c r="G62" s="487">
        <f>SUM(G60:G61)</f>
        <v>12124</v>
      </c>
      <c r="H62" s="487">
        <f>SUM(H60:H61)</f>
        <v>9918.7000000000007</v>
      </c>
      <c r="I62" s="30">
        <f t="shared" si="5"/>
        <v>0.81810458594523261</v>
      </c>
      <c r="J62" s="599"/>
      <c r="K62" s="600"/>
      <c r="L62" s="600"/>
      <c r="M62" s="601"/>
    </row>
    <row r="63" spans="1:13">
      <c r="A63" s="602" t="s">
        <v>58</v>
      </c>
      <c r="B63" s="525" t="s">
        <v>52</v>
      </c>
      <c r="C63" s="525"/>
      <c r="D63" s="65">
        <v>2</v>
      </c>
      <c r="E63" s="479">
        <f>E72/10</f>
        <v>0</v>
      </c>
      <c r="F63" s="28">
        <f t="shared" si="4"/>
        <v>0</v>
      </c>
      <c r="G63" s="66">
        <f>D63+'2017AUG'!G63</f>
        <v>18</v>
      </c>
      <c r="H63" s="66">
        <f>E63+'2017AUG'!H63</f>
        <v>41.4</v>
      </c>
      <c r="I63" s="28">
        <f t="shared" si="5"/>
        <v>2.2999999999999998</v>
      </c>
      <c r="J63" s="596"/>
      <c r="K63" s="597"/>
      <c r="L63" s="597"/>
      <c r="M63" s="598"/>
    </row>
    <row r="64" spans="1:13">
      <c r="A64" s="602"/>
      <c r="B64" s="525" t="s">
        <v>53</v>
      </c>
      <c r="C64" s="525"/>
      <c r="D64" s="65">
        <v>441</v>
      </c>
      <c r="E64" s="479">
        <f>E73/10</f>
        <v>277.8</v>
      </c>
      <c r="F64" s="28">
        <f t="shared" si="4"/>
        <v>0.62993197278911572</v>
      </c>
      <c r="G64" s="66">
        <f>D64+'2017AUG'!G64</f>
        <v>4096</v>
      </c>
      <c r="H64" s="66">
        <f>E64+'2017AUG'!H64</f>
        <v>3367.7</v>
      </c>
      <c r="I64" s="28">
        <f t="shared" si="5"/>
        <v>0.82219238281249996</v>
      </c>
      <c r="J64" s="596"/>
      <c r="K64" s="597"/>
      <c r="L64" s="597"/>
      <c r="M64" s="598"/>
    </row>
    <row r="65" spans="1:14">
      <c r="A65" s="602"/>
      <c r="B65" s="603" t="s">
        <v>30</v>
      </c>
      <c r="C65" s="603"/>
      <c r="D65" s="474">
        <f>SUM(D63:D64)</f>
        <v>443</v>
      </c>
      <c r="E65" s="474">
        <f>SUM(E63:E64)</f>
        <v>277.8</v>
      </c>
      <c r="F65" s="31">
        <f t="shared" si="4"/>
        <v>0.62708803611738151</v>
      </c>
      <c r="G65" s="474">
        <f>SUM(G63:G64)</f>
        <v>4114</v>
      </c>
      <c r="H65" s="474">
        <f>SUM(H63:H64)</f>
        <v>3409.1</v>
      </c>
      <c r="I65" s="31">
        <f t="shared" si="5"/>
        <v>0.82865824015556633</v>
      </c>
      <c r="J65" s="604"/>
      <c r="K65" s="605"/>
      <c r="L65" s="605"/>
      <c r="M65" s="606"/>
    </row>
    <row r="66" spans="1:14" s="8" customFormat="1">
      <c r="A66" s="607" t="s">
        <v>46</v>
      </c>
      <c r="B66" s="609" t="s">
        <v>52</v>
      </c>
      <c r="C66" s="609"/>
      <c r="D66" s="473">
        <f>SUM(D60,D63)</f>
        <v>18</v>
      </c>
      <c r="E66" s="473">
        <f>SUM(E60,E63)</f>
        <v>31.3</v>
      </c>
      <c r="F66" s="32">
        <f t="shared" si="4"/>
        <v>1.7388888888888889</v>
      </c>
      <c r="G66" s="473">
        <f>SUM(G60,G63)</f>
        <v>162</v>
      </c>
      <c r="H66" s="473">
        <f>SUM(H60,H63)</f>
        <v>399.09999999999997</v>
      </c>
      <c r="I66" s="32">
        <f t="shared" si="5"/>
        <v>2.4635802469135801</v>
      </c>
      <c r="J66" s="610"/>
      <c r="K66" s="611"/>
      <c r="L66" s="611"/>
      <c r="M66" s="612"/>
    </row>
    <row r="67" spans="1:14" s="8" customFormat="1">
      <c r="A67" s="607"/>
      <c r="B67" s="609" t="s">
        <v>53</v>
      </c>
      <c r="C67" s="609"/>
      <c r="D67" s="473">
        <f>SUM(D61,D64)</f>
        <v>1731</v>
      </c>
      <c r="E67" s="473">
        <f>SUM(E61,E64)</f>
        <v>1182.2</v>
      </c>
      <c r="F67" s="32">
        <f t="shared" si="4"/>
        <v>0.68295782784517622</v>
      </c>
      <c r="G67" s="473">
        <f>SUM(G61,G64)</f>
        <v>16076</v>
      </c>
      <c r="H67" s="473">
        <f>SUM(H61,H64)</f>
        <v>12928.7</v>
      </c>
      <c r="I67" s="32">
        <f t="shared" si="5"/>
        <v>0.80422368748444895</v>
      </c>
      <c r="J67" s="610"/>
      <c r="K67" s="611"/>
      <c r="L67" s="611"/>
      <c r="M67" s="612"/>
    </row>
    <row r="68" spans="1:14" s="8" customFormat="1" ht="14" thickBot="1">
      <c r="A68" s="608"/>
      <c r="B68" s="613" t="s">
        <v>59</v>
      </c>
      <c r="C68" s="613"/>
      <c r="D68" s="481">
        <f>SUM(D66:D67)</f>
        <v>1749</v>
      </c>
      <c r="E68" s="481">
        <f>SUM(E66:E67)</f>
        <v>1213.5</v>
      </c>
      <c r="F68" s="34">
        <f t="shared" si="4"/>
        <v>0.6938250428816467</v>
      </c>
      <c r="G68" s="481">
        <f>SUM(G66:G67)</f>
        <v>16238</v>
      </c>
      <c r="H68" s="481">
        <f>SUM(H66:H67)</f>
        <v>13327.800000000001</v>
      </c>
      <c r="I68" s="34">
        <f t="shared" si="5"/>
        <v>0.8207784209878064</v>
      </c>
      <c r="J68" s="614"/>
      <c r="K68" s="615"/>
      <c r="L68" s="615"/>
      <c r="M68" s="616"/>
    </row>
    <row r="69" spans="1:14">
      <c r="A69" s="593" t="s">
        <v>60</v>
      </c>
      <c r="B69" s="525" t="s">
        <v>29</v>
      </c>
      <c r="C69" s="27" t="s">
        <v>52</v>
      </c>
      <c r="D69" s="65">
        <v>1395</v>
      </c>
      <c r="E69" s="490">
        <v>313</v>
      </c>
      <c r="F69" s="28">
        <f t="shared" si="4"/>
        <v>0.22437275985663083</v>
      </c>
      <c r="G69" s="66">
        <f>D69+'2017AUG'!G69</f>
        <v>6975</v>
      </c>
      <c r="H69" s="66">
        <f>E69+'2017AUG'!H69</f>
        <v>3577</v>
      </c>
      <c r="I69" s="28">
        <f t="shared" si="5"/>
        <v>0.51283154121863794</v>
      </c>
      <c r="J69" s="596"/>
      <c r="K69" s="597"/>
      <c r="L69" s="597"/>
      <c r="M69" s="598"/>
    </row>
    <row r="70" spans="1:14">
      <c r="A70" s="594"/>
      <c r="B70" s="525"/>
      <c r="C70" s="27" t="s">
        <v>53</v>
      </c>
      <c r="D70" s="65">
        <v>12898</v>
      </c>
      <c r="E70" s="479">
        <f>E21-E69</f>
        <v>9044</v>
      </c>
      <c r="F70" s="28">
        <f t="shared" si="4"/>
        <v>0.70119398356334317</v>
      </c>
      <c r="G70" s="66">
        <f>D70+'2017AUG'!G70</f>
        <v>119816</v>
      </c>
      <c r="H70" s="66">
        <f>E70+'2017AUG'!H70</f>
        <v>95610</v>
      </c>
      <c r="I70" s="28">
        <f t="shared" si="5"/>
        <v>0.79797355945783532</v>
      </c>
      <c r="J70" s="596"/>
      <c r="K70" s="597"/>
      <c r="L70" s="597"/>
      <c r="M70" s="598"/>
    </row>
    <row r="71" spans="1:14">
      <c r="A71" s="595"/>
      <c r="B71" s="525"/>
      <c r="C71" s="29" t="s">
        <v>54</v>
      </c>
      <c r="D71" s="487">
        <f>SUM(D69:D70)</f>
        <v>14293</v>
      </c>
      <c r="E71" s="487">
        <f>SUM(E69:E70)</f>
        <v>9357</v>
      </c>
      <c r="F71" s="30">
        <f t="shared" si="4"/>
        <v>0.65465612537605822</v>
      </c>
      <c r="G71" s="487">
        <f>SUM(G69:G70)</f>
        <v>126791</v>
      </c>
      <c r="H71" s="487">
        <f>SUM(H69:H70)</f>
        <v>99187</v>
      </c>
      <c r="I71" s="30">
        <f t="shared" si="5"/>
        <v>0.78228738632868267</v>
      </c>
      <c r="J71" s="599"/>
      <c r="K71" s="600"/>
      <c r="L71" s="600"/>
      <c r="M71" s="601"/>
    </row>
    <row r="72" spans="1:14">
      <c r="A72" s="602" t="s">
        <v>61</v>
      </c>
      <c r="B72" s="525" t="s">
        <v>52</v>
      </c>
      <c r="C72" s="525"/>
      <c r="D72" s="65">
        <v>180</v>
      </c>
      <c r="E72" s="490">
        <v>0</v>
      </c>
      <c r="F72" s="28">
        <f t="shared" si="4"/>
        <v>0</v>
      </c>
      <c r="G72" s="66">
        <f>D72+'2017AUG'!G72</f>
        <v>900</v>
      </c>
      <c r="H72" s="66">
        <f>E72+'2017AUG'!H72</f>
        <v>414</v>
      </c>
      <c r="I72" s="28">
        <f t="shared" si="5"/>
        <v>0.46</v>
      </c>
      <c r="J72" s="596"/>
      <c r="K72" s="597"/>
      <c r="L72" s="597"/>
      <c r="M72" s="598"/>
    </row>
    <row r="73" spans="1:14">
      <c r="A73" s="602"/>
      <c r="B73" s="525" t="s">
        <v>53</v>
      </c>
      <c r="C73" s="525"/>
      <c r="D73" s="65">
        <v>4409</v>
      </c>
      <c r="E73" s="479">
        <f>E23-E72</f>
        <v>2778</v>
      </c>
      <c r="F73" s="28">
        <f t="shared" si="4"/>
        <v>0.6300748469040599</v>
      </c>
      <c r="G73" s="66">
        <f>D73+'2017AUG'!G73</f>
        <v>40958</v>
      </c>
      <c r="H73" s="66">
        <f>E73+'2017AUG'!H73</f>
        <v>33677</v>
      </c>
      <c r="I73" s="28">
        <f t="shared" si="5"/>
        <v>0.82223253088529713</v>
      </c>
      <c r="J73" s="596"/>
      <c r="K73" s="597"/>
      <c r="L73" s="597"/>
      <c r="M73" s="598"/>
    </row>
    <row r="74" spans="1:14">
      <c r="A74" s="602"/>
      <c r="B74" s="603" t="s">
        <v>30</v>
      </c>
      <c r="C74" s="603"/>
      <c r="D74" s="474">
        <f>SUM(D72:D73)</f>
        <v>4589</v>
      </c>
      <c r="E74" s="474">
        <f>SUM(E72:E73)</f>
        <v>2778</v>
      </c>
      <c r="F74" s="31">
        <f t="shared" si="4"/>
        <v>0.60536064502070164</v>
      </c>
      <c r="G74" s="474">
        <f>SUM(G72:G73)</f>
        <v>41858</v>
      </c>
      <c r="H74" s="474">
        <f>SUM(H72:H73)</f>
        <v>34091</v>
      </c>
      <c r="I74" s="31">
        <f t="shared" si="5"/>
        <v>0.81444407281762143</v>
      </c>
      <c r="J74" s="604"/>
      <c r="K74" s="605"/>
      <c r="L74" s="605"/>
      <c r="M74" s="606"/>
    </row>
    <row r="75" spans="1:14" s="8" customFormat="1">
      <c r="A75" s="607" t="s">
        <v>46</v>
      </c>
      <c r="B75" s="609" t="s">
        <v>52</v>
      </c>
      <c r="C75" s="609"/>
      <c r="D75" s="473">
        <f>SUM(D69,D72)</f>
        <v>1575</v>
      </c>
      <c r="E75" s="473">
        <f>SUM(E69,E72)</f>
        <v>313</v>
      </c>
      <c r="F75" s="32">
        <f t="shared" si="4"/>
        <v>0.19873015873015873</v>
      </c>
      <c r="G75" s="473">
        <f>SUM(G69,G72)</f>
        <v>7875</v>
      </c>
      <c r="H75" s="473">
        <f>SUM(H69,H72)</f>
        <v>3991</v>
      </c>
      <c r="I75" s="32">
        <f t="shared" si="5"/>
        <v>0.5067936507936508</v>
      </c>
      <c r="J75" s="610"/>
      <c r="K75" s="611"/>
      <c r="L75" s="611"/>
      <c r="M75" s="612"/>
    </row>
    <row r="76" spans="1:14" s="8" customFormat="1">
      <c r="A76" s="607"/>
      <c r="B76" s="609" t="s">
        <v>53</v>
      </c>
      <c r="C76" s="609"/>
      <c r="D76" s="473">
        <f>SUM(D70,D73)</f>
        <v>17307</v>
      </c>
      <c r="E76" s="473">
        <f>SUM(E70,E73)</f>
        <v>11822</v>
      </c>
      <c r="F76" s="32">
        <f t="shared" si="4"/>
        <v>0.68307621193736634</v>
      </c>
      <c r="G76" s="473">
        <f>SUM(G70,G73)</f>
        <v>160774</v>
      </c>
      <c r="H76" s="473">
        <f>SUM(H70,H73)</f>
        <v>129287</v>
      </c>
      <c r="I76" s="32">
        <f t="shared" si="5"/>
        <v>0.80415365668578254</v>
      </c>
      <c r="J76" s="610"/>
      <c r="K76" s="611"/>
      <c r="L76" s="611"/>
      <c r="M76" s="612"/>
    </row>
    <row r="77" spans="1:14" s="8" customFormat="1" ht="14" thickBot="1">
      <c r="A77" s="608"/>
      <c r="B77" s="613" t="s">
        <v>62</v>
      </c>
      <c r="C77" s="613"/>
      <c r="D77" s="481">
        <f>SUM(D75:D76)</f>
        <v>18882</v>
      </c>
      <c r="E77" s="481">
        <f>SUM(E75:E76)</f>
        <v>12135</v>
      </c>
      <c r="F77" s="34">
        <f t="shared" si="4"/>
        <v>0.6426755640292342</v>
      </c>
      <c r="G77" s="481">
        <f>SUM(G75:G76)</f>
        <v>168649</v>
      </c>
      <c r="H77" s="481">
        <f>SUM(H75:H76)</f>
        <v>133278</v>
      </c>
      <c r="I77" s="34">
        <f t="shared" si="5"/>
        <v>0.79026854591488827</v>
      </c>
      <c r="J77" s="614"/>
      <c r="K77" s="615"/>
      <c r="L77" s="615"/>
      <c r="M77" s="616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581" t="s">
        <v>65</v>
      </c>
      <c r="B82" s="582" t="s">
        <v>66</v>
      </c>
      <c r="C82" s="582" t="s">
        <v>50</v>
      </c>
      <c r="D82" s="582" t="s">
        <v>20</v>
      </c>
      <c r="E82" s="582"/>
      <c r="F82" s="582"/>
      <c r="G82" s="582" t="s">
        <v>21</v>
      </c>
      <c r="H82" s="582"/>
      <c r="I82" s="582"/>
      <c r="J82" s="582" t="s">
        <v>10</v>
      </c>
      <c r="K82" s="582"/>
      <c r="L82" s="582"/>
      <c r="M82" s="585"/>
    </row>
    <row r="83" spans="1:13">
      <c r="A83" s="583"/>
      <c r="B83" s="584"/>
      <c r="C83" s="584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584"/>
      <c r="K83" s="584"/>
      <c r="L83" s="584"/>
      <c r="M83" s="586"/>
    </row>
    <row r="84" spans="1:13">
      <c r="A84" s="573" t="s">
        <v>67</v>
      </c>
      <c r="B84" s="525" t="s">
        <v>68</v>
      </c>
      <c r="C84" s="27" t="s">
        <v>69</v>
      </c>
      <c r="D84" s="65">
        <v>0</v>
      </c>
      <c r="E84" s="490">
        <v>0</v>
      </c>
      <c r="F84" s="498" t="e">
        <f>E84/D84</f>
        <v>#DIV/0!</v>
      </c>
      <c r="G84" s="66">
        <f>D84+'2017AUG'!G84</f>
        <v>2</v>
      </c>
      <c r="H84" s="66">
        <f>E84+'2017AUG'!H84</f>
        <v>3</v>
      </c>
      <c r="I84" s="498">
        <f>H84/G84</f>
        <v>1.5</v>
      </c>
      <c r="J84" s="596"/>
      <c r="K84" s="597"/>
      <c r="L84" s="597"/>
      <c r="M84" s="598"/>
    </row>
    <row r="85" spans="1:13">
      <c r="A85" s="573"/>
      <c r="B85" s="525"/>
      <c r="C85" s="27" t="s">
        <v>70</v>
      </c>
      <c r="D85" s="65">
        <v>85</v>
      </c>
      <c r="E85" s="490">
        <v>53</v>
      </c>
      <c r="F85" s="28">
        <f t="shared" ref="F85:F98" si="6">E85/D85</f>
        <v>0.62352941176470589</v>
      </c>
      <c r="G85" s="66">
        <f>D85+'2017AUG'!G85</f>
        <v>763</v>
      </c>
      <c r="H85" s="66">
        <f>E85+'2017AUG'!H85</f>
        <v>574.5</v>
      </c>
      <c r="I85" s="28">
        <f t="shared" ref="I85:I98" si="7">H85/G85</f>
        <v>0.75294888597640897</v>
      </c>
      <c r="J85" s="596"/>
      <c r="K85" s="597"/>
      <c r="L85" s="597"/>
      <c r="M85" s="598"/>
    </row>
    <row r="86" spans="1:13">
      <c r="A86" s="573"/>
      <c r="B86" s="525"/>
      <c r="C86" s="38" t="s">
        <v>71</v>
      </c>
      <c r="D86" s="487">
        <f>SUM(D84:D85)</f>
        <v>85</v>
      </c>
      <c r="E86" s="487">
        <f>SUM(E84:E85)</f>
        <v>53</v>
      </c>
      <c r="F86" s="30">
        <f t="shared" si="6"/>
        <v>0.62352941176470589</v>
      </c>
      <c r="G86" s="487">
        <f>SUM(G84:G85)</f>
        <v>765</v>
      </c>
      <c r="H86" s="487">
        <f>SUM(H84:H85)</f>
        <v>577.5</v>
      </c>
      <c r="I86" s="30">
        <f t="shared" si="7"/>
        <v>0.75490196078431371</v>
      </c>
      <c r="J86" s="599"/>
      <c r="K86" s="600"/>
      <c r="L86" s="600"/>
      <c r="M86" s="601"/>
    </row>
    <row r="87" spans="1:13">
      <c r="A87" s="573"/>
      <c r="B87" s="525" t="s">
        <v>72</v>
      </c>
      <c r="C87" s="27" t="s">
        <v>69</v>
      </c>
      <c r="D87" s="65">
        <v>0</v>
      </c>
      <c r="E87" s="490">
        <v>0</v>
      </c>
      <c r="F87" s="28" t="e">
        <f t="shared" si="6"/>
        <v>#DIV/0!</v>
      </c>
      <c r="G87" s="66">
        <f>D87+'2017AUG'!G87</f>
        <v>1</v>
      </c>
      <c r="H87" s="66">
        <f>E87+'2017AUG'!H87</f>
        <v>7</v>
      </c>
      <c r="I87" s="28">
        <f t="shared" si="7"/>
        <v>7</v>
      </c>
      <c r="J87" s="596"/>
      <c r="K87" s="597"/>
      <c r="L87" s="597"/>
      <c r="M87" s="598"/>
    </row>
    <row r="88" spans="1:13">
      <c r="A88" s="573"/>
      <c r="B88" s="525"/>
      <c r="C88" s="27" t="s">
        <v>70</v>
      </c>
      <c r="D88" s="65">
        <v>20</v>
      </c>
      <c r="E88" s="490">
        <v>13</v>
      </c>
      <c r="F88" s="28">
        <f t="shared" si="6"/>
        <v>0.65</v>
      </c>
      <c r="G88" s="66">
        <f>D88+'2017AUG'!G88</f>
        <v>179</v>
      </c>
      <c r="H88" s="66">
        <f>E88+'2017AUG'!H88</f>
        <v>148</v>
      </c>
      <c r="I88" s="28">
        <f t="shared" si="7"/>
        <v>0.82681564245810057</v>
      </c>
      <c r="J88" s="596"/>
      <c r="K88" s="597"/>
      <c r="L88" s="597"/>
      <c r="M88" s="598"/>
    </row>
    <row r="89" spans="1:13">
      <c r="A89" s="573"/>
      <c r="B89" s="525"/>
      <c r="C89" s="38" t="s">
        <v>71</v>
      </c>
      <c r="D89" s="487">
        <f>SUM(D87:D88)</f>
        <v>20</v>
      </c>
      <c r="E89" s="487">
        <f>SUM(E87:E88)</f>
        <v>13</v>
      </c>
      <c r="F89" s="30">
        <f t="shared" si="6"/>
        <v>0.65</v>
      </c>
      <c r="G89" s="487">
        <f>SUM(G87:G88)</f>
        <v>180</v>
      </c>
      <c r="H89" s="487">
        <f>SUM(H87:H88)</f>
        <v>155</v>
      </c>
      <c r="I89" s="30">
        <f t="shared" si="7"/>
        <v>0.86111111111111116</v>
      </c>
      <c r="J89" s="599"/>
      <c r="K89" s="600"/>
      <c r="L89" s="600"/>
      <c r="M89" s="601"/>
    </row>
    <row r="90" spans="1:13">
      <c r="A90" s="573"/>
      <c r="B90" s="525" t="s">
        <v>73</v>
      </c>
      <c r="C90" s="27" t="s">
        <v>69</v>
      </c>
      <c r="D90" s="65">
        <v>0</v>
      </c>
      <c r="E90" s="490">
        <v>1</v>
      </c>
      <c r="F90" s="28" t="e">
        <f t="shared" si="6"/>
        <v>#DIV/0!</v>
      </c>
      <c r="G90" s="66">
        <f>D90+'2017AUG'!G90</f>
        <v>2</v>
      </c>
      <c r="H90" s="66">
        <f>E90+'2017AUG'!H90</f>
        <v>21</v>
      </c>
      <c r="I90" s="28">
        <f t="shared" si="7"/>
        <v>10.5</v>
      </c>
      <c r="J90" s="596"/>
      <c r="K90" s="597"/>
      <c r="L90" s="597"/>
      <c r="M90" s="598"/>
    </row>
    <row r="91" spans="1:13">
      <c r="A91" s="573"/>
      <c r="B91" s="525"/>
      <c r="C91" s="27" t="s">
        <v>70</v>
      </c>
      <c r="D91" s="65">
        <v>51</v>
      </c>
      <c r="E91" s="490">
        <v>41</v>
      </c>
      <c r="F91" s="28">
        <f t="shared" si="6"/>
        <v>0.80392156862745101</v>
      </c>
      <c r="G91" s="66">
        <f>D91+'2017AUG'!G91</f>
        <v>455</v>
      </c>
      <c r="H91" s="66">
        <f>E91+'2017AUG'!H91</f>
        <v>397.5</v>
      </c>
      <c r="I91" s="28">
        <f t="shared" si="7"/>
        <v>0.87362637362637363</v>
      </c>
      <c r="J91" s="596"/>
      <c r="K91" s="597"/>
      <c r="L91" s="597"/>
      <c r="M91" s="598"/>
    </row>
    <row r="92" spans="1:13">
      <c r="A92" s="573"/>
      <c r="B92" s="525"/>
      <c r="C92" s="38" t="s">
        <v>71</v>
      </c>
      <c r="D92" s="487">
        <f>SUM(D90:D91)</f>
        <v>51</v>
      </c>
      <c r="E92" s="487">
        <f>SUM(E90:E91)</f>
        <v>42</v>
      </c>
      <c r="F92" s="30">
        <f t="shared" si="6"/>
        <v>0.82352941176470584</v>
      </c>
      <c r="G92" s="487">
        <f>SUM(G90:G91)</f>
        <v>457</v>
      </c>
      <c r="H92" s="487">
        <f>SUM(H90:H91)</f>
        <v>418.5</v>
      </c>
      <c r="I92" s="30">
        <f t="shared" si="7"/>
        <v>0.91575492341356679</v>
      </c>
      <c r="J92" s="599"/>
      <c r="K92" s="600"/>
      <c r="L92" s="600"/>
      <c r="M92" s="601"/>
    </row>
    <row r="93" spans="1:13">
      <c r="A93" s="573"/>
      <c r="B93" s="525" t="s">
        <v>74</v>
      </c>
      <c r="C93" s="27" t="s">
        <v>69</v>
      </c>
      <c r="D93" s="65">
        <v>1</v>
      </c>
      <c r="E93" s="490">
        <v>6</v>
      </c>
      <c r="F93" s="28">
        <f t="shared" si="6"/>
        <v>6</v>
      </c>
      <c r="G93" s="66">
        <f>D93+'2017AUG'!G93</f>
        <v>4</v>
      </c>
      <c r="H93" s="66">
        <f>E93+'2017AUG'!H93</f>
        <v>46.5</v>
      </c>
      <c r="I93" s="28">
        <f t="shared" si="7"/>
        <v>11.625</v>
      </c>
      <c r="J93" s="596"/>
      <c r="K93" s="597"/>
      <c r="L93" s="597"/>
      <c r="M93" s="598"/>
    </row>
    <row r="94" spans="1:13">
      <c r="A94" s="573"/>
      <c r="B94" s="525"/>
      <c r="C94" s="27" t="s">
        <v>70</v>
      </c>
      <c r="D94" s="65">
        <v>92</v>
      </c>
      <c r="E94" s="490">
        <v>83</v>
      </c>
      <c r="F94" s="28">
        <f t="shared" si="6"/>
        <v>0.90217391304347827</v>
      </c>
      <c r="G94" s="66">
        <f>D94+'2017AUG'!G94</f>
        <v>825</v>
      </c>
      <c r="H94" s="66">
        <f>E94+'2017AUG'!H94</f>
        <v>774</v>
      </c>
      <c r="I94" s="28">
        <f t="shared" si="7"/>
        <v>0.93818181818181823</v>
      </c>
      <c r="J94" s="596"/>
      <c r="K94" s="597"/>
      <c r="L94" s="597"/>
      <c r="M94" s="598"/>
    </row>
    <row r="95" spans="1:13">
      <c r="A95" s="573"/>
      <c r="B95" s="525"/>
      <c r="C95" s="38" t="s">
        <v>71</v>
      </c>
      <c r="D95" s="487">
        <f>SUM(D93:D94)</f>
        <v>93</v>
      </c>
      <c r="E95" s="487">
        <f>SUM(E93:E94)</f>
        <v>89</v>
      </c>
      <c r="F95" s="30">
        <f t="shared" si="6"/>
        <v>0.956989247311828</v>
      </c>
      <c r="G95" s="487">
        <f>SUM(G93:G94)</f>
        <v>829</v>
      </c>
      <c r="H95" s="487">
        <f>SUM(H93:H94)</f>
        <v>820.5</v>
      </c>
      <c r="I95" s="30">
        <f t="shared" si="7"/>
        <v>0.98974668275030153</v>
      </c>
      <c r="J95" s="599"/>
      <c r="K95" s="600"/>
      <c r="L95" s="600"/>
      <c r="M95" s="601"/>
    </row>
    <row r="96" spans="1:13">
      <c r="A96" s="573"/>
      <c r="B96" s="603" t="s">
        <v>46</v>
      </c>
      <c r="C96" s="39" t="s">
        <v>69</v>
      </c>
      <c r="D96" s="474">
        <f>SUM(D84,D87,D90,D93)</f>
        <v>1</v>
      </c>
      <c r="E96" s="474">
        <f>SUM(E84,E87,E90,E93)</f>
        <v>7</v>
      </c>
      <c r="F96" s="31">
        <f t="shared" si="6"/>
        <v>7</v>
      </c>
      <c r="G96" s="474">
        <f>SUM(G84,G87,G90,G93)</f>
        <v>9</v>
      </c>
      <c r="H96" s="474">
        <f>SUM(H84,H87,H90,H93)</f>
        <v>77.5</v>
      </c>
      <c r="I96" s="31">
        <f t="shared" si="7"/>
        <v>8.6111111111111107</v>
      </c>
      <c r="J96" s="604"/>
      <c r="K96" s="605"/>
      <c r="L96" s="605"/>
      <c r="M96" s="606"/>
    </row>
    <row r="97" spans="1:13">
      <c r="A97" s="573"/>
      <c r="B97" s="603"/>
      <c r="C97" s="39" t="s">
        <v>70</v>
      </c>
      <c r="D97" s="474">
        <f>SUM(D85,D88,D91,D94)</f>
        <v>248</v>
      </c>
      <c r="E97" s="474">
        <f>SUM(E85,E88,E91,E94)</f>
        <v>190</v>
      </c>
      <c r="F97" s="31">
        <f t="shared" si="6"/>
        <v>0.7661290322580645</v>
      </c>
      <c r="G97" s="474">
        <f>SUM(G85,G88,G91,G94)</f>
        <v>2222</v>
      </c>
      <c r="H97" s="474">
        <f>SUM(H85,H88,H91,H94)</f>
        <v>1894</v>
      </c>
      <c r="I97" s="31">
        <f t="shared" si="7"/>
        <v>0.8523852385238524</v>
      </c>
      <c r="J97" s="604"/>
      <c r="K97" s="605"/>
      <c r="L97" s="605"/>
      <c r="M97" s="606"/>
    </row>
    <row r="98" spans="1:13" ht="14" thickBot="1">
      <c r="A98" s="623"/>
      <c r="B98" s="624"/>
      <c r="C98" s="40" t="s">
        <v>46</v>
      </c>
      <c r="D98" s="475">
        <f>SUM(D96:D97)</f>
        <v>249</v>
      </c>
      <c r="E98" s="475">
        <f>SUM(E96:E97)</f>
        <v>197</v>
      </c>
      <c r="F98" s="41">
        <f t="shared" si="6"/>
        <v>0.79116465863453811</v>
      </c>
      <c r="G98" s="475">
        <f>SUM(G96:G97)</f>
        <v>2231</v>
      </c>
      <c r="H98" s="475">
        <f>SUM(H96:H97)</f>
        <v>1971.5</v>
      </c>
      <c r="I98" s="41">
        <f t="shared" si="7"/>
        <v>0.88368444643657551</v>
      </c>
      <c r="J98" s="625"/>
      <c r="K98" s="626"/>
      <c r="L98" s="626"/>
      <c r="M98" s="627"/>
    </row>
    <row r="99" spans="1:13" ht="14" thickBot="1">
      <c r="A99" s="617" t="s">
        <v>75</v>
      </c>
      <c r="B99" s="619" t="s">
        <v>76</v>
      </c>
      <c r="C99" s="42" t="s">
        <v>69</v>
      </c>
      <c r="D99" s="69">
        <v>0</v>
      </c>
      <c r="E99" s="64">
        <v>0</v>
      </c>
      <c r="F99" s="499" t="e">
        <f>E99/D99</f>
        <v>#DIV/0!</v>
      </c>
      <c r="G99" s="70">
        <f>D99+'2017AUG'!G99</f>
        <v>2</v>
      </c>
      <c r="H99" s="70">
        <f>E99+'2017AUG'!H99</f>
        <v>8</v>
      </c>
      <c r="I99" s="499">
        <f>H99/G99</f>
        <v>4</v>
      </c>
      <c r="J99" s="620"/>
      <c r="K99" s="621"/>
      <c r="L99" s="621"/>
      <c r="M99" s="622"/>
    </row>
    <row r="100" spans="1:13" ht="13.5" customHeight="1">
      <c r="A100" s="562"/>
      <c r="B100" s="525"/>
      <c r="C100" s="27" t="s">
        <v>70</v>
      </c>
      <c r="D100" s="65">
        <v>75</v>
      </c>
      <c r="E100" s="490">
        <v>40</v>
      </c>
      <c r="F100" s="28">
        <f t="shared" ref="F100:F109" si="8">E100/D100</f>
        <v>0.53333333333333333</v>
      </c>
      <c r="G100" s="70">
        <f>D100+'2017AUG'!G100</f>
        <v>673</v>
      </c>
      <c r="H100" s="71">
        <f>E100+'2017AUG'!H100</f>
        <v>485</v>
      </c>
      <c r="I100" s="28">
        <f t="shared" ref="I100:I109" si="9">H100/G100</f>
        <v>0.72065378900445765</v>
      </c>
      <c r="J100" s="596"/>
      <c r="K100" s="597"/>
      <c r="L100" s="597"/>
      <c r="M100" s="598"/>
    </row>
    <row r="101" spans="1:13" ht="13.5" customHeight="1">
      <c r="A101" s="562"/>
      <c r="B101" s="525"/>
      <c r="C101" s="38" t="s">
        <v>71</v>
      </c>
      <c r="D101" s="487">
        <f>SUM(D99:D100)</f>
        <v>75</v>
      </c>
      <c r="E101" s="487">
        <f>SUM(E99:E100)</f>
        <v>40</v>
      </c>
      <c r="F101" s="30">
        <f t="shared" si="8"/>
        <v>0.53333333333333333</v>
      </c>
      <c r="G101" s="487">
        <f>SUM(G99:G100)</f>
        <v>675</v>
      </c>
      <c r="H101" s="487">
        <f>SUM(H99:H100)</f>
        <v>493</v>
      </c>
      <c r="I101" s="30">
        <f t="shared" si="9"/>
        <v>0.73037037037037034</v>
      </c>
      <c r="J101" s="599"/>
      <c r="K101" s="600"/>
      <c r="L101" s="600"/>
      <c r="M101" s="601"/>
    </row>
    <row r="102" spans="1:13" ht="13.5" customHeight="1">
      <c r="A102" s="562"/>
      <c r="B102" s="525" t="s">
        <v>77</v>
      </c>
      <c r="C102" s="27" t="s">
        <v>69</v>
      </c>
      <c r="D102" s="65">
        <v>0</v>
      </c>
      <c r="E102" s="490">
        <v>1</v>
      </c>
      <c r="F102" s="28" t="e">
        <f t="shared" si="8"/>
        <v>#DIV/0!</v>
      </c>
      <c r="G102" s="66">
        <f>D102+'2017AUG'!G102</f>
        <v>2</v>
      </c>
      <c r="H102" s="66">
        <f>E102+'2017AUG'!H102</f>
        <v>19</v>
      </c>
      <c r="I102" s="28">
        <f t="shared" si="9"/>
        <v>9.5</v>
      </c>
      <c r="J102" s="596"/>
      <c r="K102" s="597"/>
      <c r="L102" s="597"/>
      <c r="M102" s="598"/>
    </row>
    <row r="103" spans="1:13" ht="13.5" customHeight="1">
      <c r="A103" s="562"/>
      <c r="B103" s="525"/>
      <c r="C103" s="27" t="s">
        <v>70</v>
      </c>
      <c r="D103" s="65">
        <v>41</v>
      </c>
      <c r="E103" s="490">
        <v>31</v>
      </c>
      <c r="F103" s="28">
        <f t="shared" si="8"/>
        <v>0.75609756097560976</v>
      </c>
      <c r="G103" s="66">
        <f>D103+'2017AUG'!G103</f>
        <v>367</v>
      </c>
      <c r="H103" s="66">
        <f>E103+'2017AUG'!H103</f>
        <v>307</v>
      </c>
      <c r="I103" s="28">
        <f t="shared" si="9"/>
        <v>0.8365122615803815</v>
      </c>
      <c r="J103" s="596"/>
      <c r="K103" s="597"/>
      <c r="L103" s="597"/>
      <c r="M103" s="598"/>
    </row>
    <row r="104" spans="1:13" ht="13.5" customHeight="1">
      <c r="A104" s="562"/>
      <c r="B104" s="525"/>
      <c r="C104" s="38" t="s">
        <v>71</v>
      </c>
      <c r="D104" s="487">
        <f>SUM(D102:D103)</f>
        <v>41</v>
      </c>
      <c r="E104" s="487">
        <f>SUM(E102:E103)</f>
        <v>32</v>
      </c>
      <c r="F104" s="30">
        <f t="shared" si="8"/>
        <v>0.78048780487804881</v>
      </c>
      <c r="G104" s="487">
        <f>SUM(G102:G103)</f>
        <v>369</v>
      </c>
      <c r="H104" s="487">
        <f>SUM(H102:H103)</f>
        <v>326</v>
      </c>
      <c r="I104" s="30">
        <f t="shared" si="9"/>
        <v>0.88346883468834692</v>
      </c>
      <c r="J104" s="599"/>
      <c r="K104" s="600"/>
      <c r="L104" s="600"/>
      <c r="M104" s="601"/>
    </row>
    <row r="105" spans="1:13" ht="13.5" customHeight="1">
      <c r="A105" s="562"/>
      <c r="B105" s="603" t="s">
        <v>46</v>
      </c>
      <c r="C105" s="39" t="s">
        <v>69</v>
      </c>
      <c r="D105" s="474">
        <f>SUM(D99,D102)</f>
        <v>0</v>
      </c>
      <c r="E105" s="474">
        <f>SUM(E99,E102)</f>
        <v>1</v>
      </c>
      <c r="F105" s="30" t="e">
        <f t="shared" si="8"/>
        <v>#DIV/0!</v>
      </c>
      <c r="G105" s="474">
        <f>SUM(G99,G102)</f>
        <v>4</v>
      </c>
      <c r="H105" s="474">
        <f>SUM(H99,H102)</f>
        <v>27</v>
      </c>
      <c r="I105" s="30">
        <f t="shared" si="9"/>
        <v>6.75</v>
      </c>
      <c r="J105" s="604"/>
      <c r="K105" s="605"/>
      <c r="L105" s="605"/>
      <c r="M105" s="606"/>
    </row>
    <row r="106" spans="1:13" ht="13.5" customHeight="1">
      <c r="A106" s="562"/>
      <c r="B106" s="603"/>
      <c r="C106" s="39" t="s">
        <v>70</v>
      </c>
      <c r="D106" s="474">
        <f>SUM(D100,D103)</f>
        <v>116</v>
      </c>
      <c r="E106" s="474">
        <f>SUM(E100,E103)</f>
        <v>71</v>
      </c>
      <c r="F106" s="30">
        <f t="shared" si="8"/>
        <v>0.61206896551724133</v>
      </c>
      <c r="G106" s="474">
        <f>SUM(G100,G103)</f>
        <v>1040</v>
      </c>
      <c r="H106" s="474">
        <f>SUM(H100,H103)</f>
        <v>792</v>
      </c>
      <c r="I106" s="30">
        <f t="shared" si="9"/>
        <v>0.7615384615384615</v>
      </c>
      <c r="J106" s="604"/>
      <c r="K106" s="605"/>
      <c r="L106" s="605"/>
      <c r="M106" s="606"/>
    </row>
    <row r="107" spans="1:13" ht="14.25" customHeight="1" thickBot="1">
      <c r="A107" s="618"/>
      <c r="B107" s="624"/>
      <c r="C107" s="40" t="s">
        <v>46</v>
      </c>
      <c r="D107" s="475">
        <f>SUM(D105:D106)</f>
        <v>116</v>
      </c>
      <c r="E107" s="475">
        <f>SUM(E105:E106)</f>
        <v>72</v>
      </c>
      <c r="F107" s="41">
        <f t="shared" si="8"/>
        <v>0.62068965517241381</v>
      </c>
      <c r="G107" s="475">
        <f>SUM(G105:G106)</f>
        <v>1044</v>
      </c>
      <c r="H107" s="475">
        <f>SUM(H105:H106)</f>
        <v>819</v>
      </c>
      <c r="I107" s="41">
        <f t="shared" si="9"/>
        <v>0.78448275862068961</v>
      </c>
      <c r="J107" s="625"/>
      <c r="K107" s="626"/>
      <c r="L107" s="626"/>
      <c r="M107" s="627"/>
    </row>
    <row r="108" spans="1:13">
      <c r="A108" s="635" t="s">
        <v>46</v>
      </c>
      <c r="B108" s="635"/>
      <c r="C108" s="44" t="s">
        <v>69</v>
      </c>
      <c r="D108" s="472">
        <f>SUM(D96,D105)</f>
        <v>1</v>
      </c>
      <c r="E108" s="472">
        <f>SUM(E96,E105)</f>
        <v>8</v>
      </c>
      <c r="F108" s="45">
        <f t="shared" si="8"/>
        <v>8</v>
      </c>
      <c r="G108" s="46">
        <f>SUM(G96,G105)</f>
        <v>13</v>
      </c>
      <c r="H108" s="46">
        <f>SUM(H96,H105)</f>
        <v>104.5</v>
      </c>
      <c r="I108" s="45">
        <f t="shared" si="9"/>
        <v>8.0384615384615383</v>
      </c>
      <c r="J108" s="636"/>
      <c r="K108" s="637"/>
      <c r="L108" s="637"/>
      <c r="M108" s="638"/>
    </row>
    <row r="109" spans="1:13">
      <c r="A109" s="609"/>
      <c r="B109" s="609"/>
      <c r="C109" s="47" t="s">
        <v>70</v>
      </c>
      <c r="D109" s="473">
        <f>SUM(D97,D106)</f>
        <v>364</v>
      </c>
      <c r="E109" s="473">
        <f>SUM(E97,E106)</f>
        <v>261</v>
      </c>
      <c r="F109" s="32">
        <f t="shared" si="8"/>
        <v>0.71703296703296704</v>
      </c>
      <c r="G109" s="473">
        <f>SUM(G97,G106)</f>
        <v>3262</v>
      </c>
      <c r="H109" s="473">
        <f>SUM(H97,H106)</f>
        <v>2686</v>
      </c>
      <c r="I109" s="32">
        <f t="shared" si="9"/>
        <v>0.82342121397915391</v>
      </c>
      <c r="J109" s="639"/>
      <c r="K109" s="640"/>
      <c r="L109" s="640"/>
      <c r="M109" s="641"/>
    </row>
    <row r="110" spans="1:13">
      <c r="A110" s="609"/>
      <c r="B110" s="609"/>
      <c r="C110" s="48" t="s">
        <v>46</v>
      </c>
      <c r="D110" s="473">
        <f>SUM(D108:D109)</f>
        <v>365</v>
      </c>
      <c r="E110" s="473">
        <f>SUM(E108:E109)</f>
        <v>269</v>
      </c>
      <c r="F110" s="49">
        <f>E110/D110</f>
        <v>0.73698630136986298</v>
      </c>
      <c r="G110" s="472">
        <f>SUM(G108:G109)</f>
        <v>3275</v>
      </c>
      <c r="H110" s="472">
        <f>SUM(H108:H109)</f>
        <v>2790.5</v>
      </c>
      <c r="I110" s="49">
        <f>H110/G110</f>
        <v>0.85206106870229004</v>
      </c>
      <c r="J110" s="639"/>
      <c r="K110" s="640"/>
      <c r="L110" s="640"/>
      <c r="M110" s="641"/>
    </row>
    <row r="113" spans="1:13" ht="15" thickBot="1">
      <c r="A113" s="127" t="s">
        <v>78</v>
      </c>
    </row>
    <row r="114" spans="1:13">
      <c r="A114" s="642" t="s">
        <v>79</v>
      </c>
      <c r="B114" s="643"/>
      <c r="C114" s="644" t="s">
        <v>80</v>
      </c>
      <c r="D114" s="645"/>
      <c r="E114" s="644" t="s">
        <v>81</v>
      </c>
      <c r="F114" s="645"/>
      <c r="G114" s="644" t="s">
        <v>136</v>
      </c>
      <c r="H114" s="703"/>
      <c r="I114" s="769" t="s">
        <v>147</v>
      </c>
      <c r="J114" s="645"/>
      <c r="K114" s="646"/>
      <c r="L114" s="648"/>
    </row>
    <row r="115" spans="1:13">
      <c r="A115" s="628" t="s">
        <v>82</v>
      </c>
      <c r="B115" s="629"/>
      <c r="C115" s="630" t="s">
        <v>83</v>
      </c>
      <c r="D115" s="631"/>
      <c r="E115" s="630" t="s">
        <v>84</v>
      </c>
      <c r="F115" s="631"/>
      <c r="G115" s="630" t="s">
        <v>84</v>
      </c>
      <c r="H115" s="631"/>
      <c r="I115" s="630" t="s">
        <v>84</v>
      </c>
      <c r="J115" s="631"/>
      <c r="K115" s="632"/>
      <c r="L115" s="634"/>
    </row>
    <row r="116" spans="1:13">
      <c r="A116" s="628" t="s">
        <v>85</v>
      </c>
      <c r="B116" s="629"/>
      <c r="C116" s="630" t="s">
        <v>86</v>
      </c>
      <c r="D116" s="631"/>
      <c r="E116" s="630" t="s">
        <v>87</v>
      </c>
      <c r="F116" s="631"/>
      <c r="G116" s="630" t="s">
        <v>87</v>
      </c>
      <c r="H116" s="631"/>
      <c r="I116" s="630" t="s">
        <v>86</v>
      </c>
      <c r="J116" s="631"/>
      <c r="K116" s="632"/>
      <c r="L116" s="634"/>
    </row>
    <row r="117" spans="1:13">
      <c r="A117" s="628" t="s">
        <v>88</v>
      </c>
      <c r="B117" s="629"/>
      <c r="C117" s="630" t="s">
        <v>89</v>
      </c>
      <c r="D117" s="631"/>
      <c r="E117" s="630" t="s">
        <v>90</v>
      </c>
      <c r="F117" s="631"/>
      <c r="G117" s="630" t="s">
        <v>138</v>
      </c>
      <c r="H117" s="631"/>
      <c r="I117" s="630" t="s">
        <v>148</v>
      </c>
      <c r="J117" s="631"/>
      <c r="K117" s="632"/>
      <c r="L117" s="634"/>
    </row>
    <row r="118" spans="1:13">
      <c r="A118" s="628" t="s">
        <v>91</v>
      </c>
      <c r="B118" s="629"/>
      <c r="C118" s="649">
        <v>859</v>
      </c>
      <c r="D118" s="650"/>
      <c r="E118" s="649">
        <v>14</v>
      </c>
      <c r="F118" s="650"/>
      <c r="G118" s="649">
        <v>7</v>
      </c>
      <c r="H118" s="650"/>
      <c r="I118" s="649">
        <v>1</v>
      </c>
      <c r="J118" s="650"/>
      <c r="K118" s="632"/>
      <c r="L118" s="634"/>
    </row>
    <row r="119" spans="1:13">
      <c r="A119" s="628" t="s">
        <v>92</v>
      </c>
      <c r="B119" s="629"/>
      <c r="C119" s="630" t="s">
        <v>93</v>
      </c>
      <c r="D119" s="631"/>
      <c r="E119" s="630" t="s">
        <v>94</v>
      </c>
      <c r="F119" s="631"/>
      <c r="G119" s="630" t="s">
        <v>94</v>
      </c>
      <c r="H119" s="631"/>
      <c r="I119" s="630" t="s">
        <v>94</v>
      </c>
      <c r="J119" s="631"/>
      <c r="K119" s="632"/>
      <c r="L119" s="634"/>
    </row>
    <row r="120" spans="1:13">
      <c r="A120" s="628" t="s">
        <v>311</v>
      </c>
      <c r="B120" s="471" t="s">
        <v>96</v>
      </c>
      <c r="C120" s="630">
        <v>0</v>
      </c>
      <c r="D120" s="631"/>
      <c r="E120" s="630">
        <v>0</v>
      </c>
      <c r="F120" s="631"/>
      <c r="G120" s="630">
        <v>0</v>
      </c>
      <c r="H120" s="631"/>
      <c r="I120" s="630">
        <v>0</v>
      </c>
      <c r="J120" s="631"/>
      <c r="K120" s="632"/>
      <c r="L120" s="634"/>
    </row>
    <row r="121" spans="1:13">
      <c r="A121" s="628"/>
      <c r="B121" s="471" t="s">
        <v>97</v>
      </c>
      <c r="C121" s="630">
        <v>0</v>
      </c>
      <c r="D121" s="631"/>
      <c r="E121" s="630">
        <v>0</v>
      </c>
      <c r="F121" s="631"/>
      <c r="G121" s="630">
        <v>0</v>
      </c>
      <c r="H121" s="631"/>
      <c r="I121" s="630">
        <v>0</v>
      </c>
      <c r="J121" s="631"/>
      <c r="K121" s="632"/>
      <c r="L121" s="634"/>
    </row>
    <row r="122" spans="1:13">
      <c r="A122" s="628"/>
      <c r="B122" s="471" t="s">
        <v>98</v>
      </c>
      <c r="C122" s="651">
        <v>0</v>
      </c>
      <c r="D122" s="652"/>
      <c r="E122" s="651">
        <v>0</v>
      </c>
      <c r="F122" s="652"/>
      <c r="G122" s="651">
        <v>0</v>
      </c>
      <c r="H122" s="652"/>
      <c r="I122" s="630">
        <v>0</v>
      </c>
      <c r="J122" s="631"/>
      <c r="K122" s="653"/>
      <c r="L122" s="655"/>
    </row>
    <row r="123" spans="1:13">
      <c r="A123" s="628"/>
      <c r="B123" s="471" t="s">
        <v>99</v>
      </c>
      <c r="C123" s="656">
        <v>793</v>
      </c>
      <c r="D123" s="656"/>
      <c r="E123" s="656">
        <v>342</v>
      </c>
      <c r="F123" s="656"/>
      <c r="G123" s="656">
        <v>979</v>
      </c>
      <c r="H123" s="656"/>
      <c r="I123" s="770">
        <v>2993</v>
      </c>
      <c r="J123" s="771"/>
      <c r="K123" s="653"/>
      <c r="L123" s="655"/>
    </row>
    <row r="124" spans="1:13" ht="13.5" customHeight="1" thickBot="1">
      <c r="A124" s="673" t="s">
        <v>10</v>
      </c>
      <c r="B124" s="674"/>
      <c r="C124" s="675"/>
      <c r="D124" s="676"/>
      <c r="E124" s="675"/>
      <c r="F124" s="676"/>
      <c r="G124" s="660"/>
      <c r="H124" s="677"/>
      <c r="I124" s="660"/>
      <c r="J124" s="677"/>
      <c r="K124" s="660"/>
      <c r="L124" s="661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31" t="s">
        <v>101</v>
      </c>
      <c r="B128" s="533"/>
      <c r="C128" s="662" t="s">
        <v>363</v>
      </c>
      <c r="D128" s="663"/>
      <c r="E128" s="664"/>
      <c r="F128" s="662" t="s">
        <v>357</v>
      </c>
      <c r="G128" s="663"/>
      <c r="H128" s="663"/>
      <c r="I128" s="664"/>
      <c r="J128" s="663" t="s">
        <v>364</v>
      </c>
      <c r="K128" s="663"/>
      <c r="L128" s="663"/>
      <c r="M128" s="665"/>
    </row>
    <row r="129" spans="1:13" ht="35.25" customHeight="1">
      <c r="A129" s="716" t="s">
        <v>103</v>
      </c>
      <c r="B129" s="717"/>
      <c r="C129" s="722" t="s">
        <v>353</v>
      </c>
      <c r="D129" s="723"/>
      <c r="E129" s="724"/>
      <c r="F129" s="744" t="s">
        <v>358</v>
      </c>
      <c r="G129" s="748"/>
      <c r="H129" s="748"/>
      <c r="I129" s="749"/>
      <c r="J129" s="745" t="s">
        <v>15</v>
      </c>
      <c r="K129" s="748"/>
      <c r="L129" s="748"/>
      <c r="M129" s="750"/>
    </row>
    <row r="130" spans="1:13" ht="35.25" customHeight="1">
      <c r="A130" s="716" t="s">
        <v>104</v>
      </c>
      <c r="B130" s="717"/>
      <c r="C130" s="722" t="s">
        <v>353</v>
      </c>
      <c r="D130" s="723"/>
      <c r="E130" s="724"/>
      <c r="F130" s="722" t="s">
        <v>15</v>
      </c>
      <c r="G130" s="723"/>
      <c r="H130" s="723"/>
      <c r="I130" s="724"/>
      <c r="J130" s="767" t="s">
        <v>15</v>
      </c>
      <c r="K130" s="731"/>
      <c r="L130" s="731"/>
      <c r="M130" s="732"/>
    </row>
    <row r="131" spans="1:13" ht="67.5" customHeight="1">
      <c r="A131" s="716" t="s">
        <v>105</v>
      </c>
      <c r="B131" s="717"/>
      <c r="C131" s="718" t="s">
        <v>365</v>
      </c>
      <c r="D131" s="719"/>
      <c r="E131" s="720"/>
      <c r="F131" s="744" t="s">
        <v>365</v>
      </c>
      <c r="G131" s="745"/>
      <c r="H131" s="745"/>
      <c r="I131" s="746"/>
      <c r="J131" s="744" t="s">
        <v>365</v>
      </c>
      <c r="K131" s="745"/>
      <c r="L131" s="745"/>
      <c r="M131" s="766"/>
    </row>
    <row r="132" spans="1:13" ht="35.25" customHeight="1" thickBot="1">
      <c r="A132" s="733" t="s">
        <v>106</v>
      </c>
      <c r="B132" s="734"/>
      <c r="C132" s="772" t="s">
        <v>360</v>
      </c>
      <c r="D132" s="736"/>
      <c r="E132" s="737"/>
      <c r="F132" s="754" t="s">
        <v>15</v>
      </c>
      <c r="G132" s="755"/>
      <c r="H132" s="755"/>
      <c r="I132" s="756"/>
      <c r="J132" s="764" t="s">
        <v>15</v>
      </c>
      <c r="K132" s="755"/>
      <c r="L132" s="755"/>
      <c r="M132" s="765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701" t="s">
        <v>112</v>
      </c>
      <c r="F137" s="701"/>
      <c r="G137" s="701"/>
      <c r="H137" s="54" t="s">
        <v>113</v>
      </c>
    </row>
    <row r="138" spans="1:13" ht="40.5" customHeight="1" thickBot="1">
      <c r="A138" s="62">
        <f>E42</f>
        <v>0</v>
      </c>
      <c r="B138" s="63">
        <f>'2017AUG'!H138</f>
        <v>-25960</v>
      </c>
      <c r="C138" s="63">
        <f>E43-E42</f>
        <v>30060</v>
      </c>
      <c r="D138" s="512">
        <v>48301</v>
      </c>
      <c r="E138" s="681" t="s">
        <v>114</v>
      </c>
      <c r="F138" s="681"/>
      <c r="G138" s="681"/>
      <c r="H138" s="513">
        <f>C138+A138+B138-D138</f>
        <v>-44201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679" t="s">
        <v>117</v>
      </c>
      <c r="C140" s="679"/>
      <c r="D140" s="679"/>
      <c r="E140" s="679"/>
      <c r="F140" s="679"/>
      <c r="G140" s="680"/>
    </row>
    <row r="141" spans="1:13" ht="45" customHeight="1" thickBot="1">
      <c r="A141" s="56">
        <v>17000</v>
      </c>
      <c r="B141" s="681" t="s">
        <v>114</v>
      </c>
      <c r="C141" s="681"/>
      <c r="D141" s="681"/>
      <c r="E141" s="681"/>
      <c r="F141" s="681"/>
      <c r="G141" s="682"/>
    </row>
    <row r="143" spans="1:13" ht="14">
      <c r="A143" s="127" t="s">
        <v>118</v>
      </c>
    </row>
    <row r="144" spans="1:13">
      <c r="A144" s="629" t="s">
        <v>50</v>
      </c>
      <c r="B144" s="629"/>
      <c r="C144" s="629"/>
      <c r="D144" s="629"/>
      <c r="E144" s="629"/>
      <c r="F144" s="629"/>
      <c r="G144" s="486" t="s">
        <v>119</v>
      </c>
      <c r="H144" s="683" t="s">
        <v>10</v>
      </c>
      <c r="I144" s="684"/>
      <c r="J144" s="684"/>
      <c r="K144" s="685"/>
    </row>
    <row r="145" spans="1:11">
      <c r="A145" s="574" t="s">
        <v>120</v>
      </c>
      <c r="B145" s="686" t="s">
        <v>121</v>
      </c>
      <c r="C145" s="686"/>
      <c r="D145" s="686"/>
      <c r="E145" s="686"/>
      <c r="F145" s="686"/>
      <c r="G145" s="506">
        <v>15</v>
      </c>
      <c r="H145" s="687"/>
      <c r="I145" s="688"/>
      <c r="J145" s="688"/>
      <c r="K145" s="689"/>
    </row>
    <row r="146" spans="1:11">
      <c r="A146" s="574"/>
      <c r="B146" s="686" t="s">
        <v>122</v>
      </c>
      <c r="C146" s="686"/>
      <c r="D146" s="686"/>
      <c r="E146" s="686"/>
      <c r="F146" s="686"/>
      <c r="G146" s="74">
        <v>25988</v>
      </c>
      <c r="H146" s="690"/>
      <c r="I146" s="691"/>
      <c r="J146" s="691"/>
      <c r="K146" s="692"/>
    </row>
    <row r="147" spans="1:11">
      <c r="A147" s="574" t="s">
        <v>123</v>
      </c>
      <c r="B147" s="686" t="s">
        <v>124</v>
      </c>
      <c r="C147" s="686"/>
      <c r="D147" s="686"/>
      <c r="E147" s="686"/>
      <c r="F147" s="686"/>
      <c r="G147" s="479">
        <v>10</v>
      </c>
      <c r="H147" s="670"/>
      <c r="I147" s="671"/>
      <c r="J147" s="671"/>
      <c r="K147" s="672"/>
    </row>
    <row r="148" spans="1:11">
      <c r="A148" s="574"/>
      <c r="B148" s="686" t="s">
        <v>125</v>
      </c>
      <c r="C148" s="686"/>
      <c r="D148" s="686"/>
      <c r="E148" s="686"/>
      <c r="F148" s="686"/>
      <c r="G148" s="75">
        <v>17582</v>
      </c>
      <c r="H148" s="670"/>
      <c r="I148" s="671"/>
      <c r="J148" s="671"/>
      <c r="K148" s="672"/>
    </row>
    <row r="149" spans="1:11" ht="14">
      <c r="A149" s="488" t="s">
        <v>126</v>
      </c>
      <c r="B149" s="686" t="s">
        <v>127</v>
      </c>
      <c r="C149" s="686"/>
      <c r="D149" s="686"/>
      <c r="E149" s="686"/>
      <c r="F149" s="686"/>
      <c r="G149" s="490">
        <v>1874</v>
      </c>
      <c r="H149" s="670"/>
      <c r="I149" s="671"/>
      <c r="J149" s="671"/>
      <c r="K149" s="672"/>
    </row>
    <row r="150" spans="1:11" ht="14">
      <c r="A150" s="488" t="s">
        <v>128</v>
      </c>
      <c r="B150" s="686" t="s">
        <v>129</v>
      </c>
      <c r="C150" s="686"/>
      <c r="D150" s="686"/>
      <c r="E150" s="686"/>
      <c r="F150" s="686"/>
      <c r="G150" s="479"/>
      <c r="H150" s="670"/>
      <c r="I150" s="671"/>
      <c r="J150" s="671"/>
      <c r="K150" s="672"/>
    </row>
  </sheetData>
  <mergeCells count="274"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1:F1"/>
    <mergeCell ref="J3:K3"/>
    <mergeCell ref="L3:M3"/>
    <mergeCell ref="J5:K5"/>
    <mergeCell ref="L5:M5"/>
    <mergeCell ref="J6:K6"/>
    <mergeCell ref="L6:M6"/>
    <mergeCell ref="A14:B14"/>
    <mergeCell ref="E14:I14"/>
  </mergeCells>
  <dataValidations count="2">
    <dataValidation type="list" allowBlank="1" showInputMessage="1" showErrorMessage="1" sqref="L3" xr:uid="{C360864D-009D-6940-A34B-944A144E0A3E}">
      <formula1>"USA, JAPAN"</formula1>
    </dataValidation>
    <dataValidation type="list" allowBlank="1" showInputMessage="1" showErrorMessage="1" sqref="G1" xr:uid="{C7380651-2717-BA44-97A3-01515A90A06A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9439-6A7E-0141-86DA-3A40C2892B00}">
  <sheetPr codeName="Sheet11">
    <pageSetUpPr fitToPage="1"/>
  </sheetPr>
  <dimension ref="A1:N150"/>
  <sheetViews>
    <sheetView zoomScale="95" zoomScaleNormal="95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146</v>
      </c>
      <c r="H1" s="2">
        <v>2017</v>
      </c>
      <c r="I1" s="491"/>
      <c r="J1" s="491"/>
      <c r="K1" s="491"/>
      <c r="L1" s="491"/>
      <c r="M1" s="491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4</v>
      </c>
      <c r="M6" s="525"/>
    </row>
    <row r="7" spans="1:13">
      <c r="J7" s="525" t="s">
        <v>6</v>
      </c>
      <c r="K7" s="525"/>
      <c r="L7" s="702">
        <v>43056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470" t="s">
        <v>305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79" t="s">
        <v>306</v>
      </c>
      <c r="C10" s="61">
        <v>5</v>
      </c>
      <c r="D10" s="490">
        <v>5</v>
      </c>
      <c r="E10" s="538" t="s">
        <v>362</v>
      </c>
      <c r="F10" s="538"/>
      <c r="G10" s="538"/>
      <c r="H10" s="538"/>
      <c r="I10" s="539"/>
    </row>
    <row r="11" spans="1:13">
      <c r="A11" s="537"/>
      <c r="B11" s="479" t="s">
        <v>12</v>
      </c>
      <c r="C11" s="61">
        <v>0</v>
      </c>
      <c r="D11" s="490">
        <v>1</v>
      </c>
      <c r="E11" s="540" t="s">
        <v>308</v>
      </c>
      <c r="F11" s="541"/>
      <c r="G11" s="541"/>
      <c r="H11" s="541"/>
      <c r="I11" s="542"/>
    </row>
    <row r="12" spans="1:13">
      <c r="A12" s="537"/>
      <c r="B12" s="479" t="s">
        <v>309</v>
      </c>
      <c r="C12" s="61">
        <v>1</v>
      </c>
      <c r="D12" s="490">
        <v>1</v>
      </c>
      <c r="E12" s="538" t="s">
        <v>130</v>
      </c>
      <c r="F12" s="538"/>
      <c r="G12" s="538"/>
      <c r="H12" s="538"/>
      <c r="I12" s="539"/>
    </row>
    <row r="13" spans="1:13">
      <c r="A13" s="537"/>
      <c r="B13" s="479" t="s">
        <v>13</v>
      </c>
      <c r="C13" s="61">
        <v>5</v>
      </c>
      <c r="D13" s="490">
        <v>0</v>
      </c>
      <c r="E13" s="768" t="s">
        <v>15</v>
      </c>
      <c r="F13" s="538"/>
      <c r="G13" s="538"/>
      <c r="H13" s="538"/>
      <c r="I13" s="539"/>
    </row>
    <row r="14" spans="1:13" s="8" customFormat="1" ht="14" thickBot="1">
      <c r="A14" s="526" t="s">
        <v>14</v>
      </c>
      <c r="B14" s="527"/>
      <c r="C14" s="7">
        <f>SUM(C10:C13)</f>
        <v>11</v>
      </c>
      <c r="D14" s="7">
        <f>SUM(D10:D13)</f>
        <v>7</v>
      </c>
      <c r="E14" s="528" t="s">
        <v>15</v>
      </c>
      <c r="F14" s="529"/>
      <c r="G14" s="529"/>
      <c r="H14" s="529"/>
      <c r="I14" s="530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31" t="s">
        <v>18</v>
      </c>
      <c r="B18" s="533" t="s">
        <v>19</v>
      </c>
      <c r="C18" s="533"/>
      <c r="D18" s="533" t="s">
        <v>20</v>
      </c>
      <c r="E18" s="533"/>
      <c r="F18" s="533"/>
      <c r="G18" s="533" t="s">
        <v>21</v>
      </c>
      <c r="H18" s="533"/>
      <c r="I18" s="533"/>
      <c r="J18" s="533" t="s">
        <v>22</v>
      </c>
      <c r="K18" s="533"/>
      <c r="L18" s="533"/>
      <c r="M18" s="536"/>
    </row>
    <row r="19" spans="1:13">
      <c r="A19" s="532"/>
      <c r="B19" s="534"/>
      <c r="C19" s="534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534"/>
      <c r="K19" s="534"/>
      <c r="L19" s="534"/>
      <c r="M19" s="543"/>
    </row>
    <row r="20" spans="1:13">
      <c r="A20" s="544" t="s">
        <v>26</v>
      </c>
      <c r="B20" s="545"/>
      <c r="C20" s="545"/>
      <c r="D20" s="545"/>
      <c r="E20" s="545"/>
      <c r="F20" s="545"/>
      <c r="G20" s="545"/>
      <c r="H20" s="545"/>
      <c r="I20" s="545"/>
      <c r="J20" s="545"/>
      <c r="K20" s="545"/>
      <c r="L20" s="545"/>
      <c r="M20" s="546"/>
    </row>
    <row r="21" spans="1:13">
      <c r="A21" s="547" t="s">
        <v>27</v>
      </c>
      <c r="B21" s="550" t="s">
        <v>28</v>
      </c>
      <c r="C21" s="128" t="s">
        <v>29</v>
      </c>
      <c r="D21" s="65">
        <v>14347</v>
      </c>
      <c r="E21" s="490">
        <v>9635</v>
      </c>
      <c r="F21" s="14">
        <f t="shared" ref="F21:F26" si="0">E21/D21</f>
        <v>0.67156896912246467</v>
      </c>
      <c r="G21" s="66">
        <f>D21+'2017SEP'!G21</f>
        <v>141138</v>
      </c>
      <c r="H21" s="66">
        <f>E21+'2017SEP'!H21</f>
        <v>108822</v>
      </c>
      <c r="I21" s="14">
        <f t="shared" ref="I21:I26" si="1">H21/G21</f>
        <v>0.77103260638523996</v>
      </c>
      <c r="J21" s="525"/>
      <c r="K21" s="525"/>
      <c r="L21" s="525"/>
      <c r="M21" s="552"/>
    </row>
    <row r="22" spans="1:13" ht="13.5" customHeight="1">
      <c r="A22" s="548"/>
      <c r="B22" s="551"/>
      <c r="C22" s="15" t="s">
        <v>30</v>
      </c>
      <c r="D22" s="487">
        <f>SUM(D21:D21)</f>
        <v>14347</v>
      </c>
      <c r="E22" s="487">
        <f>SUM(E21:E21)</f>
        <v>9635</v>
      </c>
      <c r="F22" s="16">
        <f t="shared" si="0"/>
        <v>0.67156896912246467</v>
      </c>
      <c r="G22" s="487">
        <f>SUM(G21:G21)</f>
        <v>141138</v>
      </c>
      <c r="H22" s="487">
        <f>SUM(H21:H21)</f>
        <v>108822</v>
      </c>
      <c r="I22" s="16">
        <f t="shared" si="1"/>
        <v>0.77103260638523996</v>
      </c>
      <c r="J22" s="553"/>
      <c r="K22" s="553"/>
      <c r="L22" s="553"/>
      <c r="M22" s="554"/>
    </row>
    <row r="23" spans="1:13" ht="13.5" customHeight="1">
      <c r="A23" s="548"/>
      <c r="B23" s="555" t="s">
        <v>31</v>
      </c>
      <c r="C23" s="128" t="s">
        <v>29</v>
      </c>
      <c r="D23" s="65">
        <v>4575</v>
      </c>
      <c r="E23" s="490">
        <v>2778</v>
      </c>
      <c r="F23" s="14">
        <f t="shared" si="0"/>
        <v>0.60721311475409834</v>
      </c>
      <c r="G23" s="66">
        <f>D23+'2017SEP'!G23</f>
        <v>46433</v>
      </c>
      <c r="H23" s="66">
        <f>E23+'2017SEP'!H23</f>
        <v>36869</v>
      </c>
      <c r="I23" s="14">
        <f t="shared" si="1"/>
        <v>0.7940258006159413</v>
      </c>
      <c r="J23" s="525"/>
      <c r="K23" s="525"/>
      <c r="L23" s="525"/>
      <c r="M23" s="552"/>
    </row>
    <row r="24" spans="1:13" ht="13.5" customHeight="1">
      <c r="A24" s="548"/>
      <c r="B24" s="555"/>
      <c r="C24" s="128" t="s">
        <v>32</v>
      </c>
      <c r="D24" s="65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525"/>
      <c r="K24" s="525"/>
      <c r="L24" s="525"/>
      <c r="M24" s="552"/>
    </row>
    <row r="25" spans="1:13" ht="13.5" customHeight="1">
      <c r="A25" s="548"/>
      <c r="B25" s="555"/>
      <c r="C25" s="15" t="s">
        <v>30</v>
      </c>
      <c r="D25" s="487">
        <f>SUM(D23:D24)</f>
        <v>4575</v>
      </c>
      <c r="E25" s="487">
        <f>SUM(E23:E24)</f>
        <v>2778</v>
      </c>
      <c r="F25" s="16">
        <f t="shared" si="0"/>
        <v>0.60721311475409834</v>
      </c>
      <c r="G25" s="487">
        <f>SUM(G23:G24)</f>
        <v>46433</v>
      </c>
      <c r="H25" s="487">
        <f>SUM(H23:H24)</f>
        <v>36869</v>
      </c>
      <c r="I25" s="16">
        <f t="shared" si="1"/>
        <v>0.7940258006159413</v>
      </c>
      <c r="J25" s="553"/>
      <c r="K25" s="553"/>
      <c r="L25" s="553"/>
      <c r="M25" s="554"/>
    </row>
    <row r="26" spans="1:13" s="8" customFormat="1" ht="14.25" customHeight="1" thickBot="1">
      <c r="A26" s="549"/>
      <c r="B26" s="556" t="s">
        <v>30</v>
      </c>
      <c r="C26" s="556"/>
      <c r="D26" s="489">
        <f>SUM(D22,D25)</f>
        <v>18922</v>
      </c>
      <c r="E26" s="489">
        <f>SUM(E22,E25)</f>
        <v>12413</v>
      </c>
      <c r="F26" s="17">
        <f t="shared" si="0"/>
        <v>0.65600887855406409</v>
      </c>
      <c r="G26" s="489">
        <f>SUM(G22,G25)</f>
        <v>187571</v>
      </c>
      <c r="H26" s="489">
        <f>SUM(H22,H25)</f>
        <v>145691</v>
      </c>
      <c r="I26" s="17">
        <f t="shared" si="1"/>
        <v>0.7767245469715468</v>
      </c>
      <c r="J26" s="556"/>
      <c r="K26" s="556"/>
      <c r="L26" s="556"/>
      <c r="M26" s="557"/>
    </row>
    <row r="27" spans="1:13">
      <c r="A27" s="558" t="s">
        <v>33</v>
      </c>
      <c r="B27" s="559"/>
      <c r="C27" s="559"/>
      <c r="D27" s="559"/>
      <c r="E27" s="559"/>
      <c r="F27" s="559"/>
      <c r="G27" s="559"/>
      <c r="H27" s="559"/>
      <c r="I27" s="559"/>
      <c r="J27" s="559"/>
      <c r="K27" s="559"/>
      <c r="L27" s="559"/>
      <c r="M27" s="560"/>
    </row>
    <row r="28" spans="1:13" ht="12.75" customHeight="1">
      <c r="A28" s="561" t="s">
        <v>34</v>
      </c>
      <c r="B28" s="564" t="s">
        <v>35</v>
      </c>
      <c r="C28" s="128" t="s">
        <v>29</v>
      </c>
      <c r="D28" s="65">
        <v>200</v>
      </c>
      <c r="E28" s="490">
        <v>1959</v>
      </c>
      <c r="F28" s="14">
        <f>E28/D28</f>
        <v>9.7949999999999999</v>
      </c>
      <c r="G28" s="66">
        <f>D28+'2017SEP'!G28</f>
        <v>2000</v>
      </c>
      <c r="H28" s="66">
        <f>E28+'2017SEP'!H28</f>
        <v>8723</v>
      </c>
      <c r="I28" s="14">
        <f>H28/G28</f>
        <v>4.3615000000000004</v>
      </c>
      <c r="J28" s="525"/>
      <c r="K28" s="525"/>
      <c r="L28" s="525"/>
      <c r="M28" s="552"/>
    </row>
    <row r="29" spans="1:13">
      <c r="A29" s="562"/>
      <c r="B29" s="565"/>
      <c r="C29" s="128" t="s">
        <v>32</v>
      </c>
      <c r="D29" s="65">
        <v>0</v>
      </c>
      <c r="E29" s="490">
        <v>0</v>
      </c>
      <c r="F29" s="14" t="e">
        <f t="shared" ref="F29:F45" si="2">E29/D29</f>
        <v>#DIV/0!</v>
      </c>
      <c r="G29" s="66">
        <f>D29</f>
        <v>0</v>
      </c>
      <c r="H29" s="66">
        <f>E29</f>
        <v>0</v>
      </c>
      <c r="I29" s="14" t="e">
        <f t="shared" ref="I29:I45" si="3">H29/G29</f>
        <v>#DIV/0!</v>
      </c>
      <c r="J29" s="525"/>
      <c r="K29" s="525"/>
      <c r="L29" s="525"/>
      <c r="M29" s="552"/>
    </row>
    <row r="30" spans="1:13">
      <c r="A30" s="562"/>
      <c r="B30" s="566"/>
      <c r="C30" s="15" t="s">
        <v>30</v>
      </c>
      <c r="D30" s="487">
        <f>SUM(D28:D29)</f>
        <v>200</v>
      </c>
      <c r="E30" s="487">
        <f>SUM(E28:E29)</f>
        <v>1959</v>
      </c>
      <c r="F30" s="14">
        <f t="shared" si="2"/>
        <v>9.7949999999999999</v>
      </c>
      <c r="G30" s="487">
        <f>SUM(G28:G29)</f>
        <v>2000</v>
      </c>
      <c r="H30" s="487">
        <f>SUM(H28:H29)</f>
        <v>8723</v>
      </c>
      <c r="I30" s="14">
        <f t="shared" si="3"/>
        <v>4.3615000000000004</v>
      </c>
      <c r="J30" s="553"/>
      <c r="K30" s="553"/>
      <c r="L30" s="553"/>
      <c r="M30" s="554"/>
    </row>
    <row r="31" spans="1:13" ht="12.75" customHeight="1">
      <c r="A31" s="562"/>
      <c r="B31" s="567" t="s">
        <v>36</v>
      </c>
      <c r="C31" s="568"/>
      <c r="D31" s="65">
        <v>3700</v>
      </c>
      <c r="E31" s="490">
        <v>13145</v>
      </c>
      <c r="F31" s="14">
        <f t="shared" si="2"/>
        <v>3.5527027027027027</v>
      </c>
      <c r="G31" s="66">
        <f>D31+'2017SEP'!G31</f>
        <v>29500</v>
      </c>
      <c r="H31" s="66">
        <f>E31+'2017SEP'!H31</f>
        <v>64150</v>
      </c>
      <c r="I31" s="14">
        <f t="shared" si="3"/>
        <v>2.1745762711864405</v>
      </c>
      <c r="J31" s="525"/>
      <c r="K31" s="525"/>
      <c r="L31" s="525"/>
      <c r="M31" s="552"/>
    </row>
    <row r="32" spans="1:13" s="8" customFormat="1">
      <c r="A32" s="563"/>
      <c r="B32" s="534" t="s">
        <v>30</v>
      </c>
      <c r="C32" s="534"/>
      <c r="D32" s="485">
        <f>SUM(D30,D31)</f>
        <v>3900</v>
      </c>
      <c r="E32" s="485">
        <f>SUM(E30,E31)</f>
        <v>15104</v>
      </c>
      <c r="F32" s="14">
        <f t="shared" si="2"/>
        <v>3.8728205128205127</v>
      </c>
      <c r="G32" s="485">
        <f>SUM(G30,G31)</f>
        <v>31500</v>
      </c>
      <c r="H32" s="485">
        <f>SUM(H30,H31)</f>
        <v>72873</v>
      </c>
      <c r="I32" s="14">
        <f t="shared" si="3"/>
        <v>2.3134285714285716</v>
      </c>
      <c r="J32" s="534"/>
      <c r="K32" s="534"/>
      <c r="L32" s="534"/>
      <c r="M32" s="543"/>
    </row>
    <row r="33" spans="1:13">
      <c r="A33" s="573" t="s">
        <v>37</v>
      </c>
      <c r="B33" s="555" t="s">
        <v>38</v>
      </c>
      <c r="C33" s="18" t="s">
        <v>39</v>
      </c>
      <c r="D33" s="65">
        <v>35000</v>
      </c>
      <c r="E33" s="479">
        <v>0</v>
      </c>
      <c r="F33" s="14">
        <f t="shared" si="2"/>
        <v>0</v>
      </c>
      <c r="G33" s="66">
        <f>D33+'2017SEP'!G33</f>
        <v>350000</v>
      </c>
      <c r="H33" s="66">
        <f>E33+'2017SEP'!H33</f>
        <v>0</v>
      </c>
      <c r="I33" s="14">
        <f t="shared" si="3"/>
        <v>0</v>
      </c>
      <c r="J33" s="525"/>
      <c r="K33" s="525"/>
      <c r="L33" s="525"/>
      <c r="M33" s="552"/>
    </row>
    <row r="34" spans="1:13">
      <c r="A34" s="573"/>
      <c r="B34" s="555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525"/>
      <c r="K34" s="525"/>
      <c r="L34" s="525"/>
      <c r="M34" s="552"/>
    </row>
    <row r="35" spans="1:13">
      <c r="A35" s="573"/>
      <c r="B35" s="555"/>
      <c r="C35" s="15" t="s">
        <v>30</v>
      </c>
      <c r="D35" s="487">
        <f>SUM(D33:D34)</f>
        <v>35000</v>
      </c>
      <c r="E35" s="487">
        <f>SUM(E33:E34)</f>
        <v>0</v>
      </c>
      <c r="F35" s="16">
        <f t="shared" si="2"/>
        <v>0</v>
      </c>
      <c r="G35" s="479">
        <f>SUM(G33:G34)</f>
        <v>350000</v>
      </c>
      <c r="H35" s="479">
        <f>SUM(H33:H34)</f>
        <v>0</v>
      </c>
      <c r="I35" s="16">
        <f t="shared" si="3"/>
        <v>0</v>
      </c>
      <c r="J35" s="553"/>
      <c r="K35" s="553"/>
      <c r="L35" s="553"/>
      <c r="M35" s="554"/>
    </row>
    <row r="36" spans="1:13" ht="12" customHeight="1">
      <c r="A36" s="573"/>
      <c r="B36" s="574" t="s">
        <v>41</v>
      </c>
      <c r="C36" s="18" t="s">
        <v>270</v>
      </c>
      <c r="D36" s="65">
        <v>2222</v>
      </c>
      <c r="E36" s="490">
        <v>0</v>
      </c>
      <c r="F36" s="14">
        <f t="shared" si="2"/>
        <v>0</v>
      </c>
      <c r="G36" s="66">
        <f>D36+'2017SEP'!G36</f>
        <v>15554</v>
      </c>
      <c r="H36" s="66">
        <f>E36+'2017SEP'!H36</f>
        <v>28435</v>
      </c>
      <c r="I36" s="14">
        <f t="shared" si="3"/>
        <v>1.8281471004243282</v>
      </c>
      <c r="J36" s="525"/>
      <c r="K36" s="525"/>
      <c r="L36" s="525"/>
      <c r="M36" s="552"/>
    </row>
    <row r="37" spans="1:13" ht="12" customHeight="1">
      <c r="A37" s="573"/>
      <c r="B37" s="574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525"/>
      <c r="K37" s="525"/>
      <c r="L37" s="525"/>
      <c r="M37" s="552"/>
    </row>
    <row r="38" spans="1:13" ht="12" customHeight="1">
      <c r="A38" s="573"/>
      <c r="B38" s="574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15554</v>
      </c>
      <c r="H38" s="487">
        <f>SUM(H36:H37)</f>
        <v>28435</v>
      </c>
      <c r="I38" s="16">
        <f t="shared" si="3"/>
        <v>1.8281471004243282</v>
      </c>
      <c r="J38" s="553"/>
      <c r="K38" s="553"/>
      <c r="L38" s="553"/>
      <c r="M38" s="554"/>
    </row>
    <row r="39" spans="1:13" s="8" customFormat="1" ht="12" customHeight="1">
      <c r="A39" s="573"/>
      <c r="B39" s="534" t="s">
        <v>30</v>
      </c>
      <c r="C39" s="534"/>
      <c r="D39" s="485">
        <f>SUM(D35,D38)</f>
        <v>37222</v>
      </c>
      <c r="E39" s="485">
        <f>SUM(E35,E38)</f>
        <v>0</v>
      </c>
      <c r="F39" s="19">
        <f t="shared" si="2"/>
        <v>0</v>
      </c>
      <c r="G39" s="485">
        <f>SUM(G35,G38)</f>
        <v>365554</v>
      </c>
      <c r="H39" s="485">
        <f>SUM(H35,H38)</f>
        <v>28435</v>
      </c>
      <c r="I39" s="19">
        <f t="shared" si="3"/>
        <v>7.7786045290162323E-2</v>
      </c>
      <c r="J39" s="534"/>
      <c r="K39" s="534"/>
      <c r="L39" s="534"/>
      <c r="M39" s="543"/>
    </row>
    <row r="40" spans="1:13" s="8" customFormat="1">
      <c r="A40" s="569" t="s">
        <v>42</v>
      </c>
      <c r="B40" s="570"/>
      <c r="C40" s="570"/>
      <c r="D40" s="67">
        <v>300</v>
      </c>
      <c r="E40" s="511">
        <f>C123+E123+G123+I123</f>
        <v>7972.4</v>
      </c>
      <c r="F40" s="21">
        <f t="shared" si="2"/>
        <v>26.574666666666666</v>
      </c>
      <c r="G40" s="68">
        <f>D40+'2017SEP'!G40</f>
        <v>3000</v>
      </c>
      <c r="H40" s="77">
        <f>E40+'2017SEP'!H40</f>
        <v>20023.400000000001</v>
      </c>
      <c r="I40" s="21">
        <f t="shared" si="3"/>
        <v>6.6744666666666674</v>
      </c>
      <c r="J40" s="570"/>
      <c r="K40" s="570"/>
      <c r="L40" s="570"/>
      <c r="M40" s="571"/>
    </row>
    <row r="41" spans="1:13" s="8" customFormat="1">
      <c r="A41" s="569" t="s">
        <v>43</v>
      </c>
      <c r="B41" s="570"/>
      <c r="C41" s="570"/>
      <c r="D41" s="67">
        <v>6750</v>
      </c>
      <c r="E41" s="20">
        <v>0</v>
      </c>
      <c r="F41" s="21">
        <f t="shared" si="2"/>
        <v>0</v>
      </c>
      <c r="G41" s="68">
        <f>D41+'2017SEP'!G41</f>
        <v>40500</v>
      </c>
      <c r="H41" s="68">
        <f>E41+'2017SEP'!H41</f>
        <v>0</v>
      </c>
      <c r="I41" s="21">
        <f t="shared" si="3"/>
        <v>0</v>
      </c>
      <c r="J41" s="572" t="s">
        <v>44</v>
      </c>
      <c r="K41" s="570"/>
      <c r="L41" s="570"/>
      <c r="M41" s="571"/>
    </row>
    <row r="42" spans="1:13" s="8" customFormat="1">
      <c r="A42" s="569" t="s">
        <v>45</v>
      </c>
      <c r="B42" s="570"/>
      <c r="C42" s="570"/>
      <c r="D42" s="67">
        <v>17000</v>
      </c>
      <c r="E42" s="20">
        <f>46945+142200</f>
        <v>189145</v>
      </c>
      <c r="F42" s="21">
        <f t="shared" si="2"/>
        <v>11.126176470588236</v>
      </c>
      <c r="G42" s="68">
        <f>D42+'2017SEP'!G42</f>
        <v>170000</v>
      </c>
      <c r="H42" s="68">
        <f>E42+'2017SEP'!H42</f>
        <v>342145</v>
      </c>
      <c r="I42" s="21">
        <f t="shared" si="3"/>
        <v>2.0126176470588235</v>
      </c>
      <c r="J42" s="570"/>
      <c r="K42" s="570"/>
      <c r="L42" s="570"/>
      <c r="M42" s="571"/>
    </row>
    <row r="43" spans="1:13" s="8" customFormat="1">
      <c r="A43" s="587" t="s">
        <v>46</v>
      </c>
      <c r="B43" s="588"/>
      <c r="C43" s="589"/>
      <c r="D43" s="484">
        <f>SUM(D26,D32,D39,D40:D42)</f>
        <v>84094</v>
      </c>
      <c r="E43" s="78">
        <f>SUM(E26,E32,E39,E40:E42)</f>
        <v>224634.4</v>
      </c>
      <c r="F43" s="22">
        <f t="shared" si="2"/>
        <v>2.6712298142554758</v>
      </c>
      <c r="G43" s="484">
        <f>SUM(G26,G32,G39,G40:G42)</f>
        <v>798125</v>
      </c>
      <c r="H43" s="484">
        <f>SUM(H26,H32,H39,H40:H42)</f>
        <v>609167.4</v>
      </c>
      <c r="I43" s="22">
        <f t="shared" si="3"/>
        <v>0.76324811276429139</v>
      </c>
      <c r="J43" s="590" t="s">
        <v>15</v>
      </c>
      <c r="K43" s="591"/>
      <c r="L43" s="591"/>
      <c r="M43" s="592"/>
    </row>
    <row r="44" spans="1:13" s="8" customFormat="1">
      <c r="A44" s="587" t="s">
        <v>47</v>
      </c>
      <c r="B44" s="588"/>
      <c r="C44" s="589"/>
      <c r="D44" s="484">
        <f>D43-D40</f>
        <v>83794</v>
      </c>
      <c r="E44" s="484">
        <f>E43-E40</f>
        <v>216662</v>
      </c>
      <c r="F44" s="22">
        <f t="shared" si="2"/>
        <v>2.5856505239038596</v>
      </c>
      <c r="G44" s="484">
        <f>G43-G40</f>
        <v>795125</v>
      </c>
      <c r="H44" s="484">
        <f>H43-H40</f>
        <v>589144</v>
      </c>
      <c r="I44" s="22">
        <f t="shared" si="3"/>
        <v>0.74094513441282817</v>
      </c>
      <c r="J44" s="590" t="s">
        <v>15</v>
      </c>
      <c r="K44" s="591"/>
      <c r="L44" s="591"/>
      <c r="M44" s="592"/>
    </row>
    <row r="45" spans="1:13" s="8" customFormat="1" ht="14" thickBot="1">
      <c r="A45" s="575" t="s">
        <v>48</v>
      </c>
      <c r="B45" s="576"/>
      <c r="C45" s="577"/>
      <c r="D45" s="482">
        <f>D44-D42</f>
        <v>66794</v>
      </c>
      <c r="E45" s="482">
        <f>E44-E42</f>
        <v>27517</v>
      </c>
      <c r="F45" s="23">
        <f t="shared" si="2"/>
        <v>0.41196814085097466</v>
      </c>
      <c r="G45" s="482">
        <f>G44-G42</f>
        <v>625125</v>
      </c>
      <c r="H45" s="482">
        <f>H44-H42</f>
        <v>246999</v>
      </c>
      <c r="I45" s="23">
        <f t="shared" si="3"/>
        <v>0.39511937612477505</v>
      </c>
      <c r="J45" s="578" t="s">
        <v>15</v>
      </c>
      <c r="K45" s="579"/>
      <c r="L45" s="579"/>
      <c r="M45" s="580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581" t="s">
        <v>50</v>
      </c>
      <c r="B49" s="582"/>
      <c r="C49" s="582"/>
      <c r="D49" s="582" t="s">
        <v>20</v>
      </c>
      <c r="E49" s="582"/>
      <c r="F49" s="582"/>
      <c r="G49" s="582" t="s">
        <v>21</v>
      </c>
      <c r="H49" s="582"/>
      <c r="I49" s="582"/>
      <c r="J49" s="582" t="s">
        <v>10</v>
      </c>
      <c r="K49" s="582"/>
      <c r="L49" s="582"/>
      <c r="M49" s="585"/>
    </row>
    <row r="50" spans="1:13">
      <c r="A50" s="583"/>
      <c r="B50" s="584"/>
      <c r="C50" s="584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584"/>
      <c r="K50" s="584"/>
      <c r="L50" s="584"/>
      <c r="M50" s="586"/>
    </row>
    <row r="51" spans="1:13" ht="13.5" customHeight="1">
      <c r="A51" s="593" t="s">
        <v>51</v>
      </c>
      <c r="B51" s="525" t="s">
        <v>29</v>
      </c>
      <c r="C51" s="27" t="s">
        <v>52</v>
      </c>
      <c r="D51" s="65">
        <v>5</v>
      </c>
      <c r="E51" s="490">
        <v>9</v>
      </c>
      <c r="F51" s="28">
        <f t="shared" ref="F51:F77" si="4">E51/D51</f>
        <v>1.8</v>
      </c>
      <c r="G51" s="66">
        <f>D51+'2017SEP'!G51</f>
        <v>50</v>
      </c>
      <c r="H51" s="66">
        <f>E51+'2017SEP'!H51</f>
        <v>122</v>
      </c>
      <c r="I51" s="28">
        <f t="shared" ref="I51:I77" si="5">H51/G51</f>
        <v>2.44</v>
      </c>
      <c r="J51" s="596"/>
      <c r="K51" s="597"/>
      <c r="L51" s="597"/>
      <c r="M51" s="598"/>
    </row>
    <row r="52" spans="1:13">
      <c r="A52" s="594"/>
      <c r="B52" s="525"/>
      <c r="C52" s="27" t="s">
        <v>53</v>
      </c>
      <c r="D52" s="65">
        <v>391</v>
      </c>
      <c r="E52" s="490">
        <v>268</v>
      </c>
      <c r="F52" s="28">
        <f t="shared" si="4"/>
        <v>0.68542199488491051</v>
      </c>
      <c r="G52" s="66">
        <f>D52+'2017SEP'!G52</f>
        <v>4055</v>
      </c>
      <c r="H52" s="66">
        <f>E52+'2017SEP'!H52</f>
        <v>3586</v>
      </c>
      <c r="I52" s="28">
        <f t="shared" si="5"/>
        <v>0.88434032059186185</v>
      </c>
      <c r="J52" s="596"/>
      <c r="K52" s="597"/>
      <c r="L52" s="597"/>
      <c r="M52" s="598"/>
    </row>
    <row r="53" spans="1:13">
      <c r="A53" s="595"/>
      <c r="B53" s="525"/>
      <c r="C53" s="29" t="s">
        <v>54</v>
      </c>
      <c r="D53" s="487">
        <f>SUM(D51:D52)</f>
        <v>396</v>
      </c>
      <c r="E53" s="487">
        <f>SUM(E51:E52)</f>
        <v>277</v>
      </c>
      <c r="F53" s="30">
        <f t="shared" si="4"/>
        <v>0.6994949494949495</v>
      </c>
      <c r="G53" s="487">
        <f>SUM(G51:G52)</f>
        <v>4105</v>
      </c>
      <c r="H53" s="487">
        <f>SUM(H51:H52)</f>
        <v>3708</v>
      </c>
      <c r="I53" s="30">
        <f t="shared" si="5"/>
        <v>0.90328867235079169</v>
      </c>
      <c r="J53" s="599"/>
      <c r="K53" s="600"/>
      <c r="L53" s="600"/>
      <c r="M53" s="601"/>
    </row>
    <row r="54" spans="1:13">
      <c r="A54" s="602" t="s">
        <v>55</v>
      </c>
      <c r="B54" s="525" t="s">
        <v>52</v>
      </c>
      <c r="C54" s="525"/>
      <c r="D54" s="65">
        <v>2</v>
      </c>
      <c r="E54" s="490">
        <v>1</v>
      </c>
      <c r="F54" s="28">
        <f t="shared" si="4"/>
        <v>0.5</v>
      </c>
      <c r="G54" s="66">
        <f>D54+'2017SEP'!G54</f>
        <v>20</v>
      </c>
      <c r="H54" s="66">
        <f>E54+'2017SEP'!H54</f>
        <v>221</v>
      </c>
      <c r="I54" s="28">
        <f t="shared" si="5"/>
        <v>11.05</v>
      </c>
      <c r="J54" s="596"/>
      <c r="K54" s="597"/>
      <c r="L54" s="597"/>
      <c r="M54" s="598"/>
    </row>
    <row r="55" spans="1:13">
      <c r="A55" s="602"/>
      <c r="B55" s="525" t="s">
        <v>53</v>
      </c>
      <c r="C55" s="525"/>
      <c r="D55" s="65">
        <v>292</v>
      </c>
      <c r="E55" s="490">
        <v>205</v>
      </c>
      <c r="F55" s="28">
        <f t="shared" si="4"/>
        <v>0.70205479452054798</v>
      </c>
      <c r="G55" s="66">
        <f>D55+'2017SEP'!G55</f>
        <v>3023</v>
      </c>
      <c r="H55" s="66">
        <f>E55+'2017SEP'!H55</f>
        <v>3071</v>
      </c>
      <c r="I55" s="28">
        <f t="shared" si="5"/>
        <v>1.0158782666225603</v>
      </c>
      <c r="J55" s="596"/>
      <c r="K55" s="597"/>
      <c r="L55" s="597"/>
      <c r="M55" s="598"/>
    </row>
    <row r="56" spans="1:13">
      <c r="A56" s="602"/>
      <c r="B56" s="603" t="s">
        <v>30</v>
      </c>
      <c r="C56" s="603"/>
      <c r="D56" s="474">
        <f>SUM(D54:D55)</f>
        <v>294</v>
      </c>
      <c r="E56" s="474">
        <f>SUM(E54:E55)</f>
        <v>206</v>
      </c>
      <c r="F56" s="28">
        <f t="shared" si="4"/>
        <v>0.70068027210884354</v>
      </c>
      <c r="G56" s="474">
        <f>SUM(G54:G55)</f>
        <v>3043</v>
      </c>
      <c r="H56" s="474">
        <f>SUM(H54:H55)</f>
        <v>3292</v>
      </c>
      <c r="I56" s="31">
        <f t="shared" si="5"/>
        <v>1.0818271442655274</v>
      </c>
      <c r="J56" s="604"/>
      <c r="K56" s="605"/>
      <c r="L56" s="605"/>
      <c r="M56" s="606"/>
    </row>
    <row r="57" spans="1:13" s="8" customFormat="1">
      <c r="A57" s="607" t="s">
        <v>46</v>
      </c>
      <c r="B57" s="609" t="s">
        <v>52</v>
      </c>
      <c r="C57" s="609"/>
      <c r="D57" s="473">
        <f>SUM(D51,D54)</f>
        <v>7</v>
      </c>
      <c r="E57" s="473">
        <f>SUM(E51,E54)</f>
        <v>10</v>
      </c>
      <c r="F57" s="32">
        <f t="shared" si="4"/>
        <v>1.4285714285714286</v>
      </c>
      <c r="G57" s="473">
        <f>SUM(G51,G54)</f>
        <v>70</v>
      </c>
      <c r="H57" s="473">
        <f>SUM(H51,H54)</f>
        <v>343</v>
      </c>
      <c r="I57" s="32">
        <f t="shared" si="5"/>
        <v>4.9000000000000004</v>
      </c>
      <c r="J57" s="610"/>
      <c r="K57" s="611"/>
      <c r="L57" s="611"/>
      <c r="M57" s="612"/>
    </row>
    <row r="58" spans="1:13" s="8" customFormat="1">
      <c r="A58" s="607"/>
      <c r="B58" s="609" t="s">
        <v>53</v>
      </c>
      <c r="C58" s="609"/>
      <c r="D58" s="473">
        <f>SUM(D52,D55)</f>
        <v>683</v>
      </c>
      <c r="E58" s="473">
        <f>SUM(E52,E55)</f>
        <v>473</v>
      </c>
      <c r="F58" s="32">
        <f t="shared" si="4"/>
        <v>0.69253294289897516</v>
      </c>
      <c r="G58" s="473">
        <f>SUM(G52,G55)</f>
        <v>7078</v>
      </c>
      <c r="H58" s="473">
        <f>SUM(H52,H55)</f>
        <v>6657</v>
      </c>
      <c r="I58" s="32">
        <f t="shared" si="5"/>
        <v>0.94051992088160496</v>
      </c>
      <c r="J58" s="610"/>
      <c r="K58" s="611"/>
      <c r="L58" s="611"/>
      <c r="M58" s="612"/>
    </row>
    <row r="59" spans="1:13" s="8" customFormat="1" ht="17.25" customHeight="1" thickBot="1">
      <c r="A59" s="608"/>
      <c r="B59" s="613" t="s">
        <v>56</v>
      </c>
      <c r="C59" s="613"/>
      <c r="D59" s="481">
        <f>SUM(D57:D58)</f>
        <v>690</v>
      </c>
      <c r="E59" s="481">
        <f>SUM(E57:E58)</f>
        <v>483</v>
      </c>
      <c r="F59" s="33">
        <f t="shared" si="4"/>
        <v>0.7</v>
      </c>
      <c r="G59" s="481">
        <f>SUM(G57:G58)</f>
        <v>7148</v>
      </c>
      <c r="H59" s="481">
        <f>SUM(H57:H58)</f>
        <v>7000</v>
      </c>
      <c r="I59" s="33">
        <f t="shared" si="5"/>
        <v>0.97929490766648009</v>
      </c>
      <c r="J59" s="614"/>
      <c r="K59" s="615"/>
      <c r="L59" s="615"/>
      <c r="M59" s="616"/>
    </row>
    <row r="60" spans="1:13">
      <c r="A60" s="593" t="s">
        <v>57</v>
      </c>
      <c r="B60" s="525" t="s">
        <v>29</v>
      </c>
      <c r="C60" s="27" t="s">
        <v>52</v>
      </c>
      <c r="D60" s="65">
        <v>16</v>
      </c>
      <c r="E60" s="479">
        <f>E69/10</f>
        <v>31.3</v>
      </c>
      <c r="F60" s="28">
        <f t="shared" si="4"/>
        <v>1.95625</v>
      </c>
      <c r="G60" s="66">
        <f>D60+'2017SEP'!G60</f>
        <v>160</v>
      </c>
      <c r="H60" s="66">
        <f>E60+'2017SEP'!H60</f>
        <v>389</v>
      </c>
      <c r="I60" s="28">
        <f t="shared" si="5"/>
        <v>2.4312499999999999</v>
      </c>
      <c r="J60" s="596"/>
      <c r="K60" s="597"/>
      <c r="L60" s="597"/>
      <c r="M60" s="598"/>
    </row>
    <row r="61" spans="1:13">
      <c r="A61" s="594"/>
      <c r="B61" s="525"/>
      <c r="C61" s="27" t="s">
        <v>53</v>
      </c>
      <c r="D61" s="65">
        <v>1280</v>
      </c>
      <c r="E61" s="479">
        <f>E70/10</f>
        <v>932.2</v>
      </c>
      <c r="F61" s="28">
        <f t="shared" si="4"/>
        <v>0.72828124999999999</v>
      </c>
      <c r="G61" s="66">
        <f>D61+'2017SEP'!G61</f>
        <v>13260</v>
      </c>
      <c r="H61" s="66">
        <f>E61+'2017SEP'!H61</f>
        <v>10493.2</v>
      </c>
      <c r="I61" s="28">
        <f t="shared" si="5"/>
        <v>0.79134238310708904</v>
      </c>
      <c r="J61" s="596"/>
      <c r="K61" s="597"/>
      <c r="L61" s="597"/>
      <c r="M61" s="598"/>
    </row>
    <row r="62" spans="1:13">
      <c r="A62" s="595"/>
      <c r="B62" s="525"/>
      <c r="C62" s="29" t="s">
        <v>54</v>
      </c>
      <c r="D62" s="61">
        <f>SUM(D60:D61)</f>
        <v>1296</v>
      </c>
      <c r="E62" s="487">
        <f>SUM(E60:E61)</f>
        <v>963.5</v>
      </c>
      <c r="F62" s="30">
        <f t="shared" si="4"/>
        <v>0.74344135802469136</v>
      </c>
      <c r="G62" s="487">
        <f>SUM(G60:G61)</f>
        <v>13420</v>
      </c>
      <c r="H62" s="487">
        <f>SUM(H60:H61)</f>
        <v>10882.2</v>
      </c>
      <c r="I62" s="30">
        <f t="shared" si="5"/>
        <v>0.81089418777943378</v>
      </c>
      <c r="J62" s="599"/>
      <c r="K62" s="600"/>
      <c r="L62" s="600"/>
      <c r="M62" s="601"/>
    </row>
    <row r="63" spans="1:13">
      <c r="A63" s="602" t="s">
        <v>58</v>
      </c>
      <c r="B63" s="525" t="s">
        <v>52</v>
      </c>
      <c r="C63" s="525"/>
      <c r="D63" s="65">
        <v>2</v>
      </c>
      <c r="E63" s="479">
        <f>E72/10</f>
        <v>1.7</v>
      </c>
      <c r="F63" s="28">
        <f t="shared" si="4"/>
        <v>0.85</v>
      </c>
      <c r="G63" s="66">
        <f>D63+'2017SEP'!G63</f>
        <v>20</v>
      </c>
      <c r="H63" s="66">
        <f>E63+'2017SEP'!H63</f>
        <v>43.1</v>
      </c>
      <c r="I63" s="28">
        <f t="shared" si="5"/>
        <v>2.1550000000000002</v>
      </c>
      <c r="J63" s="596"/>
      <c r="K63" s="597"/>
      <c r="L63" s="597"/>
      <c r="M63" s="598"/>
    </row>
    <row r="64" spans="1:13">
      <c r="A64" s="602"/>
      <c r="B64" s="525" t="s">
        <v>53</v>
      </c>
      <c r="C64" s="525"/>
      <c r="D64" s="65">
        <v>437</v>
      </c>
      <c r="E64" s="479">
        <f>E73/10</f>
        <v>276.10000000000002</v>
      </c>
      <c r="F64" s="28">
        <f t="shared" si="4"/>
        <v>0.63180778032036622</v>
      </c>
      <c r="G64" s="66">
        <f>D64+'2017SEP'!G64</f>
        <v>4533</v>
      </c>
      <c r="H64" s="66">
        <f>E64+'2017SEP'!H64</f>
        <v>3643.7999999999997</v>
      </c>
      <c r="I64" s="28">
        <f t="shared" si="5"/>
        <v>0.80383851753805424</v>
      </c>
      <c r="J64" s="596"/>
      <c r="K64" s="597"/>
      <c r="L64" s="597"/>
      <c r="M64" s="598"/>
    </row>
    <row r="65" spans="1:14">
      <c r="A65" s="602"/>
      <c r="B65" s="603" t="s">
        <v>30</v>
      </c>
      <c r="C65" s="603"/>
      <c r="D65" s="474">
        <f>SUM(D63:D64)</f>
        <v>439</v>
      </c>
      <c r="E65" s="474">
        <f>SUM(E63:E64)</f>
        <v>277.8</v>
      </c>
      <c r="F65" s="31">
        <f t="shared" si="4"/>
        <v>0.63280182232346249</v>
      </c>
      <c r="G65" s="474">
        <f>SUM(G63:G64)</f>
        <v>4553</v>
      </c>
      <c r="H65" s="474">
        <f>SUM(H63:H64)</f>
        <v>3686.8999999999996</v>
      </c>
      <c r="I65" s="31">
        <f t="shared" si="5"/>
        <v>0.80977377553261576</v>
      </c>
      <c r="J65" s="604"/>
      <c r="K65" s="605"/>
      <c r="L65" s="605"/>
      <c r="M65" s="606"/>
    </row>
    <row r="66" spans="1:14" s="8" customFormat="1">
      <c r="A66" s="607" t="s">
        <v>46</v>
      </c>
      <c r="B66" s="609" t="s">
        <v>52</v>
      </c>
      <c r="C66" s="609"/>
      <c r="D66" s="473">
        <f>SUM(D60,D63)</f>
        <v>18</v>
      </c>
      <c r="E66" s="473">
        <f>SUM(E60,E63)</f>
        <v>33</v>
      </c>
      <c r="F66" s="32">
        <f t="shared" si="4"/>
        <v>1.8333333333333333</v>
      </c>
      <c r="G66" s="473">
        <f>SUM(G60,G63)</f>
        <v>180</v>
      </c>
      <c r="H66" s="473">
        <f>SUM(H60,H63)</f>
        <v>432.1</v>
      </c>
      <c r="I66" s="32">
        <f t="shared" si="5"/>
        <v>2.4005555555555556</v>
      </c>
      <c r="J66" s="610"/>
      <c r="K66" s="611"/>
      <c r="L66" s="611"/>
      <c r="M66" s="612"/>
    </row>
    <row r="67" spans="1:14" s="8" customFormat="1">
      <c r="A67" s="607"/>
      <c r="B67" s="609" t="s">
        <v>53</v>
      </c>
      <c r="C67" s="609"/>
      <c r="D67" s="473">
        <f>SUM(D61,D64)</f>
        <v>1717</v>
      </c>
      <c r="E67" s="473">
        <f>SUM(E61,E64)</f>
        <v>1208.3000000000002</v>
      </c>
      <c r="F67" s="32">
        <f t="shared" si="4"/>
        <v>0.70372743156668616</v>
      </c>
      <c r="G67" s="473">
        <f>SUM(G61,G64)</f>
        <v>17793</v>
      </c>
      <c r="H67" s="473">
        <f>SUM(H61,H64)</f>
        <v>14137</v>
      </c>
      <c r="I67" s="32">
        <f t="shared" si="5"/>
        <v>0.79452593716630138</v>
      </c>
      <c r="J67" s="610"/>
      <c r="K67" s="611"/>
      <c r="L67" s="611"/>
      <c r="M67" s="612"/>
    </row>
    <row r="68" spans="1:14" s="8" customFormat="1" ht="14" thickBot="1">
      <c r="A68" s="608"/>
      <c r="B68" s="613" t="s">
        <v>59</v>
      </c>
      <c r="C68" s="613"/>
      <c r="D68" s="481">
        <f>SUM(D66:D67)</f>
        <v>1735</v>
      </c>
      <c r="E68" s="481">
        <f>SUM(E66:E67)</f>
        <v>1241.3000000000002</v>
      </c>
      <c r="F68" s="34">
        <f t="shared" si="4"/>
        <v>0.71544668587896265</v>
      </c>
      <c r="G68" s="481">
        <f>SUM(G66:G67)</f>
        <v>17973</v>
      </c>
      <c r="H68" s="481">
        <f>SUM(H66:H67)</f>
        <v>14569.1</v>
      </c>
      <c r="I68" s="34">
        <f t="shared" si="5"/>
        <v>0.8106103599844211</v>
      </c>
      <c r="J68" s="614"/>
      <c r="K68" s="615"/>
      <c r="L68" s="615"/>
      <c r="M68" s="616"/>
    </row>
    <row r="69" spans="1:14">
      <c r="A69" s="593" t="s">
        <v>60</v>
      </c>
      <c r="B69" s="525" t="s">
        <v>29</v>
      </c>
      <c r="C69" s="27" t="s">
        <v>52</v>
      </c>
      <c r="D69" s="65">
        <v>1550</v>
      </c>
      <c r="E69" s="490">
        <v>313</v>
      </c>
      <c r="F69" s="28">
        <f t="shared" si="4"/>
        <v>0.20193548387096774</v>
      </c>
      <c r="G69" s="66">
        <f>D69+'2017SEP'!G69</f>
        <v>8525</v>
      </c>
      <c r="H69" s="66">
        <f>E69+'2017SEP'!H69</f>
        <v>3890</v>
      </c>
      <c r="I69" s="28">
        <f t="shared" si="5"/>
        <v>0.4563049853372434</v>
      </c>
      <c r="J69" s="596"/>
      <c r="K69" s="597"/>
      <c r="L69" s="597"/>
      <c r="M69" s="598"/>
    </row>
    <row r="70" spans="1:14">
      <c r="A70" s="594"/>
      <c r="B70" s="525"/>
      <c r="C70" s="27" t="s">
        <v>53</v>
      </c>
      <c r="D70" s="65">
        <v>12797</v>
      </c>
      <c r="E70" s="479">
        <f>E21-E69</f>
        <v>9322</v>
      </c>
      <c r="F70" s="28">
        <f t="shared" si="4"/>
        <v>0.72845198093303121</v>
      </c>
      <c r="G70" s="66">
        <f>D70+'2017SEP'!G70</f>
        <v>132613</v>
      </c>
      <c r="H70" s="66">
        <f>E70+'2017SEP'!H70</f>
        <v>104932</v>
      </c>
      <c r="I70" s="28">
        <f t="shared" si="5"/>
        <v>0.79126480812590017</v>
      </c>
      <c r="J70" s="596"/>
      <c r="K70" s="597"/>
      <c r="L70" s="597"/>
      <c r="M70" s="598"/>
    </row>
    <row r="71" spans="1:14">
      <c r="A71" s="595"/>
      <c r="B71" s="525"/>
      <c r="C71" s="29" t="s">
        <v>54</v>
      </c>
      <c r="D71" s="487">
        <f>SUM(D69:D70)</f>
        <v>14347</v>
      </c>
      <c r="E71" s="487">
        <f>SUM(E69:E70)</f>
        <v>9635</v>
      </c>
      <c r="F71" s="30">
        <f t="shared" si="4"/>
        <v>0.67156896912246467</v>
      </c>
      <c r="G71" s="487">
        <f>SUM(G69:G70)</f>
        <v>141138</v>
      </c>
      <c r="H71" s="487">
        <f>SUM(H69:H70)</f>
        <v>108822</v>
      </c>
      <c r="I71" s="30">
        <f t="shared" si="5"/>
        <v>0.77103260638523996</v>
      </c>
      <c r="J71" s="599"/>
      <c r="K71" s="600"/>
      <c r="L71" s="600"/>
      <c r="M71" s="601"/>
    </row>
    <row r="72" spans="1:14">
      <c r="A72" s="602" t="s">
        <v>61</v>
      </c>
      <c r="B72" s="525" t="s">
        <v>52</v>
      </c>
      <c r="C72" s="525"/>
      <c r="D72" s="65">
        <v>200</v>
      </c>
      <c r="E72" s="490">
        <v>17</v>
      </c>
      <c r="F72" s="28">
        <f t="shared" si="4"/>
        <v>8.5000000000000006E-2</v>
      </c>
      <c r="G72" s="66">
        <f>D72+'2017SEP'!G72</f>
        <v>1100</v>
      </c>
      <c r="H72" s="66">
        <f>E72+'2017SEP'!H72</f>
        <v>431</v>
      </c>
      <c r="I72" s="28">
        <f t="shared" si="5"/>
        <v>0.39181818181818184</v>
      </c>
      <c r="J72" s="596"/>
      <c r="K72" s="597"/>
      <c r="L72" s="597"/>
      <c r="M72" s="598"/>
    </row>
    <row r="73" spans="1:14">
      <c r="A73" s="602"/>
      <c r="B73" s="525" t="s">
        <v>53</v>
      </c>
      <c r="C73" s="525"/>
      <c r="D73" s="65">
        <v>4375</v>
      </c>
      <c r="E73" s="479">
        <f>E23-E72</f>
        <v>2761</v>
      </c>
      <c r="F73" s="28">
        <f t="shared" si="4"/>
        <v>0.63108571428571425</v>
      </c>
      <c r="G73" s="66">
        <f>D73+'2017SEP'!G73</f>
        <v>45333</v>
      </c>
      <c r="H73" s="66">
        <f>E73+'2017SEP'!H73</f>
        <v>36438</v>
      </c>
      <c r="I73" s="28">
        <f t="shared" si="5"/>
        <v>0.80378532195089669</v>
      </c>
      <c r="J73" s="596"/>
      <c r="K73" s="597"/>
      <c r="L73" s="597"/>
      <c r="M73" s="598"/>
    </row>
    <row r="74" spans="1:14">
      <c r="A74" s="602"/>
      <c r="B74" s="603" t="s">
        <v>30</v>
      </c>
      <c r="C74" s="603"/>
      <c r="D74" s="474">
        <f>SUM(D72:D73)</f>
        <v>4575</v>
      </c>
      <c r="E74" s="474">
        <f>SUM(E72:E73)</f>
        <v>2778</v>
      </c>
      <c r="F74" s="31">
        <f t="shared" si="4"/>
        <v>0.60721311475409834</v>
      </c>
      <c r="G74" s="474">
        <f>SUM(G72:G73)</f>
        <v>46433</v>
      </c>
      <c r="H74" s="474">
        <f>SUM(H72:H73)</f>
        <v>36869</v>
      </c>
      <c r="I74" s="31">
        <f t="shared" si="5"/>
        <v>0.7940258006159413</v>
      </c>
      <c r="J74" s="604"/>
      <c r="K74" s="605"/>
      <c r="L74" s="605"/>
      <c r="M74" s="606"/>
    </row>
    <row r="75" spans="1:14" s="8" customFormat="1">
      <c r="A75" s="607" t="s">
        <v>46</v>
      </c>
      <c r="B75" s="609" t="s">
        <v>52</v>
      </c>
      <c r="C75" s="609"/>
      <c r="D75" s="473">
        <f>SUM(D69,D72)</f>
        <v>1750</v>
      </c>
      <c r="E75" s="473">
        <f>SUM(E69,E72)</f>
        <v>330</v>
      </c>
      <c r="F75" s="32">
        <f t="shared" si="4"/>
        <v>0.18857142857142858</v>
      </c>
      <c r="G75" s="473">
        <f>SUM(G69,G72)</f>
        <v>9625</v>
      </c>
      <c r="H75" s="473">
        <f>SUM(H69,H72)</f>
        <v>4321</v>
      </c>
      <c r="I75" s="32">
        <f t="shared" si="5"/>
        <v>0.44893506493506491</v>
      </c>
      <c r="J75" s="610"/>
      <c r="K75" s="611"/>
      <c r="L75" s="611"/>
      <c r="M75" s="612"/>
    </row>
    <row r="76" spans="1:14" s="8" customFormat="1">
      <c r="A76" s="607"/>
      <c r="B76" s="609" t="s">
        <v>53</v>
      </c>
      <c r="C76" s="609"/>
      <c r="D76" s="473">
        <f>SUM(D70,D73)</f>
        <v>17172</v>
      </c>
      <c r="E76" s="473">
        <f>SUM(E70,E73)</f>
        <v>12083</v>
      </c>
      <c r="F76" s="32">
        <f t="shared" si="4"/>
        <v>0.70364546936873984</v>
      </c>
      <c r="G76" s="473">
        <f>SUM(G70,G73)</f>
        <v>177946</v>
      </c>
      <c r="H76" s="473">
        <f>SUM(H70,H73)</f>
        <v>141370</v>
      </c>
      <c r="I76" s="32">
        <f t="shared" si="5"/>
        <v>0.79445449743180518</v>
      </c>
      <c r="J76" s="610"/>
      <c r="K76" s="611"/>
      <c r="L76" s="611"/>
      <c r="M76" s="612"/>
    </row>
    <row r="77" spans="1:14" s="8" customFormat="1" ht="14" thickBot="1">
      <c r="A77" s="608"/>
      <c r="B77" s="613" t="s">
        <v>62</v>
      </c>
      <c r="C77" s="613"/>
      <c r="D77" s="481">
        <f>SUM(D75:D76)</f>
        <v>18922</v>
      </c>
      <c r="E77" s="481">
        <f>SUM(E75:E76)</f>
        <v>12413</v>
      </c>
      <c r="F77" s="34">
        <f t="shared" si="4"/>
        <v>0.65600887855406409</v>
      </c>
      <c r="G77" s="481">
        <f>SUM(G75:G76)</f>
        <v>187571</v>
      </c>
      <c r="H77" s="481">
        <f>SUM(H75:H76)</f>
        <v>145691</v>
      </c>
      <c r="I77" s="34">
        <f t="shared" si="5"/>
        <v>0.7767245469715468</v>
      </c>
      <c r="J77" s="614"/>
      <c r="K77" s="615"/>
      <c r="L77" s="615"/>
      <c r="M77" s="616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581" t="s">
        <v>65</v>
      </c>
      <c r="B82" s="582" t="s">
        <v>66</v>
      </c>
      <c r="C82" s="582" t="s">
        <v>50</v>
      </c>
      <c r="D82" s="582" t="s">
        <v>20</v>
      </c>
      <c r="E82" s="582"/>
      <c r="F82" s="582"/>
      <c r="G82" s="582" t="s">
        <v>21</v>
      </c>
      <c r="H82" s="582"/>
      <c r="I82" s="582"/>
      <c r="J82" s="582" t="s">
        <v>10</v>
      </c>
      <c r="K82" s="582"/>
      <c r="L82" s="582"/>
      <c r="M82" s="585"/>
    </row>
    <row r="83" spans="1:13">
      <c r="A83" s="583"/>
      <c r="B83" s="584"/>
      <c r="C83" s="584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584"/>
      <c r="K83" s="584"/>
      <c r="L83" s="584"/>
      <c r="M83" s="586"/>
    </row>
    <row r="84" spans="1:13">
      <c r="A84" s="573" t="s">
        <v>67</v>
      </c>
      <c r="B84" s="525" t="s">
        <v>68</v>
      </c>
      <c r="C84" s="27" t="s">
        <v>69</v>
      </c>
      <c r="D84" s="65">
        <v>0</v>
      </c>
      <c r="E84" s="490">
        <v>0</v>
      </c>
      <c r="F84" s="498" t="e">
        <f>E84/D84</f>
        <v>#DIV/0!</v>
      </c>
      <c r="G84" s="66">
        <f>D84+'2017SEP'!G84</f>
        <v>2</v>
      </c>
      <c r="H84" s="66">
        <f>E84+'2017SEP'!H84</f>
        <v>3</v>
      </c>
      <c r="I84" s="498">
        <f>H84/G84</f>
        <v>1.5</v>
      </c>
      <c r="J84" s="596"/>
      <c r="K84" s="597"/>
      <c r="L84" s="597"/>
      <c r="M84" s="598"/>
    </row>
    <row r="85" spans="1:13">
      <c r="A85" s="573"/>
      <c r="B85" s="525"/>
      <c r="C85" s="27" t="s">
        <v>70</v>
      </c>
      <c r="D85" s="65">
        <v>85</v>
      </c>
      <c r="E85" s="490">
        <v>53</v>
      </c>
      <c r="F85" s="28">
        <f t="shared" ref="F85:F98" si="6">E85/D85</f>
        <v>0.62352941176470589</v>
      </c>
      <c r="G85" s="66">
        <f>D85+'2017SEP'!G85</f>
        <v>848</v>
      </c>
      <c r="H85" s="66">
        <f>E85+'2017SEP'!H85</f>
        <v>627.5</v>
      </c>
      <c r="I85" s="28">
        <f t="shared" ref="I85:I98" si="7">H85/G85</f>
        <v>0.73997641509433965</v>
      </c>
      <c r="J85" s="596"/>
      <c r="K85" s="597"/>
      <c r="L85" s="597"/>
      <c r="M85" s="598"/>
    </row>
    <row r="86" spans="1:13">
      <c r="A86" s="573"/>
      <c r="B86" s="525"/>
      <c r="C86" s="38" t="s">
        <v>71</v>
      </c>
      <c r="D86" s="487">
        <f>SUM(D84:D85)</f>
        <v>85</v>
      </c>
      <c r="E86" s="487">
        <f>SUM(E84:E85)</f>
        <v>53</v>
      </c>
      <c r="F86" s="30">
        <f t="shared" si="6"/>
        <v>0.62352941176470589</v>
      </c>
      <c r="G86" s="487">
        <f>SUM(G84:G85)</f>
        <v>850</v>
      </c>
      <c r="H86" s="487">
        <f>SUM(H84:H85)</f>
        <v>630.5</v>
      </c>
      <c r="I86" s="30">
        <f t="shared" si="7"/>
        <v>0.74176470588235299</v>
      </c>
      <c r="J86" s="599"/>
      <c r="K86" s="600"/>
      <c r="L86" s="600"/>
      <c r="M86" s="601"/>
    </row>
    <row r="87" spans="1:13">
      <c r="A87" s="573"/>
      <c r="B87" s="525" t="s">
        <v>72</v>
      </c>
      <c r="C87" s="27" t="s">
        <v>69</v>
      </c>
      <c r="D87" s="65">
        <v>0</v>
      </c>
      <c r="E87" s="490">
        <v>0</v>
      </c>
      <c r="F87" s="28" t="e">
        <f t="shared" si="6"/>
        <v>#DIV/0!</v>
      </c>
      <c r="G87" s="66">
        <f>D87+'2017SEP'!G87</f>
        <v>1</v>
      </c>
      <c r="H87" s="66">
        <f>E87+'2017SEP'!H87</f>
        <v>7</v>
      </c>
      <c r="I87" s="28">
        <f t="shared" si="7"/>
        <v>7</v>
      </c>
      <c r="J87" s="596"/>
      <c r="K87" s="597"/>
      <c r="L87" s="597"/>
      <c r="M87" s="598"/>
    </row>
    <row r="88" spans="1:13">
      <c r="A88" s="573"/>
      <c r="B88" s="525"/>
      <c r="C88" s="27" t="s">
        <v>70</v>
      </c>
      <c r="D88" s="65">
        <v>20</v>
      </c>
      <c r="E88" s="490">
        <v>13</v>
      </c>
      <c r="F88" s="28">
        <f t="shared" si="6"/>
        <v>0.65</v>
      </c>
      <c r="G88" s="66">
        <f>D88+'2017SEP'!G88</f>
        <v>199</v>
      </c>
      <c r="H88" s="66">
        <f>E88+'2017SEP'!H88</f>
        <v>161</v>
      </c>
      <c r="I88" s="28">
        <f t="shared" si="7"/>
        <v>0.80904522613065322</v>
      </c>
      <c r="J88" s="596"/>
      <c r="K88" s="597"/>
      <c r="L88" s="597"/>
      <c r="M88" s="598"/>
    </row>
    <row r="89" spans="1:13">
      <c r="A89" s="573"/>
      <c r="B89" s="525"/>
      <c r="C89" s="38" t="s">
        <v>71</v>
      </c>
      <c r="D89" s="487">
        <f>SUM(D87:D88)</f>
        <v>20</v>
      </c>
      <c r="E89" s="487">
        <f>SUM(E87:E88)</f>
        <v>13</v>
      </c>
      <c r="F89" s="30">
        <f t="shared" si="6"/>
        <v>0.65</v>
      </c>
      <c r="G89" s="487">
        <f>SUM(G87:G88)</f>
        <v>200</v>
      </c>
      <c r="H89" s="487">
        <f>SUM(H87:H88)</f>
        <v>168</v>
      </c>
      <c r="I89" s="30">
        <f t="shared" si="7"/>
        <v>0.84</v>
      </c>
      <c r="J89" s="599"/>
      <c r="K89" s="600"/>
      <c r="L89" s="600"/>
      <c r="M89" s="601"/>
    </row>
    <row r="90" spans="1:13">
      <c r="A90" s="573"/>
      <c r="B90" s="525" t="s">
        <v>73</v>
      </c>
      <c r="C90" s="27" t="s">
        <v>69</v>
      </c>
      <c r="D90" s="65">
        <v>0</v>
      </c>
      <c r="E90" s="490">
        <v>0</v>
      </c>
      <c r="F90" s="28" t="e">
        <f t="shared" si="6"/>
        <v>#DIV/0!</v>
      </c>
      <c r="G90" s="66">
        <f>D90+'2017SEP'!G90</f>
        <v>2</v>
      </c>
      <c r="H90" s="66">
        <f>E90+'2017SEP'!H90</f>
        <v>21</v>
      </c>
      <c r="I90" s="28">
        <f t="shared" si="7"/>
        <v>10.5</v>
      </c>
      <c r="J90" s="596"/>
      <c r="K90" s="597"/>
      <c r="L90" s="597"/>
      <c r="M90" s="598"/>
    </row>
    <row r="91" spans="1:13">
      <c r="A91" s="573"/>
      <c r="B91" s="525"/>
      <c r="C91" s="27" t="s">
        <v>70</v>
      </c>
      <c r="D91" s="65">
        <v>51</v>
      </c>
      <c r="E91" s="490">
        <v>42</v>
      </c>
      <c r="F91" s="28">
        <f t="shared" si="6"/>
        <v>0.82352941176470584</v>
      </c>
      <c r="G91" s="66">
        <f>D91+'2017SEP'!G91</f>
        <v>506</v>
      </c>
      <c r="H91" s="66">
        <f>E91+'2017SEP'!H91</f>
        <v>439.5</v>
      </c>
      <c r="I91" s="28">
        <f t="shared" si="7"/>
        <v>0.86857707509881421</v>
      </c>
      <c r="J91" s="596"/>
      <c r="K91" s="597"/>
      <c r="L91" s="597"/>
      <c r="M91" s="598"/>
    </row>
    <row r="92" spans="1:13">
      <c r="A92" s="573"/>
      <c r="B92" s="525"/>
      <c r="C92" s="38" t="s">
        <v>71</v>
      </c>
      <c r="D92" s="487">
        <f>SUM(D90:D91)</f>
        <v>51</v>
      </c>
      <c r="E92" s="487">
        <f>SUM(E90:E91)</f>
        <v>42</v>
      </c>
      <c r="F92" s="30">
        <f t="shared" si="6"/>
        <v>0.82352941176470584</v>
      </c>
      <c r="G92" s="487">
        <f>SUM(G90:G91)</f>
        <v>508</v>
      </c>
      <c r="H92" s="487">
        <f>SUM(H90:H91)</f>
        <v>460.5</v>
      </c>
      <c r="I92" s="30">
        <f t="shared" si="7"/>
        <v>0.90649606299212604</v>
      </c>
      <c r="J92" s="599"/>
      <c r="K92" s="600"/>
      <c r="L92" s="600"/>
      <c r="M92" s="601"/>
    </row>
    <row r="93" spans="1:13">
      <c r="A93" s="573"/>
      <c r="B93" s="525" t="s">
        <v>74</v>
      </c>
      <c r="C93" s="27" t="s">
        <v>69</v>
      </c>
      <c r="D93" s="65">
        <v>0</v>
      </c>
      <c r="E93" s="490">
        <v>5</v>
      </c>
      <c r="F93" s="28" t="e">
        <f t="shared" si="6"/>
        <v>#DIV/0!</v>
      </c>
      <c r="G93" s="66">
        <f>D93+'2017SEP'!G93</f>
        <v>4</v>
      </c>
      <c r="H93" s="66">
        <f>E93+'2017SEP'!H93</f>
        <v>51.5</v>
      </c>
      <c r="I93" s="28">
        <f t="shared" si="7"/>
        <v>12.875</v>
      </c>
      <c r="J93" s="596"/>
      <c r="K93" s="597"/>
      <c r="L93" s="597"/>
      <c r="M93" s="598"/>
    </row>
    <row r="94" spans="1:13">
      <c r="A94" s="573"/>
      <c r="B94" s="525"/>
      <c r="C94" s="27" t="s">
        <v>70</v>
      </c>
      <c r="D94" s="65">
        <v>93</v>
      </c>
      <c r="E94" s="490">
        <v>88</v>
      </c>
      <c r="F94" s="28">
        <f t="shared" si="6"/>
        <v>0.94623655913978499</v>
      </c>
      <c r="G94" s="66">
        <f>D94+'2017SEP'!G94</f>
        <v>918</v>
      </c>
      <c r="H94" s="66">
        <f>E94+'2017SEP'!H94</f>
        <v>862</v>
      </c>
      <c r="I94" s="28">
        <f t="shared" si="7"/>
        <v>0.93899782135076248</v>
      </c>
      <c r="J94" s="596"/>
      <c r="K94" s="597"/>
      <c r="L94" s="597"/>
      <c r="M94" s="598"/>
    </row>
    <row r="95" spans="1:13">
      <c r="A95" s="573"/>
      <c r="B95" s="525"/>
      <c r="C95" s="38" t="s">
        <v>71</v>
      </c>
      <c r="D95" s="487">
        <f>SUM(D93:D94)</f>
        <v>93</v>
      </c>
      <c r="E95" s="487">
        <f>SUM(E93:E94)</f>
        <v>93</v>
      </c>
      <c r="F95" s="30">
        <f t="shared" si="6"/>
        <v>1</v>
      </c>
      <c r="G95" s="487">
        <f>SUM(G93:G94)</f>
        <v>922</v>
      </c>
      <c r="H95" s="487">
        <f>SUM(H93:H94)</f>
        <v>913.5</v>
      </c>
      <c r="I95" s="30">
        <f t="shared" si="7"/>
        <v>0.99078091106290678</v>
      </c>
      <c r="J95" s="599"/>
      <c r="K95" s="600"/>
      <c r="L95" s="600"/>
      <c r="M95" s="601"/>
    </row>
    <row r="96" spans="1:13">
      <c r="A96" s="573"/>
      <c r="B96" s="603" t="s">
        <v>46</v>
      </c>
      <c r="C96" s="39" t="s">
        <v>69</v>
      </c>
      <c r="D96" s="474">
        <f>SUM(D84,D87,D90,D93)</f>
        <v>0</v>
      </c>
      <c r="E96" s="474">
        <f>SUM(E84,E87,E90,E93)</f>
        <v>5</v>
      </c>
      <c r="F96" s="31" t="e">
        <f t="shared" si="6"/>
        <v>#DIV/0!</v>
      </c>
      <c r="G96" s="474">
        <f>SUM(G84,G87,G90,G93)</f>
        <v>9</v>
      </c>
      <c r="H96" s="474">
        <f>SUM(H84,H87,H90,H93)</f>
        <v>82.5</v>
      </c>
      <c r="I96" s="31">
        <f t="shared" si="7"/>
        <v>9.1666666666666661</v>
      </c>
      <c r="J96" s="604"/>
      <c r="K96" s="605"/>
      <c r="L96" s="605"/>
      <c r="M96" s="606"/>
    </row>
    <row r="97" spans="1:13">
      <c r="A97" s="573"/>
      <c r="B97" s="603"/>
      <c r="C97" s="39" t="s">
        <v>70</v>
      </c>
      <c r="D97" s="474">
        <f>SUM(D85,D88,D91,D94)</f>
        <v>249</v>
      </c>
      <c r="E97" s="474">
        <f>SUM(E85,E88,E91,E94)</f>
        <v>196</v>
      </c>
      <c r="F97" s="31">
        <f t="shared" si="6"/>
        <v>0.78714859437751006</v>
      </c>
      <c r="G97" s="474">
        <f>SUM(G85,G88,G91,G94)</f>
        <v>2471</v>
      </c>
      <c r="H97" s="474">
        <f>SUM(H85,H88,H91,H94)</f>
        <v>2090</v>
      </c>
      <c r="I97" s="31">
        <f t="shared" si="7"/>
        <v>0.84581141238365032</v>
      </c>
      <c r="J97" s="604"/>
      <c r="K97" s="605"/>
      <c r="L97" s="605"/>
      <c r="M97" s="606"/>
    </row>
    <row r="98" spans="1:13" ht="14" thickBot="1">
      <c r="A98" s="623"/>
      <c r="B98" s="624"/>
      <c r="C98" s="40" t="s">
        <v>46</v>
      </c>
      <c r="D98" s="475">
        <f>SUM(D96:D97)</f>
        <v>249</v>
      </c>
      <c r="E98" s="475">
        <f>SUM(E96:E97)</f>
        <v>201</v>
      </c>
      <c r="F98" s="41">
        <f t="shared" si="6"/>
        <v>0.80722891566265065</v>
      </c>
      <c r="G98" s="475">
        <f>SUM(G96:G97)</f>
        <v>2480</v>
      </c>
      <c r="H98" s="475">
        <f>SUM(H96:H97)</f>
        <v>2172.5</v>
      </c>
      <c r="I98" s="41">
        <f t="shared" si="7"/>
        <v>0.876008064516129</v>
      </c>
      <c r="J98" s="625"/>
      <c r="K98" s="626"/>
      <c r="L98" s="626"/>
      <c r="M98" s="627"/>
    </row>
    <row r="99" spans="1:13" ht="14" thickBot="1">
      <c r="A99" s="617" t="s">
        <v>75</v>
      </c>
      <c r="B99" s="619" t="s">
        <v>76</v>
      </c>
      <c r="C99" s="42" t="s">
        <v>69</v>
      </c>
      <c r="D99" s="69">
        <v>1</v>
      </c>
      <c r="E99" s="64">
        <v>4</v>
      </c>
      <c r="F99" s="499">
        <f>E99/D99</f>
        <v>4</v>
      </c>
      <c r="G99" s="70">
        <f>D99+'2017SEP'!G99</f>
        <v>3</v>
      </c>
      <c r="H99" s="70">
        <f>E99+'2017SEP'!H99</f>
        <v>12</v>
      </c>
      <c r="I99" s="499">
        <f>H99/G99</f>
        <v>4</v>
      </c>
      <c r="J99" s="620"/>
      <c r="K99" s="621"/>
      <c r="L99" s="621"/>
      <c r="M99" s="622"/>
    </row>
    <row r="100" spans="1:13" ht="13.5" customHeight="1">
      <c r="A100" s="562"/>
      <c r="B100" s="525"/>
      <c r="C100" s="27" t="s">
        <v>70</v>
      </c>
      <c r="D100" s="65">
        <v>75</v>
      </c>
      <c r="E100" s="490">
        <v>40</v>
      </c>
      <c r="F100" s="28">
        <f t="shared" ref="F100:F109" si="8">E100/D100</f>
        <v>0.53333333333333333</v>
      </c>
      <c r="G100" s="70">
        <f>D100+'2017SEP'!G100</f>
        <v>748</v>
      </c>
      <c r="H100" s="71">
        <f>E100+'2017SEP'!H100</f>
        <v>525</v>
      </c>
      <c r="I100" s="28">
        <f t="shared" ref="I100:I109" si="9">H100/G100</f>
        <v>0.70187165775401072</v>
      </c>
      <c r="J100" s="596"/>
      <c r="K100" s="597"/>
      <c r="L100" s="597"/>
      <c r="M100" s="598"/>
    </row>
    <row r="101" spans="1:13" ht="13.5" customHeight="1">
      <c r="A101" s="562"/>
      <c r="B101" s="525"/>
      <c r="C101" s="38" t="s">
        <v>71</v>
      </c>
      <c r="D101" s="487">
        <f>SUM(D99:D100)</f>
        <v>76</v>
      </c>
      <c r="E101" s="487">
        <f>SUM(E99:E100)</f>
        <v>44</v>
      </c>
      <c r="F101" s="30">
        <f t="shared" si="8"/>
        <v>0.57894736842105265</v>
      </c>
      <c r="G101" s="487">
        <f>SUM(G99:G100)</f>
        <v>751</v>
      </c>
      <c r="H101" s="487">
        <f>SUM(H99:H100)</f>
        <v>537</v>
      </c>
      <c r="I101" s="30">
        <f t="shared" si="9"/>
        <v>0.71504660452729696</v>
      </c>
      <c r="J101" s="599"/>
      <c r="K101" s="600"/>
      <c r="L101" s="600"/>
      <c r="M101" s="601"/>
    </row>
    <row r="102" spans="1:13" ht="13.5" customHeight="1">
      <c r="A102" s="562"/>
      <c r="B102" s="525" t="s">
        <v>77</v>
      </c>
      <c r="C102" s="27" t="s">
        <v>69</v>
      </c>
      <c r="D102" s="65">
        <v>0</v>
      </c>
      <c r="E102" s="490">
        <v>0</v>
      </c>
      <c r="F102" s="28" t="e">
        <f t="shared" si="8"/>
        <v>#DIV/0!</v>
      </c>
      <c r="G102" s="66">
        <f>D102+'2017SEP'!G102</f>
        <v>2</v>
      </c>
      <c r="H102" s="66">
        <f>E102+'2017SEP'!H102</f>
        <v>19</v>
      </c>
      <c r="I102" s="28">
        <f t="shared" si="9"/>
        <v>9.5</v>
      </c>
      <c r="J102" s="596"/>
      <c r="K102" s="597"/>
      <c r="L102" s="597"/>
      <c r="M102" s="598"/>
    </row>
    <row r="103" spans="1:13" ht="13.5" customHeight="1">
      <c r="A103" s="562"/>
      <c r="B103" s="525"/>
      <c r="C103" s="27" t="s">
        <v>70</v>
      </c>
      <c r="D103" s="65">
        <v>41</v>
      </c>
      <c r="E103" s="490">
        <v>32</v>
      </c>
      <c r="F103" s="28">
        <f t="shared" si="8"/>
        <v>0.78048780487804881</v>
      </c>
      <c r="G103" s="66">
        <f>D103+'2017SEP'!G103</f>
        <v>408</v>
      </c>
      <c r="H103" s="66">
        <f>E103+'2017SEP'!H103</f>
        <v>339</v>
      </c>
      <c r="I103" s="28">
        <f t="shared" si="9"/>
        <v>0.83088235294117652</v>
      </c>
      <c r="J103" s="596"/>
      <c r="K103" s="597"/>
      <c r="L103" s="597"/>
      <c r="M103" s="598"/>
    </row>
    <row r="104" spans="1:13" ht="13.5" customHeight="1">
      <c r="A104" s="562"/>
      <c r="B104" s="525"/>
      <c r="C104" s="38" t="s">
        <v>71</v>
      </c>
      <c r="D104" s="487">
        <f>SUM(D102:D103)</f>
        <v>41</v>
      </c>
      <c r="E104" s="487">
        <f>SUM(E102:E103)</f>
        <v>32</v>
      </c>
      <c r="F104" s="30">
        <f t="shared" si="8"/>
        <v>0.78048780487804881</v>
      </c>
      <c r="G104" s="487">
        <f>SUM(G102:G103)</f>
        <v>410</v>
      </c>
      <c r="H104" s="487">
        <f>SUM(H102:H103)</f>
        <v>358</v>
      </c>
      <c r="I104" s="30">
        <f t="shared" si="9"/>
        <v>0.87317073170731707</v>
      </c>
      <c r="J104" s="599"/>
      <c r="K104" s="600"/>
      <c r="L104" s="600"/>
      <c r="M104" s="601"/>
    </row>
    <row r="105" spans="1:13" ht="13.5" customHeight="1">
      <c r="A105" s="562"/>
      <c r="B105" s="603" t="s">
        <v>46</v>
      </c>
      <c r="C105" s="39" t="s">
        <v>69</v>
      </c>
      <c r="D105" s="474">
        <f>SUM(D99,D102)</f>
        <v>1</v>
      </c>
      <c r="E105" s="474">
        <f>SUM(E99,E102)</f>
        <v>4</v>
      </c>
      <c r="F105" s="30">
        <f t="shared" si="8"/>
        <v>4</v>
      </c>
      <c r="G105" s="474">
        <f>SUM(G99,G102)</f>
        <v>5</v>
      </c>
      <c r="H105" s="474">
        <f>SUM(H99,H102)</f>
        <v>31</v>
      </c>
      <c r="I105" s="30">
        <f t="shared" si="9"/>
        <v>6.2</v>
      </c>
      <c r="J105" s="604"/>
      <c r="K105" s="605"/>
      <c r="L105" s="605"/>
      <c r="M105" s="606"/>
    </row>
    <row r="106" spans="1:13" ht="13.5" customHeight="1">
      <c r="A106" s="562"/>
      <c r="B106" s="603"/>
      <c r="C106" s="39" t="s">
        <v>70</v>
      </c>
      <c r="D106" s="474">
        <f>SUM(D100,D103)</f>
        <v>116</v>
      </c>
      <c r="E106" s="474">
        <f>SUM(E100,E103)</f>
        <v>72</v>
      </c>
      <c r="F106" s="30">
        <f t="shared" si="8"/>
        <v>0.62068965517241381</v>
      </c>
      <c r="G106" s="474">
        <f>SUM(G100,G103)</f>
        <v>1156</v>
      </c>
      <c r="H106" s="474">
        <f>SUM(H100,H103)</f>
        <v>864</v>
      </c>
      <c r="I106" s="30">
        <f t="shared" si="9"/>
        <v>0.74740484429065746</v>
      </c>
      <c r="J106" s="604"/>
      <c r="K106" s="605"/>
      <c r="L106" s="605"/>
      <c r="M106" s="606"/>
    </row>
    <row r="107" spans="1:13" ht="14.25" customHeight="1" thickBot="1">
      <c r="A107" s="618"/>
      <c r="B107" s="624"/>
      <c r="C107" s="40" t="s">
        <v>46</v>
      </c>
      <c r="D107" s="475">
        <f>SUM(D105:D106)</f>
        <v>117</v>
      </c>
      <c r="E107" s="475">
        <f>SUM(E105:E106)</f>
        <v>76</v>
      </c>
      <c r="F107" s="41">
        <f t="shared" si="8"/>
        <v>0.6495726495726496</v>
      </c>
      <c r="G107" s="475">
        <f>SUM(G105:G106)</f>
        <v>1161</v>
      </c>
      <c r="H107" s="475">
        <f>SUM(H105:H106)</f>
        <v>895</v>
      </c>
      <c r="I107" s="41">
        <f t="shared" si="9"/>
        <v>0.7708871662360034</v>
      </c>
      <c r="J107" s="625"/>
      <c r="K107" s="626"/>
      <c r="L107" s="626"/>
      <c r="M107" s="627"/>
    </row>
    <row r="108" spans="1:13">
      <c r="A108" s="635" t="s">
        <v>46</v>
      </c>
      <c r="B108" s="635"/>
      <c r="C108" s="44" t="s">
        <v>69</v>
      </c>
      <c r="D108" s="472">
        <f>SUM(D96,D105)</f>
        <v>1</v>
      </c>
      <c r="E108" s="472">
        <f>SUM(E96,E105)</f>
        <v>9</v>
      </c>
      <c r="F108" s="45">
        <f t="shared" si="8"/>
        <v>9</v>
      </c>
      <c r="G108" s="46">
        <f>SUM(G96,G105)</f>
        <v>14</v>
      </c>
      <c r="H108" s="46">
        <f>SUM(H96,H105)</f>
        <v>113.5</v>
      </c>
      <c r="I108" s="45">
        <f t="shared" si="9"/>
        <v>8.1071428571428577</v>
      </c>
      <c r="J108" s="636"/>
      <c r="K108" s="637"/>
      <c r="L108" s="637"/>
      <c r="M108" s="638"/>
    </row>
    <row r="109" spans="1:13">
      <c r="A109" s="609"/>
      <c r="B109" s="609"/>
      <c r="C109" s="47" t="s">
        <v>70</v>
      </c>
      <c r="D109" s="473">
        <f>SUM(D97,D106)</f>
        <v>365</v>
      </c>
      <c r="E109" s="473">
        <f>SUM(E97,E106)</f>
        <v>268</v>
      </c>
      <c r="F109" s="32">
        <f t="shared" si="8"/>
        <v>0.73424657534246573</v>
      </c>
      <c r="G109" s="473">
        <f>SUM(G97,G106)</f>
        <v>3627</v>
      </c>
      <c r="H109" s="473">
        <f>SUM(H97,H106)</f>
        <v>2954</v>
      </c>
      <c r="I109" s="32">
        <f t="shared" si="9"/>
        <v>0.81444720154397576</v>
      </c>
      <c r="J109" s="639"/>
      <c r="K109" s="640"/>
      <c r="L109" s="640"/>
      <c r="M109" s="641"/>
    </row>
    <row r="110" spans="1:13">
      <c r="A110" s="609"/>
      <c r="B110" s="609"/>
      <c r="C110" s="48" t="s">
        <v>46</v>
      </c>
      <c r="D110" s="473">
        <f>SUM(D108:D109)</f>
        <v>366</v>
      </c>
      <c r="E110" s="473">
        <f>SUM(E108:E109)</f>
        <v>277</v>
      </c>
      <c r="F110" s="49">
        <f>E110/D110</f>
        <v>0.75683060109289613</v>
      </c>
      <c r="G110" s="472">
        <f>SUM(G108:G109)</f>
        <v>3641</v>
      </c>
      <c r="H110" s="472">
        <f>SUM(H108:H109)</f>
        <v>3067.5</v>
      </c>
      <c r="I110" s="49">
        <f>H110/G110</f>
        <v>0.84248832738258717</v>
      </c>
      <c r="J110" s="639"/>
      <c r="K110" s="640"/>
      <c r="L110" s="640"/>
      <c r="M110" s="641"/>
    </row>
    <row r="113" spans="1:13" ht="15" thickBot="1">
      <c r="A113" s="127" t="s">
        <v>78</v>
      </c>
    </row>
    <row r="114" spans="1:13">
      <c r="A114" s="642" t="s">
        <v>79</v>
      </c>
      <c r="B114" s="643"/>
      <c r="C114" s="644" t="s">
        <v>80</v>
      </c>
      <c r="D114" s="645"/>
      <c r="E114" s="644" t="s">
        <v>81</v>
      </c>
      <c r="F114" s="645"/>
      <c r="G114" s="644" t="s">
        <v>136</v>
      </c>
      <c r="H114" s="703"/>
      <c r="I114" s="769" t="s">
        <v>147</v>
      </c>
      <c r="J114" s="645"/>
      <c r="K114" s="646"/>
      <c r="L114" s="648"/>
    </row>
    <row r="115" spans="1:13" ht="15" customHeight="1">
      <c r="A115" s="628" t="s">
        <v>82</v>
      </c>
      <c r="B115" s="629"/>
      <c r="C115" s="630" t="s">
        <v>83</v>
      </c>
      <c r="D115" s="631"/>
      <c r="E115" s="630" t="s">
        <v>84</v>
      </c>
      <c r="F115" s="631"/>
      <c r="G115" s="630" t="s">
        <v>84</v>
      </c>
      <c r="H115" s="631"/>
      <c r="I115" s="630" t="s">
        <v>84</v>
      </c>
      <c r="J115" s="631"/>
      <c r="K115" s="632"/>
      <c r="L115" s="634"/>
    </row>
    <row r="116" spans="1:13" ht="15" customHeight="1">
      <c r="A116" s="628" t="s">
        <v>85</v>
      </c>
      <c r="B116" s="629"/>
      <c r="C116" s="630" t="s">
        <v>86</v>
      </c>
      <c r="D116" s="631"/>
      <c r="E116" s="630" t="s">
        <v>87</v>
      </c>
      <c r="F116" s="631"/>
      <c r="G116" s="630" t="s">
        <v>87</v>
      </c>
      <c r="H116" s="631"/>
      <c r="I116" s="630" t="s">
        <v>86</v>
      </c>
      <c r="J116" s="631"/>
      <c r="K116" s="632"/>
      <c r="L116" s="634"/>
    </row>
    <row r="117" spans="1:13" ht="15" customHeight="1">
      <c r="A117" s="628" t="s">
        <v>88</v>
      </c>
      <c r="B117" s="629"/>
      <c r="C117" s="630" t="s">
        <v>89</v>
      </c>
      <c r="D117" s="631"/>
      <c r="E117" s="630" t="s">
        <v>90</v>
      </c>
      <c r="F117" s="631"/>
      <c r="G117" s="630" t="s">
        <v>138</v>
      </c>
      <c r="H117" s="631"/>
      <c r="I117" s="630" t="s">
        <v>148</v>
      </c>
      <c r="J117" s="631"/>
      <c r="K117" s="632"/>
      <c r="L117" s="634"/>
    </row>
    <row r="118" spans="1:13">
      <c r="A118" s="628" t="s">
        <v>91</v>
      </c>
      <c r="B118" s="629"/>
      <c r="C118" s="649">
        <v>864</v>
      </c>
      <c r="D118" s="650"/>
      <c r="E118" s="649">
        <v>19</v>
      </c>
      <c r="F118" s="650"/>
      <c r="G118" s="649">
        <v>2</v>
      </c>
      <c r="H118" s="650"/>
      <c r="I118" s="649">
        <v>2</v>
      </c>
      <c r="J118" s="650"/>
      <c r="K118" s="632"/>
      <c r="L118" s="634"/>
    </row>
    <row r="119" spans="1:13">
      <c r="A119" s="628" t="s">
        <v>92</v>
      </c>
      <c r="B119" s="629"/>
      <c r="C119" s="630" t="s">
        <v>93</v>
      </c>
      <c r="D119" s="631"/>
      <c r="E119" s="630" t="s">
        <v>94</v>
      </c>
      <c r="F119" s="631"/>
      <c r="G119" s="630" t="s">
        <v>94</v>
      </c>
      <c r="H119" s="631"/>
      <c r="I119" s="630" t="s">
        <v>94</v>
      </c>
      <c r="J119" s="631"/>
      <c r="K119" s="632"/>
      <c r="L119" s="634"/>
    </row>
    <row r="120" spans="1:13">
      <c r="A120" s="628" t="s">
        <v>311</v>
      </c>
      <c r="B120" s="471" t="s">
        <v>96</v>
      </c>
      <c r="C120" s="630">
        <v>0</v>
      </c>
      <c r="D120" s="631"/>
      <c r="E120" s="630">
        <v>0</v>
      </c>
      <c r="F120" s="631"/>
      <c r="G120" s="630">
        <v>0</v>
      </c>
      <c r="H120" s="631"/>
      <c r="I120" s="630">
        <v>0</v>
      </c>
      <c r="J120" s="631"/>
      <c r="K120" s="632"/>
      <c r="L120" s="634"/>
    </row>
    <row r="121" spans="1:13">
      <c r="A121" s="628"/>
      <c r="B121" s="471" t="s">
        <v>97</v>
      </c>
      <c r="C121" s="630">
        <v>0</v>
      </c>
      <c r="D121" s="631"/>
      <c r="E121" s="630">
        <v>0</v>
      </c>
      <c r="F121" s="631"/>
      <c r="G121" s="630">
        <v>0</v>
      </c>
      <c r="H121" s="631"/>
      <c r="I121" s="630">
        <v>0</v>
      </c>
      <c r="J121" s="631"/>
      <c r="K121" s="632"/>
      <c r="L121" s="634"/>
    </row>
    <row r="122" spans="1:13">
      <c r="A122" s="628"/>
      <c r="B122" s="471" t="s">
        <v>98</v>
      </c>
      <c r="C122" s="651">
        <v>0</v>
      </c>
      <c r="D122" s="652"/>
      <c r="E122" s="651">
        <v>0</v>
      </c>
      <c r="F122" s="652"/>
      <c r="G122" s="651">
        <v>0</v>
      </c>
      <c r="H122" s="652"/>
      <c r="I122" s="630">
        <v>0</v>
      </c>
      <c r="J122" s="631"/>
      <c r="K122" s="653"/>
      <c r="L122" s="655"/>
    </row>
    <row r="123" spans="1:13">
      <c r="A123" s="628"/>
      <c r="B123" s="471" t="s">
        <v>99</v>
      </c>
      <c r="C123" s="656">
        <v>620</v>
      </c>
      <c r="D123" s="656"/>
      <c r="E123" s="656">
        <v>220</v>
      </c>
      <c r="F123" s="656"/>
      <c r="G123" s="656">
        <v>2.4</v>
      </c>
      <c r="H123" s="656"/>
      <c r="I123" s="770">
        <v>7130</v>
      </c>
      <c r="J123" s="771"/>
      <c r="K123" s="653"/>
      <c r="L123" s="655"/>
    </row>
    <row r="124" spans="1:13" ht="13.5" customHeight="1" thickBot="1">
      <c r="A124" s="673" t="s">
        <v>10</v>
      </c>
      <c r="B124" s="674"/>
      <c r="C124" s="675"/>
      <c r="D124" s="676"/>
      <c r="E124" s="675"/>
      <c r="F124" s="676"/>
      <c r="G124" s="660"/>
      <c r="H124" s="677"/>
      <c r="I124" s="660"/>
      <c r="J124" s="677"/>
      <c r="K124" s="660"/>
      <c r="L124" s="661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31" t="s">
        <v>101</v>
      </c>
      <c r="B128" s="533"/>
      <c r="C128" s="662" t="s">
        <v>146</v>
      </c>
      <c r="D128" s="663"/>
      <c r="E128" s="664"/>
      <c r="F128" s="662" t="s">
        <v>149</v>
      </c>
      <c r="G128" s="663"/>
      <c r="H128" s="663"/>
      <c r="I128" s="664"/>
      <c r="J128" s="663" t="s">
        <v>150</v>
      </c>
      <c r="K128" s="663"/>
      <c r="L128" s="663"/>
      <c r="M128" s="665"/>
    </row>
    <row r="129" spans="1:13" ht="35.25" customHeight="1">
      <c r="A129" s="716" t="s">
        <v>103</v>
      </c>
      <c r="B129" s="717"/>
      <c r="C129" s="722" t="s">
        <v>366</v>
      </c>
      <c r="D129" s="723"/>
      <c r="E129" s="724"/>
      <c r="F129" s="744" t="s">
        <v>367</v>
      </c>
      <c r="G129" s="748"/>
      <c r="H129" s="748"/>
      <c r="I129" s="749"/>
      <c r="J129" s="745" t="s">
        <v>367</v>
      </c>
      <c r="K129" s="748"/>
      <c r="L129" s="748"/>
      <c r="M129" s="750"/>
    </row>
    <row r="130" spans="1:13" ht="35.25" customHeight="1">
      <c r="A130" s="716" t="s">
        <v>104</v>
      </c>
      <c r="B130" s="717"/>
      <c r="C130" s="722"/>
      <c r="D130" s="723"/>
      <c r="E130" s="724"/>
      <c r="F130" s="722"/>
      <c r="G130" s="723"/>
      <c r="H130" s="723"/>
      <c r="I130" s="724"/>
      <c r="J130" s="767"/>
      <c r="K130" s="731"/>
      <c r="L130" s="731"/>
      <c r="M130" s="732"/>
    </row>
    <row r="131" spans="1:13" ht="67.5" customHeight="1">
      <c r="A131" s="716" t="s">
        <v>105</v>
      </c>
      <c r="B131" s="717"/>
      <c r="C131" s="718" t="s">
        <v>365</v>
      </c>
      <c r="D131" s="719"/>
      <c r="E131" s="720"/>
      <c r="F131" s="744" t="s">
        <v>365</v>
      </c>
      <c r="G131" s="745"/>
      <c r="H131" s="745"/>
      <c r="I131" s="746"/>
      <c r="J131" s="744" t="s">
        <v>365</v>
      </c>
      <c r="K131" s="745"/>
      <c r="L131" s="745"/>
      <c r="M131" s="766"/>
    </row>
    <row r="132" spans="1:13" ht="35.25" customHeight="1" thickBot="1">
      <c r="A132" s="733" t="s">
        <v>106</v>
      </c>
      <c r="B132" s="734"/>
      <c r="C132" s="772"/>
      <c r="D132" s="736"/>
      <c r="E132" s="737"/>
      <c r="F132" s="754" t="s">
        <v>15</v>
      </c>
      <c r="G132" s="755"/>
      <c r="H132" s="755"/>
      <c r="I132" s="756"/>
      <c r="J132" s="764" t="s">
        <v>15</v>
      </c>
      <c r="K132" s="755"/>
      <c r="L132" s="755"/>
      <c r="M132" s="765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701" t="s">
        <v>112</v>
      </c>
      <c r="F137" s="701"/>
      <c r="G137" s="701"/>
      <c r="H137" s="54" t="s">
        <v>113</v>
      </c>
    </row>
    <row r="138" spans="1:13" ht="40.5" customHeight="1" thickBot="1">
      <c r="A138" s="62">
        <f>E42</f>
        <v>189145</v>
      </c>
      <c r="B138" s="63">
        <f>'2017SEP'!H138</f>
        <v>-44201</v>
      </c>
      <c r="C138" s="63">
        <f>E43-E42</f>
        <v>35489.399999999994</v>
      </c>
      <c r="D138" s="512">
        <v>48301</v>
      </c>
      <c r="E138" s="681" t="s">
        <v>114</v>
      </c>
      <c r="F138" s="681"/>
      <c r="G138" s="681"/>
      <c r="H138" s="513">
        <f>C138+A138+B138-D138</f>
        <v>132132.4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679" t="s">
        <v>117</v>
      </c>
      <c r="C140" s="679"/>
      <c r="D140" s="679"/>
      <c r="E140" s="679"/>
      <c r="F140" s="679"/>
      <c r="G140" s="680"/>
    </row>
    <row r="141" spans="1:13" ht="45" customHeight="1" thickBot="1">
      <c r="A141" s="56">
        <v>17000</v>
      </c>
      <c r="B141" s="681" t="s">
        <v>114</v>
      </c>
      <c r="C141" s="681"/>
      <c r="D141" s="681"/>
      <c r="E141" s="681"/>
      <c r="F141" s="681"/>
      <c r="G141" s="682"/>
    </row>
    <row r="143" spans="1:13" ht="14">
      <c r="A143" s="127" t="s">
        <v>118</v>
      </c>
    </row>
    <row r="144" spans="1:13">
      <c r="A144" s="629" t="s">
        <v>50</v>
      </c>
      <c r="B144" s="629"/>
      <c r="C144" s="629"/>
      <c r="D144" s="629"/>
      <c r="E144" s="629"/>
      <c r="F144" s="629"/>
      <c r="G144" s="486" t="s">
        <v>119</v>
      </c>
      <c r="H144" s="683" t="s">
        <v>10</v>
      </c>
      <c r="I144" s="684"/>
      <c r="J144" s="684"/>
      <c r="K144" s="685"/>
    </row>
    <row r="145" spans="1:11">
      <c r="A145" s="574" t="s">
        <v>120</v>
      </c>
      <c r="B145" s="686" t="s">
        <v>121</v>
      </c>
      <c r="C145" s="686"/>
      <c r="D145" s="686"/>
      <c r="E145" s="686"/>
      <c r="F145" s="686"/>
      <c r="G145" s="506">
        <v>15</v>
      </c>
      <c r="H145" s="687"/>
      <c r="I145" s="688"/>
      <c r="J145" s="688"/>
      <c r="K145" s="689"/>
    </row>
    <row r="146" spans="1:11">
      <c r="A146" s="574"/>
      <c r="B146" s="686" t="s">
        <v>122</v>
      </c>
      <c r="C146" s="686"/>
      <c r="D146" s="686"/>
      <c r="E146" s="686"/>
      <c r="F146" s="686"/>
      <c r="G146" s="74">
        <v>33684</v>
      </c>
      <c r="H146" s="690"/>
      <c r="I146" s="691"/>
      <c r="J146" s="691"/>
      <c r="K146" s="692"/>
    </row>
    <row r="147" spans="1:11">
      <c r="A147" s="574" t="s">
        <v>123</v>
      </c>
      <c r="B147" s="686" t="s">
        <v>124</v>
      </c>
      <c r="C147" s="686"/>
      <c r="D147" s="686"/>
      <c r="E147" s="686"/>
      <c r="F147" s="686"/>
      <c r="G147" s="479">
        <v>10</v>
      </c>
      <c r="H147" s="670"/>
      <c r="I147" s="671"/>
      <c r="J147" s="671"/>
      <c r="K147" s="672"/>
    </row>
    <row r="148" spans="1:11">
      <c r="A148" s="574"/>
      <c r="B148" s="686" t="s">
        <v>125</v>
      </c>
      <c r="C148" s="686"/>
      <c r="D148" s="686"/>
      <c r="E148" s="686"/>
      <c r="F148" s="686"/>
      <c r="G148" s="75">
        <v>17699</v>
      </c>
      <c r="H148" s="670"/>
      <c r="I148" s="671"/>
      <c r="J148" s="671"/>
      <c r="K148" s="672"/>
    </row>
    <row r="149" spans="1:11" ht="14">
      <c r="A149" s="488" t="s">
        <v>126</v>
      </c>
      <c r="B149" s="686" t="s">
        <v>127</v>
      </c>
      <c r="C149" s="686"/>
      <c r="D149" s="686"/>
      <c r="E149" s="686"/>
      <c r="F149" s="686"/>
      <c r="G149" s="490">
        <v>1887</v>
      </c>
      <c r="H149" s="670"/>
      <c r="I149" s="671"/>
      <c r="J149" s="671"/>
      <c r="K149" s="672"/>
    </row>
    <row r="150" spans="1:11" ht="14">
      <c r="A150" s="488" t="s">
        <v>128</v>
      </c>
      <c r="B150" s="686" t="s">
        <v>129</v>
      </c>
      <c r="C150" s="686"/>
      <c r="D150" s="686"/>
      <c r="E150" s="686"/>
      <c r="F150" s="686"/>
      <c r="G150" s="479"/>
      <c r="H150" s="670"/>
      <c r="I150" s="671"/>
      <c r="J150" s="671"/>
      <c r="K150" s="672"/>
    </row>
  </sheetData>
  <mergeCells count="274"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1:F1"/>
    <mergeCell ref="J3:K3"/>
    <mergeCell ref="L3:M3"/>
    <mergeCell ref="J5:K5"/>
    <mergeCell ref="L5:M5"/>
    <mergeCell ref="J6:K6"/>
    <mergeCell ref="L6:M6"/>
    <mergeCell ref="A14:B14"/>
    <mergeCell ref="E14:I14"/>
  </mergeCells>
  <dataValidations count="2">
    <dataValidation type="list" allowBlank="1" showInputMessage="1" showErrorMessage="1" sqref="G1" xr:uid="{52E4CBB2-24F0-C34F-BD64-EF540C515DF7}">
      <formula1>"Jan, Feb, March, April, May, June, July, Aug, Sep, Oct, Nov, Dec"</formula1>
    </dataValidation>
    <dataValidation type="list" allowBlank="1" showInputMessage="1" showErrorMessage="1" sqref="L3" xr:uid="{FAF0ABA9-785F-DC48-B01F-48B974AB5A55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462B-0729-6E43-A204-CE4D96B9C650}">
  <sheetPr codeName="Sheet12">
    <pageSetUpPr fitToPage="1"/>
  </sheetPr>
  <dimension ref="A1:N150"/>
  <sheetViews>
    <sheetView zoomScale="98" zoomScaleNormal="98" zoomScaleSheetLayoutView="85" workbookViewId="0">
      <selection activeCell="H22" sqref="H2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152</v>
      </c>
      <c r="H1" s="2">
        <v>2017</v>
      </c>
      <c r="I1" s="491"/>
      <c r="J1" s="491"/>
      <c r="K1" s="491"/>
      <c r="L1" s="491"/>
      <c r="M1" s="491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4</v>
      </c>
      <c r="M6" s="525"/>
    </row>
    <row r="7" spans="1:13">
      <c r="J7" s="525" t="s">
        <v>6</v>
      </c>
      <c r="K7" s="525"/>
      <c r="L7" s="702">
        <v>43082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470" t="s">
        <v>305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79" t="s">
        <v>306</v>
      </c>
      <c r="C10" s="61">
        <v>5</v>
      </c>
      <c r="D10" s="490">
        <v>5</v>
      </c>
      <c r="E10" s="538" t="s">
        <v>362</v>
      </c>
      <c r="F10" s="538"/>
      <c r="G10" s="538"/>
      <c r="H10" s="538"/>
      <c r="I10" s="539"/>
    </row>
    <row r="11" spans="1:13">
      <c r="A11" s="537"/>
      <c r="B11" s="479" t="s">
        <v>12</v>
      </c>
      <c r="C11" s="61">
        <v>0</v>
      </c>
      <c r="D11" s="490">
        <v>0</v>
      </c>
      <c r="E11" s="768" t="s">
        <v>15</v>
      </c>
      <c r="F11" s="538"/>
      <c r="G11" s="538"/>
      <c r="H11" s="538"/>
      <c r="I11" s="539"/>
    </row>
    <row r="12" spans="1:13">
      <c r="A12" s="537"/>
      <c r="B12" s="479" t="s">
        <v>309</v>
      </c>
      <c r="C12" s="61">
        <v>1</v>
      </c>
      <c r="D12" s="490">
        <v>1</v>
      </c>
      <c r="E12" s="538" t="s">
        <v>130</v>
      </c>
      <c r="F12" s="538"/>
      <c r="G12" s="538"/>
      <c r="H12" s="538"/>
      <c r="I12" s="539"/>
    </row>
    <row r="13" spans="1:13">
      <c r="A13" s="537"/>
      <c r="B13" s="479" t="s">
        <v>13</v>
      </c>
      <c r="C13" s="61">
        <v>5</v>
      </c>
      <c r="D13" s="490">
        <v>0</v>
      </c>
      <c r="E13" s="768" t="s">
        <v>15</v>
      </c>
      <c r="F13" s="538"/>
      <c r="G13" s="538"/>
      <c r="H13" s="538"/>
      <c r="I13" s="539"/>
    </row>
    <row r="14" spans="1:13" s="8" customFormat="1" ht="14" thickBot="1">
      <c r="A14" s="526" t="s">
        <v>14</v>
      </c>
      <c r="B14" s="527"/>
      <c r="C14" s="7">
        <f>SUM(C10:C13)</f>
        <v>11</v>
      </c>
      <c r="D14" s="7">
        <f>SUM(D10:D13)</f>
        <v>6</v>
      </c>
      <c r="E14" s="528" t="s">
        <v>15</v>
      </c>
      <c r="F14" s="529"/>
      <c r="G14" s="529"/>
      <c r="H14" s="529"/>
      <c r="I14" s="530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31" t="s">
        <v>18</v>
      </c>
      <c r="B18" s="533" t="s">
        <v>19</v>
      </c>
      <c r="C18" s="533"/>
      <c r="D18" s="533" t="s">
        <v>20</v>
      </c>
      <c r="E18" s="533"/>
      <c r="F18" s="533"/>
      <c r="G18" s="533" t="s">
        <v>21</v>
      </c>
      <c r="H18" s="533"/>
      <c r="I18" s="533"/>
      <c r="J18" s="533" t="s">
        <v>22</v>
      </c>
      <c r="K18" s="533"/>
      <c r="L18" s="533"/>
      <c r="M18" s="536"/>
    </row>
    <row r="19" spans="1:13">
      <c r="A19" s="532"/>
      <c r="B19" s="534"/>
      <c r="C19" s="534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534"/>
      <c r="K19" s="534"/>
      <c r="L19" s="534"/>
      <c r="M19" s="543"/>
    </row>
    <row r="20" spans="1:13">
      <c r="A20" s="544" t="s">
        <v>26</v>
      </c>
      <c r="B20" s="545"/>
      <c r="C20" s="545"/>
      <c r="D20" s="545"/>
      <c r="E20" s="545"/>
      <c r="F20" s="545"/>
      <c r="G20" s="545"/>
      <c r="H20" s="545"/>
      <c r="I20" s="545"/>
      <c r="J20" s="545"/>
      <c r="K20" s="545"/>
      <c r="L20" s="545"/>
      <c r="M20" s="546"/>
    </row>
    <row r="21" spans="1:13">
      <c r="A21" s="547" t="s">
        <v>27</v>
      </c>
      <c r="B21" s="550" t="s">
        <v>28</v>
      </c>
      <c r="C21" s="128" t="s">
        <v>29</v>
      </c>
      <c r="D21" s="65">
        <v>14402</v>
      </c>
      <c r="E21" s="490">
        <v>9843</v>
      </c>
      <c r="F21" s="14">
        <f t="shared" ref="F21:F26" si="0">E21/D21</f>
        <v>0.68344674350784618</v>
      </c>
      <c r="G21" s="66">
        <f>D21+'2017OCT'!G21</f>
        <v>155540</v>
      </c>
      <c r="H21" s="66">
        <f>E21+'2017OCT'!H21</f>
        <v>118665</v>
      </c>
      <c r="I21" s="14">
        <f t="shared" ref="I21:I26" si="1">H21/G21</f>
        <v>0.76292272084351287</v>
      </c>
      <c r="J21" s="525"/>
      <c r="K21" s="525"/>
      <c r="L21" s="525"/>
      <c r="M21" s="552"/>
    </row>
    <row r="22" spans="1:13" ht="13.5" customHeight="1">
      <c r="A22" s="548"/>
      <c r="B22" s="551"/>
      <c r="C22" s="15" t="s">
        <v>30</v>
      </c>
      <c r="D22" s="487">
        <f>SUM(D21:D21)</f>
        <v>14402</v>
      </c>
      <c r="E22" s="487">
        <f>SUM(E21:E21)</f>
        <v>9843</v>
      </c>
      <c r="F22" s="16">
        <f t="shared" si="0"/>
        <v>0.68344674350784618</v>
      </c>
      <c r="G22" s="487">
        <f>SUM(G21:G21)</f>
        <v>155540</v>
      </c>
      <c r="H22" s="487">
        <f>SUM(H21:H21)</f>
        <v>118665</v>
      </c>
      <c r="I22" s="16">
        <f t="shared" si="1"/>
        <v>0.76292272084351287</v>
      </c>
      <c r="J22" s="553"/>
      <c r="K22" s="553"/>
      <c r="L22" s="553"/>
      <c r="M22" s="554"/>
    </row>
    <row r="23" spans="1:13" ht="13.5" customHeight="1">
      <c r="A23" s="548"/>
      <c r="B23" s="555" t="s">
        <v>31</v>
      </c>
      <c r="C23" s="128" t="s">
        <v>29</v>
      </c>
      <c r="D23" s="65">
        <v>4560</v>
      </c>
      <c r="E23" s="490">
        <v>2778</v>
      </c>
      <c r="F23" s="14">
        <f t="shared" si="0"/>
        <v>0.60921052631578942</v>
      </c>
      <c r="G23" s="66">
        <f>D23+'2017OCT'!G23</f>
        <v>50993</v>
      </c>
      <c r="H23" s="66">
        <f>E23+'2017OCT'!H23</f>
        <v>39647</v>
      </c>
      <c r="I23" s="14">
        <f t="shared" si="1"/>
        <v>0.7774988723942502</v>
      </c>
      <c r="J23" s="525"/>
      <c r="K23" s="525"/>
      <c r="L23" s="525"/>
      <c r="M23" s="552"/>
    </row>
    <row r="24" spans="1:13" ht="13.5" customHeight="1">
      <c r="A24" s="548"/>
      <c r="B24" s="555"/>
      <c r="C24" s="128" t="s">
        <v>32</v>
      </c>
      <c r="D24" s="65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525"/>
      <c r="K24" s="525"/>
      <c r="L24" s="525"/>
      <c r="M24" s="552"/>
    </row>
    <row r="25" spans="1:13" ht="13.5" customHeight="1">
      <c r="A25" s="548"/>
      <c r="B25" s="555"/>
      <c r="C25" s="15" t="s">
        <v>30</v>
      </c>
      <c r="D25" s="487">
        <f>SUM(D23:D24)</f>
        <v>4560</v>
      </c>
      <c r="E25" s="487">
        <f>SUM(E23:E24)</f>
        <v>2778</v>
      </c>
      <c r="F25" s="16">
        <f t="shared" si="0"/>
        <v>0.60921052631578942</v>
      </c>
      <c r="G25" s="487">
        <f>SUM(G23:G24)</f>
        <v>50993</v>
      </c>
      <c r="H25" s="487">
        <f>SUM(H23:H24)</f>
        <v>39647</v>
      </c>
      <c r="I25" s="16">
        <f t="shared" si="1"/>
        <v>0.7774988723942502</v>
      </c>
      <c r="J25" s="553"/>
      <c r="K25" s="553"/>
      <c r="L25" s="553"/>
      <c r="M25" s="554"/>
    </row>
    <row r="26" spans="1:13" s="8" customFormat="1" ht="14.25" customHeight="1" thickBot="1">
      <c r="A26" s="549"/>
      <c r="B26" s="556" t="s">
        <v>30</v>
      </c>
      <c r="C26" s="556"/>
      <c r="D26" s="489">
        <f>SUM(D22,D25)</f>
        <v>18962</v>
      </c>
      <c r="E26" s="489">
        <f>SUM(E22,E25)</f>
        <v>12621</v>
      </c>
      <c r="F26" s="17">
        <f t="shared" si="0"/>
        <v>0.66559434658791272</v>
      </c>
      <c r="G26" s="489">
        <f>SUM(G22,G25)</f>
        <v>206533</v>
      </c>
      <c r="H26" s="489">
        <f>SUM(H22,H25)</f>
        <v>158312</v>
      </c>
      <c r="I26" s="17">
        <f t="shared" si="1"/>
        <v>0.76652157282371336</v>
      </c>
      <c r="J26" s="556"/>
      <c r="K26" s="556"/>
      <c r="L26" s="556"/>
      <c r="M26" s="557"/>
    </row>
    <row r="27" spans="1:13">
      <c r="A27" s="558" t="s">
        <v>33</v>
      </c>
      <c r="B27" s="559"/>
      <c r="C27" s="559"/>
      <c r="D27" s="559"/>
      <c r="E27" s="559"/>
      <c r="F27" s="559"/>
      <c r="G27" s="559"/>
      <c r="H27" s="559"/>
      <c r="I27" s="559"/>
      <c r="J27" s="559"/>
      <c r="K27" s="559"/>
      <c r="L27" s="559"/>
      <c r="M27" s="560"/>
    </row>
    <row r="28" spans="1:13" ht="12.75" customHeight="1">
      <c r="A28" s="561" t="s">
        <v>34</v>
      </c>
      <c r="B28" s="564" t="s">
        <v>35</v>
      </c>
      <c r="C28" s="128" t="s">
        <v>29</v>
      </c>
      <c r="D28" s="65">
        <v>200</v>
      </c>
      <c r="E28" s="490">
        <v>3711</v>
      </c>
      <c r="F28" s="14">
        <f>E28/D28</f>
        <v>18.555</v>
      </c>
      <c r="G28" s="66">
        <f>D28+'2017OCT'!G28</f>
        <v>2200</v>
      </c>
      <c r="H28" s="66">
        <f>E28+'2017OCT'!H28</f>
        <v>12434</v>
      </c>
      <c r="I28" s="14">
        <f>H28/G28</f>
        <v>5.6518181818181814</v>
      </c>
      <c r="J28" s="525"/>
      <c r="K28" s="525"/>
      <c r="L28" s="525"/>
      <c r="M28" s="552"/>
    </row>
    <row r="29" spans="1:13">
      <c r="A29" s="562"/>
      <c r="B29" s="565"/>
      <c r="C29" s="128" t="s">
        <v>32</v>
      </c>
      <c r="D29" s="65">
        <v>0</v>
      </c>
      <c r="E29" s="490">
        <v>0</v>
      </c>
      <c r="F29" s="14" t="e">
        <f t="shared" ref="F29:F45" si="2">E29/D29</f>
        <v>#DIV/0!</v>
      </c>
      <c r="G29" s="66">
        <f>D29</f>
        <v>0</v>
      </c>
      <c r="H29" s="66">
        <f>E29</f>
        <v>0</v>
      </c>
      <c r="I29" s="14" t="e">
        <f t="shared" ref="I29:I45" si="3">H29/G29</f>
        <v>#DIV/0!</v>
      </c>
      <c r="J29" s="525"/>
      <c r="K29" s="525"/>
      <c r="L29" s="525"/>
      <c r="M29" s="552"/>
    </row>
    <row r="30" spans="1:13">
      <c r="A30" s="562"/>
      <c r="B30" s="566"/>
      <c r="C30" s="15" t="s">
        <v>30</v>
      </c>
      <c r="D30" s="487">
        <f>SUM(D28:D29)</f>
        <v>200</v>
      </c>
      <c r="E30" s="487">
        <f>SUM(E28:E29)</f>
        <v>3711</v>
      </c>
      <c r="F30" s="14">
        <f t="shared" si="2"/>
        <v>18.555</v>
      </c>
      <c r="G30" s="487">
        <f>SUM(G28:G29)</f>
        <v>2200</v>
      </c>
      <c r="H30" s="487">
        <f>SUM(H28:H29)</f>
        <v>12434</v>
      </c>
      <c r="I30" s="14">
        <f t="shared" si="3"/>
        <v>5.6518181818181814</v>
      </c>
      <c r="J30" s="553"/>
      <c r="K30" s="553"/>
      <c r="L30" s="553"/>
      <c r="M30" s="554"/>
    </row>
    <row r="31" spans="1:13" ht="12.75" customHeight="1">
      <c r="A31" s="562"/>
      <c r="B31" s="567" t="s">
        <v>36</v>
      </c>
      <c r="C31" s="568"/>
      <c r="D31" s="65">
        <v>3700</v>
      </c>
      <c r="E31" s="490">
        <v>11682</v>
      </c>
      <c r="F31" s="14">
        <f t="shared" si="2"/>
        <v>3.1572972972972972</v>
      </c>
      <c r="G31" s="66">
        <f>D31+'2017OCT'!G31</f>
        <v>33200</v>
      </c>
      <c r="H31" s="66">
        <f>E31+'2017OCT'!H31</f>
        <v>75832</v>
      </c>
      <c r="I31" s="14">
        <f t="shared" si="3"/>
        <v>2.2840963855421688</v>
      </c>
      <c r="J31" s="525"/>
      <c r="K31" s="525"/>
      <c r="L31" s="525"/>
      <c r="M31" s="552"/>
    </row>
    <row r="32" spans="1:13" s="8" customFormat="1">
      <c r="A32" s="563"/>
      <c r="B32" s="534" t="s">
        <v>30</v>
      </c>
      <c r="C32" s="534"/>
      <c r="D32" s="485">
        <f>SUM(D30,D31)</f>
        <v>3900</v>
      </c>
      <c r="E32" s="485">
        <f>SUM(E30,E31)</f>
        <v>15393</v>
      </c>
      <c r="F32" s="14">
        <f t="shared" si="2"/>
        <v>3.9469230769230768</v>
      </c>
      <c r="G32" s="485">
        <f>SUM(G30,G31)</f>
        <v>35400</v>
      </c>
      <c r="H32" s="485">
        <f>SUM(H30,H31)</f>
        <v>88266</v>
      </c>
      <c r="I32" s="14">
        <f t="shared" si="3"/>
        <v>2.4933898305084745</v>
      </c>
      <c r="J32" s="534"/>
      <c r="K32" s="534"/>
      <c r="L32" s="534"/>
      <c r="M32" s="543"/>
    </row>
    <row r="33" spans="1:13">
      <c r="A33" s="573" t="s">
        <v>37</v>
      </c>
      <c r="B33" s="555" t="s">
        <v>38</v>
      </c>
      <c r="C33" s="18" t="s">
        <v>39</v>
      </c>
      <c r="D33" s="65">
        <v>35000</v>
      </c>
      <c r="E33" s="479">
        <v>86945</v>
      </c>
      <c r="F33" s="14">
        <f t="shared" si="2"/>
        <v>2.484142857142857</v>
      </c>
      <c r="G33" s="66">
        <f>D33+'2017OCT'!G33</f>
        <v>385000</v>
      </c>
      <c r="H33" s="66">
        <f>E33+'2017OCT'!H33</f>
        <v>86945</v>
      </c>
      <c r="I33" s="14">
        <f t="shared" si="3"/>
        <v>0.22583116883116883</v>
      </c>
      <c r="J33" s="525"/>
      <c r="K33" s="525"/>
      <c r="L33" s="525"/>
      <c r="M33" s="552"/>
    </row>
    <row r="34" spans="1:13">
      <c r="A34" s="573"/>
      <c r="B34" s="555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525"/>
      <c r="K34" s="525"/>
      <c r="L34" s="525"/>
      <c r="M34" s="552"/>
    </row>
    <row r="35" spans="1:13">
      <c r="A35" s="573"/>
      <c r="B35" s="555"/>
      <c r="C35" s="15" t="s">
        <v>30</v>
      </c>
      <c r="D35" s="487">
        <f>SUM(D33:D34)</f>
        <v>35000</v>
      </c>
      <c r="E35" s="487">
        <f>SUM(E33:E34)</f>
        <v>86945</v>
      </c>
      <c r="F35" s="16">
        <f t="shared" si="2"/>
        <v>2.484142857142857</v>
      </c>
      <c r="G35" s="479">
        <f>SUM(G33:G34)</f>
        <v>385000</v>
      </c>
      <c r="H35" s="479">
        <f>SUM(H33:H34)</f>
        <v>86945</v>
      </c>
      <c r="I35" s="16">
        <f t="shared" si="3"/>
        <v>0.22583116883116883</v>
      </c>
      <c r="J35" s="553"/>
      <c r="K35" s="553"/>
      <c r="L35" s="553"/>
      <c r="M35" s="554"/>
    </row>
    <row r="36" spans="1:13" ht="12" customHeight="1">
      <c r="A36" s="573"/>
      <c r="B36" s="574" t="s">
        <v>41</v>
      </c>
      <c r="C36" s="18" t="s">
        <v>270</v>
      </c>
      <c r="D36" s="65">
        <v>2222</v>
      </c>
      <c r="E36" s="490">
        <v>0</v>
      </c>
      <c r="F36" s="14">
        <f t="shared" si="2"/>
        <v>0</v>
      </c>
      <c r="G36" s="66">
        <f>D36+'2017OCT'!G36</f>
        <v>17776</v>
      </c>
      <c r="H36" s="66">
        <f>E36+'2017OCT'!H36</f>
        <v>28435</v>
      </c>
      <c r="I36" s="14">
        <f t="shared" si="3"/>
        <v>1.5996287128712872</v>
      </c>
      <c r="J36" s="525"/>
      <c r="K36" s="525"/>
      <c r="L36" s="525"/>
      <c r="M36" s="552"/>
    </row>
    <row r="37" spans="1:13" ht="12" customHeight="1">
      <c r="A37" s="573"/>
      <c r="B37" s="574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525"/>
      <c r="K37" s="525"/>
      <c r="L37" s="525"/>
      <c r="M37" s="552"/>
    </row>
    <row r="38" spans="1:13" ht="12" customHeight="1">
      <c r="A38" s="573"/>
      <c r="B38" s="574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17776</v>
      </c>
      <c r="H38" s="487">
        <f>SUM(H36:H37)</f>
        <v>28435</v>
      </c>
      <c r="I38" s="16">
        <f t="shared" si="3"/>
        <v>1.5996287128712872</v>
      </c>
      <c r="J38" s="553"/>
      <c r="K38" s="553"/>
      <c r="L38" s="553"/>
      <c r="M38" s="554"/>
    </row>
    <row r="39" spans="1:13" s="8" customFormat="1" ht="12" customHeight="1">
      <c r="A39" s="573"/>
      <c r="B39" s="534" t="s">
        <v>30</v>
      </c>
      <c r="C39" s="534"/>
      <c r="D39" s="485">
        <f>SUM(D35,D38)</f>
        <v>37222</v>
      </c>
      <c r="E39" s="485">
        <f>SUM(E35,E38)</f>
        <v>86945</v>
      </c>
      <c r="F39" s="19">
        <f t="shared" si="2"/>
        <v>2.3358497662672613</v>
      </c>
      <c r="G39" s="485">
        <f>SUM(G35,G38)</f>
        <v>402776</v>
      </c>
      <c r="H39" s="485">
        <f>SUM(H35,H38)</f>
        <v>115380</v>
      </c>
      <c r="I39" s="19">
        <f t="shared" si="3"/>
        <v>0.28646195403896957</v>
      </c>
      <c r="J39" s="534"/>
      <c r="K39" s="534"/>
      <c r="L39" s="534"/>
      <c r="M39" s="543"/>
    </row>
    <row r="40" spans="1:13" s="8" customFormat="1">
      <c r="A40" s="569" t="s">
        <v>42</v>
      </c>
      <c r="B40" s="570"/>
      <c r="C40" s="570"/>
      <c r="D40" s="67">
        <v>300</v>
      </c>
      <c r="E40" s="511">
        <f>C123+E123+G123+I123</f>
        <v>10440</v>
      </c>
      <c r="F40" s="21">
        <f t="shared" si="2"/>
        <v>34.799999999999997</v>
      </c>
      <c r="G40" s="68">
        <f>D40+'2017OCT'!G40</f>
        <v>3300</v>
      </c>
      <c r="H40" s="77">
        <f>E40+'2017OCT'!H40</f>
        <v>30463.4</v>
      </c>
      <c r="I40" s="21">
        <f t="shared" si="3"/>
        <v>9.2313333333333336</v>
      </c>
      <c r="J40" s="570"/>
      <c r="K40" s="570"/>
      <c r="L40" s="570"/>
      <c r="M40" s="571"/>
    </row>
    <row r="41" spans="1:13" s="8" customFormat="1">
      <c r="A41" s="569" t="s">
        <v>43</v>
      </c>
      <c r="B41" s="570"/>
      <c r="C41" s="570"/>
      <c r="D41" s="67">
        <v>6750</v>
      </c>
      <c r="E41" s="20">
        <v>0</v>
      </c>
      <c r="F41" s="21">
        <f t="shared" si="2"/>
        <v>0</v>
      </c>
      <c r="G41" s="68">
        <f>D41+'2017OCT'!G41</f>
        <v>47250</v>
      </c>
      <c r="H41" s="68">
        <f>E41+'2017OCT'!H41</f>
        <v>0</v>
      </c>
      <c r="I41" s="21">
        <f t="shared" si="3"/>
        <v>0</v>
      </c>
      <c r="J41" s="572" t="s">
        <v>44</v>
      </c>
      <c r="K41" s="570"/>
      <c r="L41" s="570"/>
      <c r="M41" s="571"/>
    </row>
    <row r="42" spans="1:13" s="8" customFormat="1">
      <c r="A42" s="569" t="s">
        <v>45</v>
      </c>
      <c r="B42" s="570"/>
      <c r="C42" s="570"/>
      <c r="D42" s="67">
        <v>17000</v>
      </c>
      <c r="E42" s="20">
        <v>0</v>
      </c>
      <c r="F42" s="21">
        <f t="shared" si="2"/>
        <v>0</v>
      </c>
      <c r="G42" s="68">
        <f>D42+'2017OCT'!G42</f>
        <v>187000</v>
      </c>
      <c r="H42" s="68">
        <f>E42+'2017OCT'!H42</f>
        <v>342145</v>
      </c>
      <c r="I42" s="21">
        <f t="shared" si="3"/>
        <v>1.8296524064171122</v>
      </c>
      <c r="J42" s="570"/>
      <c r="K42" s="570"/>
      <c r="L42" s="570"/>
      <c r="M42" s="571"/>
    </row>
    <row r="43" spans="1:13" s="8" customFormat="1">
      <c r="A43" s="587" t="s">
        <v>46</v>
      </c>
      <c r="B43" s="588"/>
      <c r="C43" s="589"/>
      <c r="D43" s="484">
        <f>SUM(D26,D32,D39,D40:D42)</f>
        <v>84134</v>
      </c>
      <c r="E43" s="78">
        <f>SUM(E26,E32,E39,E40:E42)</f>
        <v>125399</v>
      </c>
      <c r="F43" s="22">
        <f t="shared" si="2"/>
        <v>1.4904675874200679</v>
      </c>
      <c r="G43" s="484">
        <f>SUM(G26,G32,G39,G40:G42)</f>
        <v>882259</v>
      </c>
      <c r="H43" s="484">
        <f>SUM(H26,H32,H39,H40:H42)</f>
        <v>734566.40000000002</v>
      </c>
      <c r="I43" s="22">
        <f t="shared" si="3"/>
        <v>0.83259723051847589</v>
      </c>
      <c r="J43" s="590" t="s">
        <v>15</v>
      </c>
      <c r="K43" s="591"/>
      <c r="L43" s="591"/>
      <c r="M43" s="592"/>
    </row>
    <row r="44" spans="1:13" s="8" customFormat="1">
      <c r="A44" s="587" t="s">
        <v>47</v>
      </c>
      <c r="B44" s="588"/>
      <c r="C44" s="589"/>
      <c r="D44" s="484">
        <f>D43-D40</f>
        <v>83834</v>
      </c>
      <c r="E44" s="484">
        <f>E43-E40</f>
        <v>114959</v>
      </c>
      <c r="F44" s="22">
        <f t="shared" si="2"/>
        <v>1.371269413364506</v>
      </c>
      <c r="G44" s="484">
        <f>G43-G40</f>
        <v>878959</v>
      </c>
      <c r="H44" s="484">
        <f>H43-H40</f>
        <v>704103</v>
      </c>
      <c r="I44" s="22">
        <f t="shared" si="3"/>
        <v>0.80106466854540426</v>
      </c>
      <c r="J44" s="590" t="s">
        <v>15</v>
      </c>
      <c r="K44" s="591"/>
      <c r="L44" s="591"/>
      <c r="M44" s="592"/>
    </row>
    <row r="45" spans="1:13" s="8" customFormat="1" ht="14" thickBot="1">
      <c r="A45" s="575" t="s">
        <v>48</v>
      </c>
      <c r="B45" s="576"/>
      <c r="C45" s="577"/>
      <c r="D45" s="482">
        <f>D44-D42</f>
        <v>66834</v>
      </c>
      <c r="E45" s="482">
        <f>E44-E42</f>
        <v>114959</v>
      </c>
      <c r="F45" s="23">
        <f t="shared" si="2"/>
        <v>1.7200676302480773</v>
      </c>
      <c r="G45" s="482">
        <f>G44-G42</f>
        <v>691959</v>
      </c>
      <c r="H45" s="482">
        <f>H44-H42</f>
        <v>361958</v>
      </c>
      <c r="I45" s="23">
        <f t="shared" si="3"/>
        <v>0.52309168606810519</v>
      </c>
      <c r="J45" s="578" t="s">
        <v>15</v>
      </c>
      <c r="K45" s="579"/>
      <c r="L45" s="579"/>
      <c r="M45" s="580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581" t="s">
        <v>50</v>
      </c>
      <c r="B49" s="582"/>
      <c r="C49" s="582"/>
      <c r="D49" s="582" t="s">
        <v>20</v>
      </c>
      <c r="E49" s="582"/>
      <c r="F49" s="582"/>
      <c r="G49" s="582" t="s">
        <v>21</v>
      </c>
      <c r="H49" s="582"/>
      <c r="I49" s="582"/>
      <c r="J49" s="582" t="s">
        <v>10</v>
      </c>
      <c r="K49" s="582"/>
      <c r="L49" s="582"/>
      <c r="M49" s="585"/>
    </row>
    <row r="50" spans="1:13">
      <c r="A50" s="583"/>
      <c r="B50" s="584"/>
      <c r="C50" s="584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584"/>
      <c r="K50" s="584"/>
      <c r="L50" s="584"/>
      <c r="M50" s="586"/>
    </row>
    <row r="51" spans="1:13" ht="13.5" customHeight="1">
      <c r="A51" s="593" t="s">
        <v>51</v>
      </c>
      <c r="B51" s="525" t="s">
        <v>29</v>
      </c>
      <c r="C51" s="27" t="s">
        <v>52</v>
      </c>
      <c r="D51" s="65">
        <v>5</v>
      </c>
      <c r="E51" s="490">
        <v>25</v>
      </c>
      <c r="F51" s="28">
        <f t="shared" ref="F51:F77" si="4">E51/D51</f>
        <v>5</v>
      </c>
      <c r="G51" s="66">
        <f>D51+'2017OCT'!G51</f>
        <v>55</v>
      </c>
      <c r="H51" s="66">
        <f>E51+'2017OCT'!H51</f>
        <v>147</v>
      </c>
      <c r="I51" s="28">
        <f t="shared" ref="I51:I77" si="5">H51/G51</f>
        <v>2.6727272727272728</v>
      </c>
      <c r="J51" s="596"/>
      <c r="K51" s="597"/>
      <c r="L51" s="597"/>
      <c r="M51" s="598"/>
    </row>
    <row r="52" spans="1:13">
      <c r="A52" s="594"/>
      <c r="B52" s="525"/>
      <c r="C52" s="27" t="s">
        <v>53</v>
      </c>
      <c r="D52" s="65">
        <v>388</v>
      </c>
      <c r="E52" s="490">
        <v>258</v>
      </c>
      <c r="F52" s="28">
        <f t="shared" si="4"/>
        <v>0.66494845360824739</v>
      </c>
      <c r="G52" s="66">
        <f>D52+'2017OCT'!G52</f>
        <v>4443</v>
      </c>
      <c r="H52" s="66">
        <f>E52+'2017OCT'!H52</f>
        <v>3844</v>
      </c>
      <c r="I52" s="28">
        <f t="shared" si="5"/>
        <v>0.86518118388476251</v>
      </c>
      <c r="J52" s="596"/>
      <c r="K52" s="597"/>
      <c r="L52" s="597"/>
      <c r="M52" s="598"/>
    </row>
    <row r="53" spans="1:13">
      <c r="A53" s="595"/>
      <c r="B53" s="525"/>
      <c r="C53" s="29" t="s">
        <v>54</v>
      </c>
      <c r="D53" s="487">
        <f>SUM(D51:D52)</f>
        <v>393</v>
      </c>
      <c r="E53" s="487">
        <f>SUM(E51:E52)</f>
        <v>283</v>
      </c>
      <c r="F53" s="30">
        <f t="shared" si="4"/>
        <v>0.72010178117048351</v>
      </c>
      <c r="G53" s="487">
        <f>SUM(G51:G52)</f>
        <v>4498</v>
      </c>
      <c r="H53" s="487">
        <f>SUM(H51:H52)</f>
        <v>3991</v>
      </c>
      <c r="I53" s="30">
        <f t="shared" si="5"/>
        <v>0.88728323699421963</v>
      </c>
      <c r="J53" s="599"/>
      <c r="K53" s="600"/>
      <c r="L53" s="600"/>
      <c r="M53" s="601"/>
    </row>
    <row r="54" spans="1:13">
      <c r="A54" s="602" t="s">
        <v>55</v>
      </c>
      <c r="B54" s="525" t="s">
        <v>52</v>
      </c>
      <c r="C54" s="525"/>
      <c r="D54" s="65">
        <v>2</v>
      </c>
      <c r="E54" s="490">
        <v>0</v>
      </c>
      <c r="F54" s="28">
        <f t="shared" si="4"/>
        <v>0</v>
      </c>
      <c r="G54" s="66">
        <f>D54+'2017OCT'!G54</f>
        <v>22</v>
      </c>
      <c r="H54" s="66">
        <f>E54+'2017OCT'!H54</f>
        <v>221</v>
      </c>
      <c r="I54" s="28">
        <f t="shared" si="5"/>
        <v>10.045454545454545</v>
      </c>
      <c r="J54" s="596"/>
      <c r="K54" s="597"/>
      <c r="L54" s="597"/>
      <c r="M54" s="598"/>
    </row>
    <row r="55" spans="1:13">
      <c r="A55" s="602"/>
      <c r="B55" s="525" t="s">
        <v>53</v>
      </c>
      <c r="C55" s="525"/>
      <c r="D55" s="65">
        <v>289</v>
      </c>
      <c r="E55" s="490">
        <v>206</v>
      </c>
      <c r="F55" s="28">
        <f t="shared" si="4"/>
        <v>0.71280276816609001</v>
      </c>
      <c r="G55" s="66">
        <f>D55+'2017OCT'!G55</f>
        <v>3312</v>
      </c>
      <c r="H55" s="66">
        <f>E55+'2017OCT'!H55</f>
        <v>3277</v>
      </c>
      <c r="I55" s="28">
        <f t="shared" si="5"/>
        <v>0.98943236714975846</v>
      </c>
      <c r="J55" s="596"/>
      <c r="K55" s="597"/>
      <c r="L55" s="597"/>
      <c r="M55" s="598"/>
    </row>
    <row r="56" spans="1:13">
      <c r="A56" s="602"/>
      <c r="B56" s="603" t="s">
        <v>30</v>
      </c>
      <c r="C56" s="603"/>
      <c r="D56" s="474">
        <f>SUM(D54:D55)</f>
        <v>291</v>
      </c>
      <c r="E56" s="474">
        <f>SUM(E54:E55)</f>
        <v>206</v>
      </c>
      <c r="F56" s="28">
        <f t="shared" si="4"/>
        <v>0.70790378006872856</v>
      </c>
      <c r="G56" s="474">
        <f>SUM(G54:G55)</f>
        <v>3334</v>
      </c>
      <c r="H56" s="474">
        <f>SUM(H54:H55)</f>
        <v>3498</v>
      </c>
      <c r="I56" s="31">
        <f t="shared" si="5"/>
        <v>1.0491901619676065</v>
      </c>
      <c r="J56" s="604"/>
      <c r="K56" s="605"/>
      <c r="L56" s="605"/>
      <c r="M56" s="606"/>
    </row>
    <row r="57" spans="1:13" s="8" customFormat="1">
      <c r="A57" s="607" t="s">
        <v>46</v>
      </c>
      <c r="B57" s="609" t="s">
        <v>52</v>
      </c>
      <c r="C57" s="609"/>
      <c r="D57" s="473">
        <f>SUM(D51,D54)</f>
        <v>7</v>
      </c>
      <c r="E57" s="473">
        <f>SUM(E51,E54)</f>
        <v>25</v>
      </c>
      <c r="F57" s="32">
        <f t="shared" si="4"/>
        <v>3.5714285714285716</v>
      </c>
      <c r="G57" s="473">
        <f>SUM(G51,G54)</f>
        <v>77</v>
      </c>
      <c r="H57" s="473">
        <f>SUM(H51,H54)</f>
        <v>368</v>
      </c>
      <c r="I57" s="32">
        <f t="shared" si="5"/>
        <v>4.779220779220779</v>
      </c>
      <c r="J57" s="610"/>
      <c r="K57" s="611"/>
      <c r="L57" s="611"/>
      <c r="M57" s="612"/>
    </row>
    <row r="58" spans="1:13" s="8" customFormat="1">
      <c r="A58" s="607"/>
      <c r="B58" s="609" t="s">
        <v>53</v>
      </c>
      <c r="C58" s="609"/>
      <c r="D58" s="473">
        <f>SUM(D52,D55)</f>
        <v>677</v>
      </c>
      <c r="E58" s="473">
        <f>SUM(E52,E55)</f>
        <v>464</v>
      </c>
      <c r="F58" s="32">
        <f t="shared" si="4"/>
        <v>0.68537666174298373</v>
      </c>
      <c r="G58" s="473">
        <f>SUM(G52,G55)</f>
        <v>7755</v>
      </c>
      <c r="H58" s="473">
        <f>SUM(H52,H55)</f>
        <v>7121</v>
      </c>
      <c r="I58" s="32">
        <f t="shared" si="5"/>
        <v>0.91824629271437785</v>
      </c>
      <c r="J58" s="610"/>
      <c r="K58" s="611"/>
      <c r="L58" s="611"/>
      <c r="M58" s="612"/>
    </row>
    <row r="59" spans="1:13" s="8" customFormat="1" ht="17.25" customHeight="1" thickBot="1">
      <c r="A59" s="608"/>
      <c r="B59" s="613" t="s">
        <v>56</v>
      </c>
      <c r="C59" s="613"/>
      <c r="D59" s="481">
        <f>SUM(D57:D58)</f>
        <v>684</v>
      </c>
      <c r="E59" s="481">
        <f>SUM(E57:E58)</f>
        <v>489</v>
      </c>
      <c r="F59" s="33">
        <f t="shared" si="4"/>
        <v>0.71491228070175439</v>
      </c>
      <c r="G59" s="481">
        <f>SUM(G57:G58)</f>
        <v>7832</v>
      </c>
      <c r="H59" s="481">
        <f>SUM(H57:H58)</f>
        <v>7489</v>
      </c>
      <c r="I59" s="33">
        <f t="shared" si="5"/>
        <v>0.95620531154239019</v>
      </c>
      <c r="J59" s="614"/>
      <c r="K59" s="615"/>
      <c r="L59" s="615"/>
      <c r="M59" s="616"/>
    </row>
    <row r="60" spans="1:13">
      <c r="A60" s="593" t="s">
        <v>57</v>
      </c>
      <c r="B60" s="525" t="s">
        <v>29</v>
      </c>
      <c r="C60" s="27" t="s">
        <v>52</v>
      </c>
      <c r="D60" s="65">
        <v>16</v>
      </c>
      <c r="E60" s="479">
        <f>E69/10</f>
        <v>87</v>
      </c>
      <c r="F60" s="28">
        <f t="shared" si="4"/>
        <v>5.4375</v>
      </c>
      <c r="G60" s="66">
        <f>D60+'2017OCT'!G60</f>
        <v>176</v>
      </c>
      <c r="H60" s="66">
        <f>E60+'2017OCT'!H60</f>
        <v>476</v>
      </c>
      <c r="I60" s="28">
        <f t="shared" si="5"/>
        <v>2.7045454545454546</v>
      </c>
      <c r="J60" s="596"/>
      <c r="K60" s="597"/>
      <c r="L60" s="597"/>
      <c r="M60" s="598"/>
    </row>
    <row r="61" spans="1:13">
      <c r="A61" s="594"/>
      <c r="B61" s="525"/>
      <c r="C61" s="27" t="s">
        <v>53</v>
      </c>
      <c r="D61" s="65">
        <v>1270</v>
      </c>
      <c r="E61" s="479">
        <f>E70/10</f>
        <v>897.3</v>
      </c>
      <c r="F61" s="28">
        <f t="shared" si="4"/>
        <v>0.70653543307086608</v>
      </c>
      <c r="G61" s="66">
        <f>D61+'2017OCT'!G61</f>
        <v>14530</v>
      </c>
      <c r="H61" s="66">
        <f>E61+'2017OCT'!H61</f>
        <v>11390.5</v>
      </c>
      <c r="I61" s="28">
        <f t="shared" si="5"/>
        <v>0.78392980041293869</v>
      </c>
      <c r="J61" s="596"/>
      <c r="K61" s="597"/>
      <c r="L61" s="597"/>
      <c r="M61" s="598"/>
    </row>
    <row r="62" spans="1:13">
      <c r="A62" s="595"/>
      <c r="B62" s="525"/>
      <c r="C62" s="29" t="s">
        <v>54</v>
      </c>
      <c r="D62" s="61">
        <f>SUM(D60:D61)</f>
        <v>1286</v>
      </c>
      <c r="E62" s="487">
        <f>SUM(E60:E61)</f>
        <v>984.3</v>
      </c>
      <c r="F62" s="30">
        <f t="shared" si="4"/>
        <v>0.76539657853810261</v>
      </c>
      <c r="G62" s="487">
        <f>SUM(G60:G61)</f>
        <v>14706</v>
      </c>
      <c r="H62" s="487">
        <f>SUM(H60:H61)</f>
        <v>11866.5</v>
      </c>
      <c r="I62" s="30">
        <f t="shared" si="5"/>
        <v>0.80691554467564264</v>
      </c>
      <c r="J62" s="599"/>
      <c r="K62" s="600"/>
      <c r="L62" s="600"/>
      <c r="M62" s="601"/>
    </row>
    <row r="63" spans="1:13">
      <c r="A63" s="602" t="s">
        <v>58</v>
      </c>
      <c r="B63" s="525" t="s">
        <v>52</v>
      </c>
      <c r="C63" s="525"/>
      <c r="D63" s="65">
        <v>2</v>
      </c>
      <c r="E63" s="479">
        <f>E72/10</f>
        <v>0</v>
      </c>
      <c r="F63" s="28">
        <f t="shared" si="4"/>
        <v>0</v>
      </c>
      <c r="G63" s="66">
        <f>D63+'2017OCT'!G63</f>
        <v>22</v>
      </c>
      <c r="H63" s="66">
        <f>E63+'2017OCT'!H63</f>
        <v>43.1</v>
      </c>
      <c r="I63" s="28">
        <f t="shared" si="5"/>
        <v>1.9590909090909092</v>
      </c>
      <c r="J63" s="596"/>
      <c r="K63" s="597"/>
      <c r="L63" s="597"/>
      <c r="M63" s="598"/>
    </row>
    <row r="64" spans="1:13">
      <c r="A64" s="602"/>
      <c r="B64" s="525" t="s">
        <v>53</v>
      </c>
      <c r="C64" s="525"/>
      <c r="D64" s="65">
        <v>434</v>
      </c>
      <c r="E64" s="479">
        <f>E73/10</f>
        <v>277.8</v>
      </c>
      <c r="F64" s="28">
        <f t="shared" si="4"/>
        <v>0.6400921658986175</v>
      </c>
      <c r="G64" s="66">
        <f>D64+'2017OCT'!G64</f>
        <v>4967</v>
      </c>
      <c r="H64" s="66">
        <f>E64+'2017OCT'!H64</f>
        <v>3921.6</v>
      </c>
      <c r="I64" s="28">
        <f t="shared" si="5"/>
        <v>0.78953090396617676</v>
      </c>
      <c r="J64" s="596"/>
      <c r="K64" s="597"/>
      <c r="L64" s="597"/>
      <c r="M64" s="598"/>
    </row>
    <row r="65" spans="1:14">
      <c r="A65" s="602"/>
      <c r="B65" s="603" t="s">
        <v>30</v>
      </c>
      <c r="C65" s="603"/>
      <c r="D65" s="474">
        <f>SUM(D63:D64)</f>
        <v>436</v>
      </c>
      <c r="E65" s="474">
        <f>SUM(E63:E64)</f>
        <v>277.8</v>
      </c>
      <c r="F65" s="31">
        <f t="shared" si="4"/>
        <v>0.63715596330275237</v>
      </c>
      <c r="G65" s="474">
        <f>SUM(G63:G64)</f>
        <v>4989</v>
      </c>
      <c r="H65" s="474">
        <f>SUM(H63:H64)</f>
        <v>3964.7</v>
      </c>
      <c r="I65" s="31">
        <f t="shared" si="5"/>
        <v>0.79468831429144116</v>
      </c>
      <c r="J65" s="604"/>
      <c r="K65" s="605"/>
      <c r="L65" s="605"/>
      <c r="M65" s="606"/>
    </row>
    <row r="66" spans="1:14" s="8" customFormat="1">
      <c r="A66" s="607" t="s">
        <v>46</v>
      </c>
      <c r="B66" s="609" t="s">
        <v>52</v>
      </c>
      <c r="C66" s="609"/>
      <c r="D66" s="473">
        <f>SUM(D60,D63)</f>
        <v>18</v>
      </c>
      <c r="E66" s="473">
        <f>SUM(E60,E63)</f>
        <v>87</v>
      </c>
      <c r="F66" s="32">
        <f t="shared" si="4"/>
        <v>4.833333333333333</v>
      </c>
      <c r="G66" s="473">
        <f>SUM(G60,G63)</f>
        <v>198</v>
      </c>
      <c r="H66" s="473">
        <f>SUM(H60,H63)</f>
        <v>519.1</v>
      </c>
      <c r="I66" s="32">
        <f t="shared" si="5"/>
        <v>2.6217171717171719</v>
      </c>
      <c r="J66" s="610"/>
      <c r="K66" s="611"/>
      <c r="L66" s="611"/>
      <c r="M66" s="612"/>
    </row>
    <row r="67" spans="1:14" s="8" customFormat="1">
      <c r="A67" s="607"/>
      <c r="B67" s="609" t="s">
        <v>53</v>
      </c>
      <c r="C67" s="609"/>
      <c r="D67" s="473">
        <f>SUM(D61,D64)</f>
        <v>1704</v>
      </c>
      <c r="E67" s="473">
        <f>SUM(E61,E64)</f>
        <v>1175.0999999999999</v>
      </c>
      <c r="F67" s="32">
        <f t="shared" si="4"/>
        <v>0.68961267605633803</v>
      </c>
      <c r="G67" s="473">
        <f>SUM(G61,G64)</f>
        <v>19497</v>
      </c>
      <c r="H67" s="473">
        <f>SUM(H61,H64)</f>
        <v>15312.1</v>
      </c>
      <c r="I67" s="32">
        <f t="shared" si="5"/>
        <v>0.78535672154690472</v>
      </c>
      <c r="J67" s="610"/>
      <c r="K67" s="611"/>
      <c r="L67" s="611"/>
      <c r="M67" s="612"/>
    </row>
    <row r="68" spans="1:14" s="8" customFormat="1" ht="14" thickBot="1">
      <c r="A68" s="608"/>
      <c r="B68" s="613" t="s">
        <v>59</v>
      </c>
      <c r="C68" s="613"/>
      <c r="D68" s="481">
        <f>SUM(D66:D67)</f>
        <v>1722</v>
      </c>
      <c r="E68" s="481">
        <f>SUM(E66:E67)</f>
        <v>1262.0999999999999</v>
      </c>
      <c r="F68" s="34">
        <f t="shared" si="4"/>
        <v>0.73292682926829267</v>
      </c>
      <c r="G68" s="481">
        <f>SUM(G66:G67)</f>
        <v>19695</v>
      </c>
      <c r="H68" s="481">
        <f>SUM(H66:H67)</f>
        <v>15831.2</v>
      </c>
      <c r="I68" s="34">
        <f t="shared" si="5"/>
        <v>0.80381822797664382</v>
      </c>
      <c r="J68" s="614"/>
      <c r="K68" s="615"/>
      <c r="L68" s="615"/>
      <c r="M68" s="616"/>
    </row>
    <row r="69" spans="1:14">
      <c r="A69" s="593" t="s">
        <v>60</v>
      </c>
      <c r="B69" s="525" t="s">
        <v>29</v>
      </c>
      <c r="C69" s="27" t="s">
        <v>52</v>
      </c>
      <c r="D69" s="65">
        <v>1705</v>
      </c>
      <c r="E69" s="490">
        <v>870</v>
      </c>
      <c r="F69" s="28">
        <f t="shared" si="4"/>
        <v>0.51026392961876832</v>
      </c>
      <c r="G69" s="66">
        <f>D69+'2017OCT'!G69</f>
        <v>10230</v>
      </c>
      <c r="H69" s="66">
        <f>E69+'2017OCT'!H69</f>
        <v>4760</v>
      </c>
      <c r="I69" s="28">
        <f t="shared" si="5"/>
        <v>0.46529814271749753</v>
      </c>
      <c r="J69" s="596"/>
      <c r="K69" s="597"/>
      <c r="L69" s="597"/>
      <c r="M69" s="598"/>
    </row>
    <row r="70" spans="1:14">
      <c r="A70" s="594"/>
      <c r="B70" s="525"/>
      <c r="C70" s="27" t="s">
        <v>53</v>
      </c>
      <c r="D70" s="65">
        <v>12697</v>
      </c>
      <c r="E70" s="479">
        <f>E21-E69</f>
        <v>8973</v>
      </c>
      <c r="F70" s="28">
        <f t="shared" si="4"/>
        <v>0.70670237063873353</v>
      </c>
      <c r="G70" s="66">
        <f>D70+'2017OCT'!G70</f>
        <v>145310</v>
      </c>
      <c r="H70" s="66">
        <f>E70+'2017OCT'!H70</f>
        <v>113905</v>
      </c>
      <c r="I70" s="28">
        <f t="shared" si="5"/>
        <v>0.78387585162755491</v>
      </c>
      <c r="J70" s="596"/>
      <c r="K70" s="597"/>
      <c r="L70" s="597"/>
      <c r="M70" s="598"/>
    </row>
    <row r="71" spans="1:14">
      <c r="A71" s="595"/>
      <c r="B71" s="525"/>
      <c r="C71" s="29" t="s">
        <v>54</v>
      </c>
      <c r="D71" s="487">
        <f>SUM(D69:D70)</f>
        <v>14402</v>
      </c>
      <c r="E71" s="487">
        <f>SUM(E69:E70)</f>
        <v>9843</v>
      </c>
      <c r="F71" s="30">
        <f t="shared" si="4"/>
        <v>0.68344674350784618</v>
      </c>
      <c r="G71" s="487">
        <f>SUM(G69:G70)</f>
        <v>155540</v>
      </c>
      <c r="H71" s="487">
        <f>SUM(H69:H70)</f>
        <v>118665</v>
      </c>
      <c r="I71" s="30">
        <f t="shared" si="5"/>
        <v>0.76292272084351287</v>
      </c>
      <c r="J71" s="599"/>
      <c r="K71" s="600"/>
      <c r="L71" s="600"/>
      <c r="M71" s="601"/>
    </row>
    <row r="72" spans="1:14">
      <c r="A72" s="602" t="s">
        <v>61</v>
      </c>
      <c r="B72" s="525" t="s">
        <v>52</v>
      </c>
      <c r="C72" s="525"/>
      <c r="D72" s="65">
        <v>220</v>
      </c>
      <c r="E72" s="490">
        <v>0</v>
      </c>
      <c r="F72" s="28">
        <f t="shared" si="4"/>
        <v>0</v>
      </c>
      <c r="G72" s="66">
        <f>D72+'2017OCT'!G72</f>
        <v>1320</v>
      </c>
      <c r="H72" s="66">
        <f>E72+'2017OCT'!H72</f>
        <v>431</v>
      </c>
      <c r="I72" s="28">
        <f t="shared" si="5"/>
        <v>0.32651515151515154</v>
      </c>
      <c r="J72" s="596"/>
      <c r="K72" s="597"/>
      <c r="L72" s="597"/>
      <c r="M72" s="598"/>
    </row>
    <row r="73" spans="1:14">
      <c r="A73" s="602"/>
      <c r="B73" s="525" t="s">
        <v>53</v>
      </c>
      <c r="C73" s="525"/>
      <c r="D73" s="65">
        <v>4340</v>
      </c>
      <c r="E73" s="479">
        <f>E23-E72</f>
        <v>2778</v>
      </c>
      <c r="F73" s="28">
        <f t="shared" si="4"/>
        <v>0.6400921658986175</v>
      </c>
      <c r="G73" s="66">
        <f>D73+'2017OCT'!G73</f>
        <v>49673</v>
      </c>
      <c r="H73" s="66">
        <f>E73+'2017OCT'!H73</f>
        <v>39216</v>
      </c>
      <c r="I73" s="28">
        <f t="shared" si="5"/>
        <v>0.78948322026050366</v>
      </c>
      <c r="J73" s="596"/>
      <c r="K73" s="597"/>
      <c r="L73" s="597"/>
      <c r="M73" s="598"/>
    </row>
    <row r="74" spans="1:14">
      <c r="A74" s="602"/>
      <c r="B74" s="603" t="s">
        <v>30</v>
      </c>
      <c r="C74" s="603"/>
      <c r="D74" s="474">
        <f>SUM(D72:D73)</f>
        <v>4560</v>
      </c>
      <c r="E74" s="474">
        <f>SUM(E72:E73)</f>
        <v>2778</v>
      </c>
      <c r="F74" s="31">
        <f t="shared" si="4"/>
        <v>0.60921052631578942</v>
      </c>
      <c r="G74" s="474">
        <f>SUM(G72:G73)</f>
        <v>50993</v>
      </c>
      <c r="H74" s="474">
        <f>SUM(H72:H73)</f>
        <v>39647</v>
      </c>
      <c r="I74" s="31">
        <f t="shared" si="5"/>
        <v>0.7774988723942502</v>
      </c>
      <c r="J74" s="604"/>
      <c r="K74" s="605"/>
      <c r="L74" s="605"/>
      <c r="M74" s="606"/>
    </row>
    <row r="75" spans="1:14" s="8" customFormat="1">
      <c r="A75" s="607" t="s">
        <v>46</v>
      </c>
      <c r="B75" s="609" t="s">
        <v>52</v>
      </c>
      <c r="C75" s="609"/>
      <c r="D75" s="473">
        <f>SUM(D69,D72)</f>
        <v>1925</v>
      </c>
      <c r="E75" s="473">
        <f>SUM(E69,E72)</f>
        <v>870</v>
      </c>
      <c r="F75" s="32">
        <f t="shared" si="4"/>
        <v>0.45194805194805193</v>
      </c>
      <c r="G75" s="473">
        <f>SUM(G69,G72)</f>
        <v>11550</v>
      </c>
      <c r="H75" s="473">
        <f>SUM(H69,H72)</f>
        <v>5191</v>
      </c>
      <c r="I75" s="32">
        <f t="shared" si="5"/>
        <v>0.44943722943722941</v>
      </c>
      <c r="J75" s="610"/>
      <c r="K75" s="611"/>
      <c r="L75" s="611"/>
      <c r="M75" s="612"/>
    </row>
    <row r="76" spans="1:14" s="8" customFormat="1">
      <c r="A76" s="607"/>
      <c r="B76" s="609" t="s">
        <v>53</v>
      </c>
      <c r="C76" s="609"/>
      <c r="D76" s="473">
        <f>SUM(D70,D73)</f>
        <v>17037</v>
      </c>
      <c r="E76" s="473">
        <f>SUM(E70,E73)</f>
        <v>11751</v>
      </c>
      <c r="F76" s="32">
        <f t="shared" si="4"/>
        <v>0.68973410811762637</v>
      </c>
      <c r="G76" s="473">
        <f>SUM(G70,G73)</f>
        <v>194983</v>
      </c>
      <c r="H76" s="473">
        <f>SUM(H70,H73)</f>
        <v>153121</v>
      </c>
      <c r="I76" s="32">
        <f t="shared" si="5"/>
        <v>0.78530435986727043</v>
      </c>
      <c r="J76" s="610"/>
      <c r="K76" s="611"/>
      <c r="L76" s="611"/>
      <c r="M76" s="612"/>
    </row>
    <row r="77" spans="1:14" s="8" customFormat="1" ht="14" thickBot="1">
      <c r="A77" s="608"/>
      <c r="B77" s="613" t="s">
        <v>62</v>
      </c>
      <c r="C77" s="613"/>
      <c r="D77" s="481">
        <f>SUM(D75:D76)</f>
        <v>18962</v>
      </c>
      <c r="E77" s="481">
        <f>SUM(E75:E76)</f>
        <v>12621</v>
      </c>
      <c r="F77" s="34">
        <f t="shared" si="4"/>
        <v>0.66559434658791272</v>
      </c>
      <c r="G77" s="481">
        <f>SUM(G75:G76)</f>
        <v>206533</v>
      </c>
      <c r="H77" s="481">
        <f>SUM(H75:H76)</f>
        <v>158312</v>
      </c>
      <c r="I77" s="34">
        <f t="shared" si="5"/>
        <v>0.76652157282371336</v>
      </c>
      <c r="J77" s="614"/>
      <c r="K77" s="615"/>
      <c r="L77" s="615"/>
      <c r="M77" s="616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581" t="s">
        <v>65</v>
      </c>
      <c r="B82" s="582" t="s">
        <v>66</v>
      </c>
      <c r="C82" s="582" t="s">
        <v>50</v>
      </c>
      <c r="D82" s="582" t="s">
        <v>20</v>
      </c>
      <c r="E82" s="582"/>
      <c r="F82" s="582"/>
      <c r="G82" s="582" t="s">
        <v>21</v>
      </c>
      <c r="H82" s="582"/>
      <c r="I82" s="582"/>
      <c r="J82" s="582" t="s">
        <v>10</v>
      </c>
      <c r="K82" s="582"/>
      <c r="L82" s="582"/>
      <c r="M82" s="585"/>
    </row>
    <row r="83" spans="1:13">
      <c r="A83" s="583"/>
      <c r="B83" s="584"/>
      <c r="C83" s="584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584"/>
      <c r="K83" s="584"/>
      <c r="L83" s="584"/>
      <c r="M83" s="586"/>
    </row>
    <row r="84" spans="1:13">
      <c r="A84" s="573" t="s">
        <v>67</v>
      </c>
      <c r="B84" s="525" t="s">
        <v>68</v>
      </c>
      <c r="C84" s="27" t="s">
        <v>69</v>
      </c>
      <c r="D84" s="65">
        <v>0</v>
      </c>
      <c r="E84" s="490">
        <v>1</v>
      </c>
      <c r="F84" s="498" t="e">
        <f>E84/D84</f>
        <v>#DIV/0!</v>
      </c>
      <c r="G84" s="66">
        <f>D84+'2017OCT'!G84</f>
        <v>2</v>
      </c>
      <c r="H84" s="66">
        <f>E84+'2017OCT'!H84</f>
        <v>4</v>
      </c>
      <c r="I84" s="498">
        <f>H84/G84</f>
        <v>2</v>
      </c>
      <c r="J84" s="596"/>
      <c r="K84" s="597"/>
      <c r="L84" s="597"/>
      <c r="M84" s="598"/>
    </row>
    <row r="85" spans="1:13">
      <c r="A85" s="573"/>
      <c r="B85" s="525"/>
      <c r="C85" s="27" t="s">
        <v>70</v>
      </c>
      <c r="D85" s="65">
        <v>85</v>
      </c>
      <c r="E85" s="490">
        <v>40</v>
      </c>
      <c r="F85" s="28">
        <f t="shared" ref="F85:F98" si="6">E85/D85</f>
        <v>0.47058823529411764</v>
      </c>
      <c r="G85" s="66">
        <f>D85+'2017OCT'!G85</f>
        <v>933</v>
      </c>
      <c r="H85" s="66">
        <f>E85+'2017OCT'!H85</f>
        <v>667.5</v>
      </c>
      <c r="I85" s="28">
        <f t="shared" ref="I85:I98" si="7">H85/G85</f>
        <v>0.71543408360128613</v>
      </c>
      <c r="J85" s="596"/>
      <c r="K85" s="597"/>
      <c r="L85" s="597"/>
      <c r="M85" s="598"/>
    </row>
    <row r="86" spans="1:13">
      <c r="A86" s="573"/>
      <c r="B86" s="525"/>
      <c r="C86" s="38" t="s">
        <v>71</v>
      </c>
      <c r="D86" s="487">
        <f>SUM(D84:D85)</f>
        <v>85</v>
      </c>
      <c r="E86" s="487">
        <f>SUM(E84:E85)</f>
        <v>41</v>
      </c>
      <c r="F86" s="30">
        <f t="shared" si="6"/>
        <v>0.4823529411764706</v>
      </c>
      <c r="G86" s="487">
        <f>SUM(G84:G85)</f>
        <v>935</v>
      </c>
      <c r="H86" s="487">
        <f>SUM(H84:H85)</f>
        <v>671.5</v>
      </c>
      <c r="I86" s="30">
        <f t="shared" si="7"/>
        <v>0.71818181818181814</v>
      </c>
      <c r="J86" s="599"/>
      <c r="K86" s="600"/>
      <c r="L86" s="600"/>
      <c r="M86" s="601"/>
    </row>
    <row r="87" spans="1:13">
      <c r="A87" s="573"/>
      <c r="B87" s="525" t="s">
        <v>72</v>
      </c>
      <c r="C87" s="27" t="s">
        <v>69</v>
      </c>
      <c r="D87" s="65">
        <v>0</v>
      </c>
      <c r="E87" s="490">
        <v>0</v>
      </c>
      <c r="F87" s="28" t="e">
        <f t="shared" si="6"/>
        <v>#DIV/0!</v>
      </c>
      <c r="G87" s="66">
        <f>D87+'2017OCT'!G87</f>
        <v>1</v>
      </c>
      <c r="H87" s="66">
        <f>E87+'2017OCT'!H87</f>
        <v>7</v>
      </c>
      <c r="I87" s="28">
        <f t="shared" si="7"/>
        <v>7</v>
      </c>
      <c r="J87" s="596"/>
      <c r="K87" s="597"/>
      <c r="L87" s="597"/>
      <c r="M87" s="598"/>
    </row>
    <row r="88" spans="1:13">
      <c r="A88" s="573"/>
      <c r="B88" s="525"/>
      <c r="C88" s="27" t="s">
        <v>70</v>
      </c>
      <c r="D88" s="65">
        <v>20</v>
      </c>
      <c r="E88" s="490">
        <v>11</v>
      </c>
      <c r="F88" s="28">
        <f t="shared" si="6"/>
        <v>0.55000000000000004</v>
      </c>
      <c r="G88" s="66">
        <f>D88+'2017OCT'!G88</f>
        <v>219</v>
      </c>
      <c r="H88" s="66">
        <f>E88+'2017OCT'!H88</f>
        <v>172</v>
      </c>
      <c r="I88" s="28">
        <f t="shared" si="7"/>
        <v>0.78538812785388123</v>
      </c>
      <c r="J88" s="596"/>
      <c r="K88" s="597"/>
      <c r="L88" s="597"/>
      <c r="M88" s="598"/>
    </row>
    <row r="89" spans="1:13">
      <c r="A89" s="573"/>
      <c r="B89" s="525"/>
      <c r="C89" s="38" t="s">
        <v>71</v>
      </c>
      <c r="D89" s="487">
        <f>SUM(D87:D88)</f>
        <v>20</v>
      </c>
      <c r="E89" s="487">
        <f>SUM(E87:E88)</f>
        <v>11</v>
      </c>
      <c r="F89" s="30">
        <f t="shared" si="6"/>
        <v>0.55000000000000004</v>
      </c>
      <c r="G89" s="487">
        <f>SUM(G87:G88)</f>
        <v>220</v>
      </c>
      <c r="H89" s="487">
        <f>SUM(H87:H88)</f>
        <v>179</v>
      </c>
      <c r="I89" s="30">
        <f t="shared" si="7"/>
        <v>0.8136363636363636</v>
      </c>
      <c r="J89" s="599"/>
      <c r="K89" s="600"/>
      <c r="L89" s="600"/>
      <c r="M89" s="601"/>
    </row>
    <row r="90" spans="1:13">
      <c r="A90" s="573"/>
      <c r="B90" s="525" t="s">
        <v>73</v>
      </c>
      <c r="C90" s="27" t="s">
        <v>69</v>
      </c>
      <c r="D90" s="65">
        <v>0</v>
      </c>
      <c r="E90" s="490">
        <v>9</v>
      </c>
      <c r="F90" s="28" t="e">
        <f t="shared" si="6"/>
        <v>#DIV/0!</v>
      </c>
      <c r="G90" s="66">
        <f>D90+'2017OCT'!G90</f>
        <v>2</v>
      </c>
      <c r="H90" s="66">
        <f>E90+'2017OCT'!H90</f>
        <v>30</v>
      </c>
      <c r="I90" s="28">
        <f t="shared" si="7"/>
        <v>15</v>
      </c>
      <c r="J90" s="596"/>
      <c r="K90" s="597"/>
      <c r="L90" s="597"/>
      <c r="M90" s="598"/>
    </row>
    <row r="91" spans="1:13">
      <c r="A91" s="573"/>
      <c r="B91" s="525"/>
      <c r="C91" s="27" t="s">
        <v>70</v>
      </c>
      <c r="D91" s="65">
        <v>51</v>
      </c>
      <c r="E91" s="490">
        <v>41</v>
      </c>
      <c r="F91" s="28">
        <f t="shared" si="6"/>
        <v>0.80392156862745101</v>
      </c>
      <c r="G91" s="66">
        <f>D91+'2017OCT'!G91</f>
        <v>557</v>
      </c>
      <c r="H91" s="66">
        <f>E91+'2017OCT'!H91</f>
        <v>480.5</v>
      </c>
      <c r="I91" s="28">
        <f t="shared" si="7"/>
        <v>0.86265709156193893</v>
      </c>
      <c r="J91" s="596"/>
      <c r="K91" s="597"/>
      <c r="L91" s="597"/>
      <c r="M91" s="598"/>
    </row>
    <row r="92" spans="1:13">
      <c r="A92" s="573"/>
      <c r="B92" s="525"/>
      <c r="C92" s="38" t="s">
        <v>71</v>
      </c>
      <c r="D92" s="487">
        <f>SUM(D90:D91)</f>
        <v>51</v>
      </c>
      <c r="E92" s="487">
        <f>SUM(E90:E91)</f>
        <v>50</v>
      </c>
      <c r="F92" s="30">
        <f t="shared" si="6"/>
        <v>0.98039215686274506</v>
      </c>
      <c r="G92" s="487">
        <f>SUM(G90:G91)</f>
        <v>559</v>
      </c>
      <c r="H92" s="487">
        <f>SUM(H90:H91)</f>
        <v>510.5</v>
      </c>
      <c r="I92" s="30">
        <f t="shared" si="7"/>
        <v>0.91323792486583188</v>
      </c>
      <c r="J92" s="599"/>
      <c r="K92" s="600"/>
      <c r="L92" s="600"/>
      <c r="M92" s="601"/>
    </row>
    <row r="93" spans="1:13">
      <c r="A93" s="573"/>
      <c r="B93" s="525" t="s">
        <v>74</v>
      </c>
      <c r="C93" s="27" t="s">
        <v>69</v>
      </c>
      <c r="D93" s="65">
        <v>0</v>
      </c>
      <c r="E93" s="490">
        <v>6</v>
      </c>
      <c r="F93" s="28" t="e">
        <f t="shared" si="6"/>
        <v>#DIV/0!</v>
      </c>
      <c r="G93" s="66">
        <f>D93+'2017OCT'!G93</f>
        <v>4</v>
      </c>
      <c r="H93" s="66">
        <f>E93+'2017OCT'!H93</f>
        <v>57.5</v>
      </c>
      <c r="I93" s="28">
        <f t="shared" si="7"/>
        <v>14.375</v>
      </c>
      <c r="J93" s="596"/>
      <c r="K93" s="597"/>
      <c r="L93" s="597"/>
      <c r="M93" s="598"/>
    </row>
    <row r="94" spans="1:13">
      <c r="A94" s="573"/>
      <c r="B94" s="525"/>
      <c r="C94" s="27" t="s">
        <v>70</v>
      </c>
      <c r="D94" s="65">
        <v>93</v>
      </c>
      <c r="E94" s="490">
        <v>90</v>
      </c>
      <c r="F94" s="28">
        <f t="shared" si="6"/>
        <v>0.967741935483871</v>
      </c>
      <c r="G94" s="66">
        <f>D94+'2017OCT'!G94</f>
        <v>1011</v>
      </c>
      <c r="H94" s="66">
        <f>E94+'2017OCT'!H94</f>
        <v>952</v>
      </c>
      <c r="I94" s="28">
        <f t="shared" si="7"/>
        <v>0.94164193867457957</v>
      </c>
      <c r="J94" s="596"/>
      <c r="K94" s="597"/>
      <c r="L94" s="597"/>
      <c r="M94" s="598"/>
    </row>
    <row r="95" spans="1:13">
      <c r="A95" s="573"/>
      <c r="B95" s="525"/>
      <c r="C95" s="38" t="s">
        <v>71</v>
      </c>
      <c r="D95" s="487">
        <f>SUM(D93:D94)</f>
        <v>93</v>
      </c>
      <c r="E95" s="487">
        <f>SUM(E93:E94)</f>
        <v>96</v>
      </c>
      <c r="F95" s="30">
        <f t="shared" si="6"/>
        <v>1.032258064516129</v>
      </c>
      <c r="G95" s="487">
        <f>SUM(G93:G94)</f>
        <v>1015</v>
      </c>
      <c r="H95" s="487">
        <f>SUM(H93:H94)</f>
        <v>1009.5</v>
      </c>
      <c r="I95" s="30">
        <f t="shared" si="7"/>
        <v>0.99458128078817731</v>
      </c>
      <c r="J95" s="599"/>
      <c r="K95" s="600"/>
      <c r="L95" s="600"/>
      <c r="M95" s="601"/>
    </row>
    <row r="96" spans="1:13">
      <c r="A96" s="573"/>
      <c r="B96" s="603" t="s">
        <v>46</v>
      </c>
      <c r="C96" s="39" t="s">
        <v>69</v>
      </c>
      <c r="D96" s="474">
        <f>SUM(D84,D87,D90,D93)</f>
        <v>0</v>
      </c>
      <c r="E96" s="474">
        <f>SUM(E84,E87,E90,E93)</f>
        <v>16</v>
      </c>
      <c r="F96" s="31" t="e">
        <f t="shared" si="6"/>
        <v>#DIV/0!</v>
      </c>
      <c r="G96" s="474">
        <f>SUM(G84,G87,G90,G93)</f>
        <v>9</v>
      </c>
      <c r="H96" s="474">
        <f>SUM(H84,H87,H90,H93)</f>
        <v>98.5</v>
      </c>
      <c r="I96" s="31">
        <f t="shared" si="7"/>
        <v>10.944444444444445</v>
      </c>
      <c r="J96" s="604"/>
      <c r="K96" s="605"/>
      <c r="L96" s="605"/>
      <c r="M96" s="606"/>
    </row>
    <row r="97" spans="1:13">
      <c r="A97" s="573"/>
      <c r="B97" s="603"/>
      <c r="C97" s="39" t="s">
        <v>70</v>
      </c>
      <c r="D97" s="474">
        <f>SUM(D85,D88,D91,D94)</f>
        <v>249</v>
      </c>
      <c r="E97" s="474">
        <f>SUM(E85,E88,E91,E94)</f>
        <v>182</v>
      </c>
      <c r="F97" s="31">
        <f t="shared" si="6"/>
        <v>0.73092369477911645</v>
      </c>
      <c r="G97" s="474">
        <f>SUM(G85,G88,G91,G94)</f>
        <v>2720</v>
      </c>
      <c r="H97" s="474">
        <f>SUM(H85,H88,H91,H94)</f>
        <v>2272</v>
      </c>
      <c r="I97" s="31">
        <f t="shared" si="7"/>
        <v>0.83529411764705885</v>
      </c>
      <c r="J97" s="604"/>
      <c r="K97" s="605"/>
      <c r="L97" s="605"/>
      <c r="M97" s="606"/>
    </row>
    <row r="98" spans="1:13" ht="14" thickBot="1">
      <c r="A98" s="623"/>
      <c r="B98" s="624"/>
      <c r="C98" s="40" t="s">
        <v>46</v>
      </c>
      <c r="D98" s="475">
        <f>SUM(D96:D97)</f>
        <v>249</v>
      </c>
      <c r="E98" s="475">
        <f>SUM(E96:E97)</f>
        <v>198</v>
      </c>
      <c r="F98" s="41">
        <f t="shared" si="6"/>
        <v>0.79518072289156627</v>
      </c>
      <c r="G98" s="475">
        <f>SUM(G96:G97)</f>
        <v>2729</v>
      </c>
      <c r="H98" s="475">
        <f>SUM(H96:H97)</f>
        <v>2370.5</v>
      </c>
      <c r="I98" s="41">
        <f t="shared" si="7"/>
        <v>0.86863319897398317</v>
      </c>
      <c r="J98" s="625"/>
      <c r="K98" s="626"/>
      <c r="L98" s="626"/>
      <c r="M98" s="627"/>
    </row>
    <row r="99" spans="1:13" ht="14" thickBot="1">
      <c r="A99" s="617" t="s">
        <v>75</v>
      </c>
      <c r="B99" s="619" t="s">
        <v>76</v>
      </c>
      <c r="C99" s="42" t="s">
        <v>69</v>
      </c>
      <c r="D99" s="69">
        <v>0</v>
      </c>
      <c r="E99" s="64">
        <v>4</v>
      </c>
      <c r="F99" s="499" t="e">
        <f>E99/D99</f>
        <v>#DIV/0!</v>
      </c>
      <c r="G99" s="70">
        <f>D99+'2017OCT'!G99</f>
        <v>3</v>
      </c>
      <c r="H99" s="70">
        <f>E99+'2017OCT'!H99</f>
        <v>16</v>
      </c>
      <c r="I99" s="499">
        <f>H99/G99</f>
        <v>5.333333333333333</v>
      </c>
      <c r="J99" s="620"/>
      <c r="K99" s="621"/>
      <c r="L99" s="621"/>
      <c r="M99" s="622"/>
    </row>
    <row r="100" spans="1:13" ht="13.5" customHeight="1">
      <c r="A100" s="562"/>
      <c r="B100" s="525"/>
      <c r="C100" s="27" t="s">
        <v>70</v>
      </c>
      <c r="D100" s="65">
        <v>76</v>
      </c>
      <c r="E100" s="490">
        <v>44</v>
      </c>
      <c r="F100" s="28">
        <f t="shared" ref="F100:F109" si="8">E100/D100</f>
        <v>0.57894736842105265</v>
      </c>
      <c r="G100" s="70">
        <f>D100+'2017OCT'!G100</f>
        <v>824</v>
      </c>
      <c r="H100" s="71">
        <f>E100+'2017OCT'!H100</f>
        <v>569</v>
      </c>
      <c r="I100" s="28">
        <f t="shared" ref="I100:I109" si="9">H100/G100</f>
        <v>0.69053398058252424</v>
      </c>
      <c r="J100" s="596"/>
      <c r="K100" s="597"/>
      <c r="L100" s="597"/>
      <c r="M100" s="598"/>
    </row>
    <row r="101" spans="1:13" ht="13.5" customHeight="1">
      <c r="A101" s="562"/>
      <c r="B101" s="525"/>
      <c r="C101" s="38" t="s">
        <v>71</v>
      </c>
      <c r="D101" s="487">
        <f>SUM(D99:D100)</f>
        <v>76</v>
      </c>
      <c r="E101" s="487">
        <f>SUM(E99:E100)</f>
        <v>48</v>
      </c>
      <c r="F101" s="30">
        <f t="shared" si="8"/>
        <v>0.63157894736842102</v>
      </c>
      <c r="G101" s="487">
        <f>SUM(G99:G100)</f>
        <v>827</v>
      </c>
      <c r="H101" s="487">
        <f>SUM(H99:H100)</f>
        <v>585</v>
      </c>
      <c r="I101" s="30">
        <f t="shared" si="9"/>
        <v>0.70737605804111248</v>
      </c>
      <c r="J101" s="599"/>
      <c r="K101" s="600"/>
      <c r="L101" s="600"/>
      <c r="M101" s="601"/>
    </row>
    <row r="102" spans="1:13" ht="13.5" customHeight="1">
      <c r="A102" s="562"/>
      <c r="B102" s="525" t="s">
        <v>77</v>
      </c>
      <c r="C102" s="27" t="s">
        <v>69</v>
      </c>
      <c r="D102" s="65">
        <v>0</v>
      </c>
      <c r="E102" s="490">
        <v>5</v>
      </c>
      <c r="F102" s="28" t="e">
        <f t="shared" si="8"/>
        <v>#DIV/0!</v>
      </c>
      <c r="G102" s="66">
        <f>D102+'2017OCT'!G102</f>
        <v>2</v>
      </c>
      <c r="H102" s="66">
        <f>E102+'2017OCT'!H102</f>
        <v>24</v>
      </c>
      <c r="I102" s="28">
        <f t="shared" si="9"/>
        <v>12</v>
      </c>
      <c r="J102" s="596"/>
      <c r="K102" s="597"/>
      <c r="L102" s="597"/>
      <c r="M102" s="598"/>
    </row>
    <row r="103" spans="1:13" ht="13.5" customHeight="1">
      <c r="A103" s="562"/>
      <c r="B103" s="525"/>
      <c r="C103" s="27" t="s">
        <v>70</v>
      </c>
      <c r="D103" s="65">
        <v>41</v>
      </c>
      <c r="E103" s="490">
        <v>32</v>
      </c>
      <c r="F103" s="28">
        <f t="shared" si="8"/>
        <v>0.78048780487804881</v>
      </c>
      <c r="G103" s="66">
        <f>D103+'2017OCT'!G103</f>
        <v>449</v>
      </c>
      <c r="H103" s="66">
        <f>E103+'2017OCT'!H103</f>
        <v>371</v>
      </c>
      <c r="I103" s="28">
        <f t="shared" si="9"/>
        <v>0.82628062360801779</v>
      </c>
      <c r="J103" s="596"/>
      <c r="K103" s="597"/>
      <c r="L103" s="597"/>
      <c r="M103" s="598"/>
    </row>
    <row r="104" spans="1:13" ht="13.5" customHeight="1">
      <c r="A104" s="562"/>
      <c r="B104" s="525"/>
      <c r="C104" s="38" t="s">
        <v>71</v>
      </c>
      <c r="D104" s="487">
        <f>SUM(D102:D103)</f>
        <v>41</v>
      </c>
      <c r="E104" s="487">
        <f>SUM(E102:E103)</f>
        <v>37</v>
      </c>
      <c r="F104" s="30">
        <f t="shared" si="8"/>
        <v>0.90243902439024393</v>
      </c>
      <c r="G104" s="487">
        <f>SUM(G102:G103)</f>
        <v>451</v>
      </c>
      <c r="H104" s="487">
        <f>SUM(H102:H103)</f>
        <v>395</v>
      </c>
      <c r="I104" s="30">
        <f t="shared" si="9"/>
        <v>0.87583148558758317</v>
      </c>
      <c r="J104" s="599"/>
      <c r="K104" s="600"/>
      <c r="L104" s="600"/>
      <c r="M104" s="601"/>
    </row>
    <row r="105" spans="1:13" ht="13.5" customHeight="1">
      <c r="A105" s="562"/>
      <c r="B105" s="603" t="s">
        <v>46</v>
      </c>
      <c r="C105" s="39" t="s">
        <v>69</v>
      </c>
      <c r="D105" s="474">
        <f>SUM(D99,D102)</f>
        <v>0</v>
      </c>
      <c r="E105" s="474">
        <f>SUM(E99,E102)</f>
        <v>9</v>
      </c>
      <c r="F105" s="30" t="e">
        <f t="shared" si="8"/>
        <v>#DIV/0!</v>
      </c>
      <c r="G105" s="474">
        <f>SUM(G99,G102)</f>
        <v>5</v>
      </c>
      <c r="H105" s="474">
        <f>SUM(H99,H102)</f>
        <v>40</v>
      </c>
      <c r="I105" s="30">
        <f t="shared" si="9"/>
        <v>8</v>
      </c>
      <c r="J105" s="604"/>
      <c r="K105" s="605"/>
      <c r="L105" s="605"/>
      <c r="M105" s="606"/>
    </row>
    <row r="106" spans="1:13" ht="13.5" customHeight="1">
      <c r="A106" s="562"/>
      <c r="B106" s="603"/>
      <c r="C106" s="39" t="s">
        <v>70</v>
      </c>
      <c r="D106" s="474">
        <f>SUM(D100,D103)</f>
        <v>117</v>
      </c>
      <c r="E106" s="474">
        <f>SUM(E100,E103)</f>
        <v>76</v>
      </c>
      <c r="F106" s="30">
        <f t="shared" si="8"/>
        <v>0.6495726495726496</v>
      </c>
      <c r="G106" s="474">
        <f>SUM(G100,G103)</f>
        <v>1273</v>
      </c>
      <c r="H106" s="474">
        <f>SUM(H100,H103)</f>
        <v>940</v>
      </c>
      <c r="I106" s="30">
        <f t="shared" si="9"/>
        <v>0.73841319717203457</v>
      </c>
      <c r="J106" s="604"/>
      <c r="K106" s="605"/>
      <c r="L106" s="605"/>
      <c r="M106" s="606"/>
    </row>
    <row r="107" spans="1:13" ht="14.25" customHeight="1" thickBot="1">
      <c r="A107" s="618"/>
      <c r="B107" s="624"/>
      <c r="C107" s="40" t="s">
        <v>46</v>
      </c>
      <c r="D107" s="475">
        <f>SUM(D105:D106)</f>
        <v>117</v>
      </c>
      <c r="E107" s="475">
        <f>SUM(E105:E106)</f>
        <v>85</v>
      </c>
      <c r="F107" s="41">
        <f t="shared" si="8"/>
        <v>0.72649572649572647</v>
      </c>
      <c r="G107" s="475">
        <f>SUM(G105:G106)</f>
        <v>1278</v>
      </c>
      <c r="H107" s="475">
        <f>SUM(H105:H106)</f>
        <v>980</v>
      </c>
      <c r="I107" s="41">
        <f t="shared" si="9"/>
        <v>0.76682316118935834</v>
      </c>
      <c r="J107" s="625"/>
      <c r="K107" s="626"/>
      <c r="L107" s="626"/>
      <c r="M107" s="627"/>
    </row>
    <row r="108" spans="1:13">
      <c r="A108" s="635" t="s">
        <v>46</v>
      </c>
      <c r="B108" s="635"/>
      <c r="C108" s="44" t="s">
        <v>69</v>
      </c>
      <c r="D108" s="472">
        <f>SUM(D96,D105)</f>
        <v>0</v>
      </c>
      <c r="E108" s="472">
        <f>SUM(E96,E105)</f>
        <v>25</v>
      </c>
      <c r="F108" s="45" t="e">
        <f t="shared" si="8"/>
        <v>#DIV/0!</v>
      </c>
      <c r="G108" s="46">
        <f>SUM(G96,G105)</f>
        <v>14</v>
      </c>
      <c r="H108" s="46">
        <f>SUM(H96,H105)</f>
        <v>138.5</v>
      </c>
      <c r="I108" s="45">
        <f t="shared" si="9"/>
        <v>9.8928571428571423</v>
      </c>
      <c r="J108" s="636"/>
      <c r="K108" s="637"/>
      <c r="L108" s="637"/>
      <c r="M108" s="638"/>
    </row>
    <row r="109" spans="1:13">
      <c r="A109" s="609"/>
      <c r="B109" s="609"/>
      <c r="C109" s="47" t="s">
        <v>70</v>
      </c>
      <c r="D109" s="473">
        <f>SUM(D97,D106)</f>
        <v>366</v>
      </c>
      <c r="E109" s="473">
        <f>SUM(E97,E106)</f>
        <v>258</v>
      </c>
      <c r="F109" s="32">
        <f t="shared" si="8"/>
        <v>0.70491803278688525</v>
      </c>
      <c r="G109" s="473">
        <f>SUM(G97,G106)</f>
        <v>3993</v>
      </c>
      <c r="H109" s="473">
        <f>SUM(H97,H106)</f>
        <v>3212</v>
      </c>
      <c r="I109" s="32">
        <f t="shared" si="9"/>
        <v>0.80440771349862261</v>
      </c>
      <c r="J109" s="639"/>
      <c r="K109" s="640"/>
      <c r="L109" s="640"/>
      <c r="M109" s="641"/>
    </row>
    <row r="110" spans="1:13">
      <c r="A110" s="609"/>
      <c r="B110" s="609"/>
      <c r="C110" s="48" t="s">
        <v>46</v>
      </c>
      <c r="D110" s="473">
        <f>SUM(D108:D109)</f>
        <v>366</v>
      </c>
      <c r="E110" s="473">
        <f>SUM(E108:E109)</f>
        <v>283</v>
      </c>
      <c r="F110" s="49">
        <f>E110/D110</f>
        <v>0.77322404371584696</v>
      </c>
      <c r="G110" s="472">
        <f>SUM(G108:G109)</f>
        <v>4007</v>
      </c>
      <c r="H110" s="472">
        <f>SUM(H108:H109)</f>
        <v>3350.5</v>
      </c>
      <c r="I110" s="49">
        <f>H110/G110</f>
        <v>0.83616171699525832</v>
      </c>
      <c r="J110" s="639"/>
      <c r="K110" s="640"/>
      <c r="L110" s="640"/>
      <c r="M110" s="641"/>
    </row>
    <row r="113" spans="1:13" ht="15" thickBot="1">
      <c r="A113" s="127" t="s">
        <v>78</v>
      </c>
    </row>
    <row r="114" spans="1:13">
      <c r="A114" s="642" t="s">
        <v>79</v>
      </c>
      <c r="B114" s="643"/>
      <c r="C114" s="644" t="s">
        <v>80</v>
      </c>
      <c r="D114" s="645"/>
      <c r="E114" s="644" t="s">
        <v>81</v>
      </c>
      <c r="F114" s="645"/>
      <c r="G114" s="644" t="s">
        <v>136</v>
      </c>
      <c r="H114" s="703"/>
      <c r="I114" s="769" t="s">
        <v>147</v>
      </c>
      <c r="J114" s="645"/>
      <c r="K114" s="646"/>
      <c r="L114" s="648"/>
    </row>
    <row r="115" spans="1:13" ht="15" customHeight="1">
      <c r="A115" s="628" t="s">
        <v>82</v>
      </c>
      <c r="B115" s="629"/>
      <c r="C115" s="630" t="s">
        <v>83</v>
      </c>
      <c r="D115" s="631"/>
      <c r="E115" s="630" t="s">
        <v>84</v>
      </c>
      <c r="F115" s="631"/>
      <c r="G115" s="630" t="s">
        <v>84</v>
      </c>
      <c r="H115" s="631"/>
      <c r="I115" s="630" t="s">
        <v>84</v>
      </c>
      <c r="J115" s="631"/>
      <c r="K115" s="632"/>
      <c r="L115" s="634"/>
    </row>
    <row r="116" spans="1:13" ht="15" customHeight="1">
      <c r="A116" s="628" t="s">
        <v>85</v>
      </c>
      <c r="B116" s="629"/>
      <c r="C116" s="630" t="s">
        <v>86</v>
      </c>
      <c r="D116" s="631"/>
      <c r="E116" s="630" t="s">
        <v>87</v>
      </c>
      <c r="F116" s="631"/>
      <c r="G116" s="630" t="s">
        <v>87</v>
      </c>
      <c r="H116" s="631"/>
      <c r="I116" s="630" t="s">
        <v>86</v>
      </c>
      <c r="J116" s="631"/>
      <c r="K116" s="632"/>
      <c r="L116" s="634"/>
    </row>
    <row r="117" spans="1:13" ht="15" customHeight="1">
      <c r="A117" s="628" t="s">
        <v>88</v>
      </c>
      <c r="B117" s="629"/>
      <c r="C117" s="630" t="s">
        <v>89</v>
      </c>
      <c r="D117" s="631"/>
      <c r="E117" s="630" t="s">
        <v>90</v>
      </c>
      <c r="F117" s="631"/>
      <c r="G117" s="630" t="s">
        <v>138</v>
      </c>
      <c r="H117" s="631"/>
      <c r="I117" s="630" t="s">
        <v>148</v>
      </c>
      <c r="J117" s="631"/>
      <c r="K117" s="632"/>
      <c r="L117" s="634"/>
    </row>
    <row r="118" spans="1:13">
      <c r="A118" s="628" t="s">
        <v>91</v>
      </c>
      <c r="B118" s="629"/>
      <c r="C118" s="649">
        <v>859</v>
      </c>
      <c r="D118" s="650"/>
      <c r="E118" s="649">
        <v>16</v>
      </c>
      <c r="F118" s="650"/>
      <c r="G118" s="649">
        <v>1</v>
      </c>
      <c r="H118" s="650"/>
      <c r="I118" s="649">
        <v>1</v>
      </c>
      <c r="J118" s="650"/>
      <c r="K118" s="632"/>
      <c r="L118" s="634"/>
    </row>
    <row r="119" spans="1:13">
      <c r="A119" s="628" t="s">
        <v>92</v>
      </c>
      <c r="B119" s="629"/>
      <c r="C119" s="630" t="s">
        <v>93</v>
      </c>
      <c r="D119" s="631"/>
      <c r="E119" s="630" t="s">
        <v>94</v>
      </c>
      <c r="F119" s="631"/>
      <c r="G119" s="630" t="s">
        <v>94</v>
      </c>
      <c r="H119" s="631"/>
      <c r="I119" s="630" t="s">
        <v>94</v>
      </c>
      <c r="J119" s="631"/>
      <c r="K119" s="632"/>
      <c r="L119" s="634"/>
    </row>
    <row r="120" spans="1:13">
      <c r="A120" s="628" t="s">
        <v>311</v>
      </c>
      <c r="B120" s="471" t="s">
        <v>96</v>
      </c>
      <c r="C120" s="630">
        <v>0</v>
      </c>
      <c r="D120" s="631"/>
      <c r="E120" s="630">
        <v>0</v>
      </c>
      <c r="F120" s="631"/>
      <c r="G120" s="630">
        <v>0</v>
      </c>
      <c r="H120" s="631"/>
      <c r="I120" s="630">
        <v>0</v>
      </c>
      <c r="J120" s="631"/>
      <c r="K120" s="632"/>
      <c r="L120" s="634"/>
    </row>
    <row r="121" spans="1:13">
      <c r="A121" s="628"/>
      <c r="B121" s="471" t="s">
        <v>97</v>
      </c>
      <c r="C121" s="630">
        <v>0</v>
      </c>
      <c r="D121" s="631"/>
      <c r="E121" s="630">
        <v>0</v>
      </c>
      <c r="F121" s="631"/>
      <c r="G121" s="630">
        <v>0</v>
      </c>
      <c r="H121" s="631"/>
      <c r="I121" s="630">
        <v>0</v>
      </c>
      <c r="J121" s="631"/>
      <c r="K121" s="632"/>
      <c r="L121" s="634"/>
    </row>
    <row r="122" spans="1:13">
      <c r="A122" s="628"/>
      <c r="B122" s="471" t="s">
        <v>98</v>
      </c>
      <c r="C122" s="651">
        <v>0</v>
      </c>
      <c r="D122" s="652"/>
      <c r="E122" s="651">
        <v>0</v>
      </c>
      <c r="F122" s="652"/>
      <c r="G122" s="651">
        <v>0</v>
      </c>
      <c r="H122" s="652"/>
      <c r="I122" s="630">
        <v>0</v>
      </c>
      <c r="J122" s="631"/>
      <c r="K122" s="653"/>
      <c r="L122" s="655"/>
    </row>
    <row r="123" spans="1:13">
      <c r="A123" s="628"/>
      <c r="B123" s="471" t="s">
        <v>99</v>
      </c>
      <c r="C123" s="656">
        <v>639</v>
      </c>
      <c r="D123" s="656"/>
      <c r="E123" s="656">
        <v>446</v>
      </c>
      <c r="F123" s="656"/>
      <c r="G123" s="656">
        <v>0</v>
      </c>
      <c r="H123" s="656"/>
      <c r="I123" s="770">
        <v>9355</v>
      </c>
      <c r="J123" s="771"/>
      <c r="K123" s="653"/>
      <c r="L123" s="655"/>
    </row>
    <row r="124" spans="1:13" ht="13.5" customHeight="1" thickBot="1">
      <c r="A124" s="673" t="s">
        <v>10</v>
      </c>
      <c r="B124" s="674"/>
      <c r="C124" s="675"/>
      <c r="D124" s="676"/>
      <c r="E124" s="675"/>
      <c r="F124" s="676"/>
      <c r="G124" s="660"/>
      <c r="H124" s="677"/>
      <c r="I124" s="660"/>
      <c r="J124" s="677"/>
      <c r="K124" s="660"/>
      <c r="L124" s="661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31" t="s">
        <v>101</v>
      </c>
      <c r="B128" s="533"/>
      <c r="C128" s="662" t="s">
        <v>146</v>
      </c>
      <c r="D128" s="663"/>
      <c r="E128" s="664"/>
      <c r="F128" s="662" t="s">
        <v>149</v>
      </c>
      <c r="G128" s="663"/>
      <c r="H128" s="663"/>
      <c r="I128" s="664"/>
      <c r="J128" s="663" t="s">
        <v>150</v>
      </c>
      <c r="K128" s="663"/>
      <c r="L128" s="663"/>
      <c r="M128" s="665"/>
    </row>
    <row r="129" spans="1:13" ht="35.25" customHeight="1">
      <c r="A129" s="716" t="s">
        <v>103</v>
      </c>
      <c r="B129" s="717"/>
      <c r="C129" s="722" t="s">
        <v>366</v>
      </c>
      <c r="D129" s="723"/>
      <c r="E129" s="724"/>
      <c r="F129" s="744" t="s">
        <v>367</v>
      </c>
      <c r="G129" s="748"/>
      <c r="H129" s="748"/>
      <c r="I129" s="749"/>
      <c r="J129" s="745" t="s">
        <v>367</v>
      </c>
      <c r="K129" s="748"/>
      <c r="L129" s="748"/>
      <c r="M129" s="750"/>
    </row>
    <row r="130" spans="1:13" ht="35.25" customHeight="1">
      <c r="A130" s="716" t="s">
        <v>104</v>
      </c>
      <c r="B130" s="717"/>
      <c r="C130" s="722"/>
      <c r="D130" s="723"/>
      <c r="E130" s="724"/>
      <c r="F130" s="722"/>
      <c r="G130" s="723"/>
      <c r="H130" s="723"/>
      <c r="I130" s="724"/>
      <c r="J130" s="767"/>
      <c r="K130" s="731"/>
      <c r="L130" s="731"/>
      <c r="M130" s="732"/>
    </row>
    <row r="131" spans="1:13" ht="67.5" customHeight="1">
      <c r="A131" s="716" t="s">
        <v>105</v>
      </c>
      <c r="B131" s="717"/>
      <c r="C131" s="718" t="s">
        <v>365</v>
      </c>
      <c r="D131" s="719"/>
      <c r="E131" s="720"/>
      <c r="F131" s="744" t="s">
        <v>365</v>
      </c>
      <c r="G131" s="745"/>
      <c r="H131" s="745"/>
      <c r="I131" s="746"/>
      <c r="J131" s="744" t="s">
        <v>365</v>
      </c>
      <c r="K131" s="745"/>
      <c r="L131" s="745"/>
      <c r="M131" s="766"/>
    </row>
    <row r="132" spans="1:13" ht="35.25" customHeight="1" thickBot="1">
      <c r="A132" s="733" t="s">
        <v>106</v>
      </c>
      <c r="B132" s="734"/>
      <c r="C132" s="772"/>
      <c r="D132" s="736"/>
      <c r="E132" s="737"/>
      <c r="F132" s="754" t="s">
        <v>15</v>
      </c>
      <c r="G132" s="755"/>
      <c r="H132" s="755"/>
      <c r="I132" s="756"/>
      <c r="J132" s="764" t="s">
        <v>15</v>
      </c>
      <c r="K132" s="755"/>
      <c r="L132" s="755"/>
      <c r="M132" s="765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701" t="s">
        <v>112</v>
      </c>
      <c r="F137" s="701"/>
      <c r="G137" s="701"/>
      <c r="H137" s="54" t="s">
        <v>113</v>
      </c>
    </row>
    <row r="138" spans="1:13" ht="40.5" customHeight="1" thickBot="1">
      <c r="A138" s="62">
        <f>E42</f>
        <v>0</v>
      </c>
      <c r="B138" s="63">
        <f>'2017OCT'!H138</f>
        <v>132132.4</v>
      </c>
      <c r="C138" s="63">
        <f>E43-E42</f>
        <v>125399</v>
      </c>
      <c r="D138" s="512">
        <v>48301</v>
      </c>
      <c r="E138" s="681" t="s">
        <v>114</v>
      </c>
      <c r="F138" s="681"/>
      <c r="G138" s="681"/>
      <c r="H138" s="513">
        <f>C138+A138+B138-D138</f>
        <v>209230.4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679" t="s">
        <v>117</v>
      </c>
      <c r="C140" s="679"/>
      <c r="D140" s="679"/>
      <c r="E140" s="679"/>
      <c r="F140" s="679"/>
      <c r="G140" s="680"/>
    </row>
    <row r="141" spans="1:13" ht="45" customHeight="1" thickBot="1">
      <c r="A141" s="56">
        <v>17000</v>
      </c>
      <c r="B141" s="681" t="s">
        <v>114</v>
      </c>
      <c r="C141" s="681"/>
      <c r="D141" s="681"/>
      <c r="E141" s="681"/>
      <c r="F141" s="681"/>
      <c r="G141" s="682"/>
    </row>
    <row r="143" spans="1:13" ht="14">
      <c r="A143" s="127" t="s">
        <v>118</v>
      </c>
    </row>
    <row r="144" spans="1:13">
      <c r="A144" s="629" t="s">
        <v>50</v>
      </c>
      <c r="B144" s="629"/>
      <c r="C144" s="629"/>
      <c r="D144" s="629"/>
      <c r="E144" s="629"/>
      <c r="F144" s="629"/>
      <c r="G144" s="486" t="s">
        <v>119</v>
      </c>
      <c r="H144" s="683" t="s">
        <v>10</v>
      </c>
      <c r="I144" s="684"/>
      <c r="J144" s="684"/>
      <c r="K144" s="685"/>
    </row>
    <row r="145" spans="1:11">
      <c r="A145" s="574" t="s">
        <v>120</v>
      </c>
      <c r="B145" s="686" t="s">
        <v>121</v>
      </c>
      <c r="C145" s="686"/>
      <c r="D145" s="686"/>
      <c r="E145" s="686"/>
      <c r="F145" s="686"/>
      <c r="G145" s="506">
        <v>15</v>
      </c>
      <c r="H145" s="687"/>
      <c r="I145" s="688"/>
      <c r="J145" s="688"/>
      <c r="K145" s="689"/>
    </row>
    <row r="146" spans="1:11">
      <c r="A146" s="574"/>
      <c r="B146" s="686" t="s">
        <v>122</v>
      </c>
      <c r="C146" s="686"/>
      <c r="D146" s="686"/>
      <c r="E146" s="686"/>
      <c r="F146" s="686"/>
      <c r="G146" s="74">
        <v>25659</v>
      </c>
      <c r="H146" s="690"/>
      <c r="I146" s="691"/>
      <c r="J146" s="691"/>
      <c r="K146" s="692"/>
    </row>
    <row r="147" spans="1:11">
      <c r="A147" s="574" t="s">
        <v>123</v>
      </c>
      <c r="B147" s="686" t="s">
        <v>124</v>
      </c>
      <c r="C147" s="686"/>
      <c r="D147" s="686"/>
      <c r="E147" s="686"/>
      <c r="F147" s="686"/>
      <c r="G147" s="479">
        <v>10</v>
      </c>
      <c r="H147" s="670"/>
      <c r="I147" s="671"/>
      <c r="J147" s="671"/>
      <c r="K147" s="672"/>
    </row>
    <row r="148" spans="1:11">
      <c r="A148" s="574"/>
      <c r="B148" s="686" t="s">
        <v>125</v>
      </c>
      <c r="C148" s="686"/>
      <c r="D148" s="686"/>
      <c r="E148" s="686"/>
      <c r="F148" s="686"/>
      <c r="G148" s="75">
        <v>17824</v>
      </c>
      <c r="H148" s="670"/>
      <c r="I148" s="671"/>
      <c r="J148" s="671"/>
      <c r="K148" s="672"/>
    </row>
    <row r="149" spans="1:11" ht="14">
      <c r="A149" s="488" t="s">
        <v>126</v>
      </c>
      <c r="B149" s="686" t="s">
        <v>127</v>
      </c>
      <c r="C149" s="686"/>
      <c r="D149" s="686"/>
      <c r="E149" s="686"/>
      <c r="F149" s="686"/>
      <c r="G149" s="490">
        <v>1889</v>
      </c>
      <c r="H149" s="670"/>
      <c r="I149" s="671"/>
      <c r="J149" s="671"/>
      <c r="K149" s="672"/>
    </row>
    <row r="150" spans="1:11" ht="14">
      <c r="A150" s="488" t="s">
        <v>128</v>
      </c>
      <c r="B150" s="686" t="s">
        <v>129</v>
      </c>
      <c r="C150" s="686"/>
      <c r="D150" s="686"/>
      <c r="E150" s="686"/>
      <c r="F150" s="686"/>
      <c r="G150" s="479"/>
      <c r="H150" s="670"/>
      <c r="I150" s="671"/>
      <c r="J150" s="671"/>
      <c r="K150" s="672"/>
    </row>
  </sheetData>
  <mergeCells count="274"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1:F1"/>
    <mergeCell ref="J3:K3"/>
    <mergeCell ref="L3:M3"/>
    <mergeCell ref="J5:K5"/>
    <mergeCell ref="L5:M5"/>
    <mergeCell ref="J6:K6"/>
    <mergeCell ref="L6:M6"/>
    <mergeCell ref="A14:B14"/>
    <mergeCell ref="E14:I14"/>
  </mergeCells>
  <dataValidations count="2">
    <dataValidation type="list" allowBlank="1" showInputMessage="1" showErrorMessage="1" sqref="L3" xr:uid="{839F7918-3B1B-1642-9FD6-7B7C1C43B074}">
      <formula1>"USA, JAPAN"</formula1>
    </dataValidation>
    <dataValidation type="list" allowBlank="1" showInputMessage="1" showErrorMessage="1" sqref="G1" xr:uid="{9E6EE3F6-5AEB-5A42-AD8A-880FBB445D03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25616-7DFF-7142-8B5D-3196885CB321}">
  <sheetPr codeName="Sheet13">
    <pageSetUpPr fitToPage="1"/>
  </sheetPr>
  <dimension ref="A1:N150"/>
  <sheetViews>
    <sheetView topLeftCell="A123" zoomScale="98" zoomScaleNormal="98" zoomScaleSheetLayoutView="85" workbookViewId="0">
      <selection activeCell="C137" sqref="C137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19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153</v>
      </c>
      <c r="H1" s="2">
        <v>2017</v>
      </c>
      <c r="I1" s="491"/>
      <c r="J1" s="491"/>
      <c r="K1" s="491"/>
      <c r="L1" s="491"/>
      <c r="M1" s="491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4</v>
      </c>
      <c r="M6" s="525"/>
    </row>
    <row r="7" spans="1:13">
      <c r="J7" s="525" t="s">
        <v>6</v>
      </c>
      <c r="K7" s="525"/>
      <c r="L7" s="702"/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470" t="s">
        <v>305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79" t="s">
        <v>306</v>
      </c>
      <c r="C10" s="61">
        <v>5</v>
      </c>
      <c r="D10" s="490">
        <v>5</v>
      </c>
      <c r="E10" s="538" t="s">
        <v>362</v>
      </c>
      <c r="F10" s="538"/>
      <c r="G10" s="538"/>
      <c r="H10" s="538"/>
      <c r="I10" s="539"/>
    </row>
    <row r="11" spans="1:13">
      <c r="A11" s="537"/>
      <c r="B11" s="479" t="s">
        <v>12</v>
      </c>
      <c r="C11" s="61">
        <v>0</v>
      </c>
      <c r="D11" s="490">
        <v>0</v>
      </c>
      <c r="E11" s="768" t="s">
        <v>15</v>
      </c>
      <c r="F11" s="538"/>
      <c r="G11" s="538"/>
      <c r="H11" s="538"/>
      <c r="I11" s="539"/>
    </row>
    <row r="12" spans="1:13">
      <c r="A12" s="537"/>
      <c r="B12" s="479" t="s">
        <v>309</v>
      </c>
      <c r="C12" s="61">
        <v>1</v>
      </c>
      <c r="D12" s="490">
        <v>1</v>
      </c>
      <c r="E12" s="538" t="s">
        <v>130</v>
      </c>
      <c r="F12" s="538"/>
      <c r="G12" s="538"/>
      <c r="H12" s="538"/>
      <c r="I12" s="539"/>
    </row>
    <row r="13" spans="1:13">
      <c r="A13" s="537"/>
      <c r="B13" s="479" t="s">
        <v>13</v>
      </c>
      <c r="C13" s="61">
        <v>5</v>
      </c>
      <c r="D13" s="490">
        <v>0</v>
      </c>
      <c r="E13" s="768" t="s">
        <v>15</v>
      </c>
      <c r="F13" s="538"/>
      <c r="G13" s="538"/>
      <c r="H13" s="538"/>
      <c r="I13" s="539"/>
    </row>
    <row r="14" spans="1:13" s="8" customFormat="1" ht="14" thickBot="1">
      <c r="A14" s="526" t="s">
        <v>14</v>
      </c>
      <c r="B14" s="527"/>
      <c r="C14" s="7">
        <f>SUM(C10:C13)</f>
        <v>11</v>
      </c>
      <c r="D14" s="7">
        <f>SUM(D10:D13)</f>
        <v>6</v>
      </c>
      <c r="E14" s="528" t="s">
        <v>15</v>
      </c>
      <c r="F14" s="529"/>
      <c r="G14" s="529"/>
      <c r="H14" s="529"/>
      <c r="I14" s="530"/>
    </row>
    <row r="15" spans="1:13" s="8" customFormat="1">
      <c r="A15" s="492"/>
      <c r="B15" s="492"/>
      <c r="C15" s="492"/>
      <c r="D15" s="492"/>
      <c r="E15" s="493"/>
      <c r="F15" s="492"/>
      <c r="G15" s="492"/>
      <c r="H15" s="492"/>
      <c r="I15" s="492"/>
    </row>
    <row r="17" spans="1:13" ht="15" thickBot="1">
      <c r="A17" s="127" t="s">
        <v>16</v>
      </c>
      <c r="D17" s="12" t="s">
        <v>17</v>
      </c>
    </row>
    <row r="18" spans="1:13">
      <c r="A18" s="531" t="s">
        <v>18</v>
      </c>
      <c r="B18" s="533" t="s">
        <v>19</v>
      </c>
      <c r="C18" s="533"/>
      <c r="D18" s="533" t="s">
        <v>20</v>
      </c>
      <c r="E18" s="533"/>
      <c r="F18" s="533"/>
      <c r="G18" s="533" t="s">
        <v>21</v>
      </c>
      <c r="H18" s="533"/>
      <c r="I18" s="533"/>
      <c r="J18" s="533" t="s">
        <v>22</v>
      </c>
      <c r="K18" s="533"/>
      <c r="L18" s="533"/>
      <c r="M18" s="536"/>
    </row>
    <row r="19" spans="1:13">
      <c r="A19" s="532"/>
      <c r="B19" s="534"/>
      <c r="C19" s="534"/>
      <c r="D19" s="485" t="s">
        <v>23</v>
      </c>
      <c r="E19" s="485" t="s">
        <v>24</v>
      </c>
      <c r="F19" s="485" t="s">
        <v>25</v>
      </c>
      <c r="G19" s="485" t="s">
        <v>23</v>
      </c>
      <c r="H19" s="485" t="s">
        <v>24</v>
      </c>
      <c r="I19" s="485" t="s">
        <v>25</v>
      </c>
      <c r="J19" s="534"/>
      <c r="K19" s="534"/>
      <c r="L19" s="534"/>
      <c r="M19" s="543"/>
    </row>
    <row r="20" spans="1:13">
      <c r="A20" s="544" t="s">
        <v>26</v>
      </c>
      <c r="B20" s="545"/>
      <c r="C20" s="545"/>
      <c r="D20" s="545"/>
      <c r="E20" s="545"/>
      <c r="F20" s="545"/>
      <c r="G20" s="545"/>
      <c r="H20" s="545"/>
      <c r="I20" s="545"/>
      <c r="J20" s="545"/>
      <c r="K20" s="545"/>
      <c r="L20" s="545"/>
      <c r="M20" s="546"/>
    </row>
    <row r="21" spans="1:13">
      <c r="A21" s="547" t="s">
        <v>27</v>
      </c>
      <c r="B21" s="550" t="s">
        <v>28</v>
      </c>
      <c r="C21" s="128" t="s">
        <v>29</v>
      </c>
      <c r="D21" s="65">
        <v>14458</v>
      </c>
      <c r="E21" s="490">
        <v>10922</v>
      </c>
      <c r="F21" s="14">
        <f t="shared" ref="F21:F26" si="0">E21/D21</f>
        <v>0.75542951998893348</v>
      </c>
      <c r="G21" s="66">
        <f>D21+'2017NOV'!G21</f>
        <v>169998</v>
      </c>
      <c r="H21" s="66">
        <f>E21+'2017NOV'!H21</f>
        <v>129587</v>
      </c>
      <c r="I21" s="14">
        <f t="shared" ref="I21:I26" si="1">H21/G21</f>
        <v>0.76228543865221943</v>
      </c>
      <c r="J21" s="525"/>
      <c r="K21" s="525"/>
      <c r="L21" s="525"/>
      <c r="M21" s="552"/>
    </row>
    <row r="22" spans="1:13" ht="13.5" customHeight="1">
      <c r="A22" s="548"/>
      <c r="B22" s="551"/>
      <c r="C22" s="15" t="s">
        <v>30</v>
      </c>
      <c r="D22" s="487">
        <f>SUM(D21:D21)</f>
        <v>14458</v>
      </c>
      <c r="E22" s="487">
        <f>SUM(E21:E21)</f>
        <v>10922</v>
      </c>
      <c r="F22" s="16">
        <f t="shared" si="0"/>
        <v>0.75542951998893348</v>
      </c>
      <c r="G22" s="487">
        <f>SUM(G21:G21)</f>
        <v>169998</v>
      </c>
      <c r="H22" s="487">
        <f>SUM(H21:H21)</f>
        <v>129587</v>
      </c>
      <c r="I22" s="16">
        <f t="shared" si="1"/>
        <v>0.76228543865221943</v>
      </c>
      <c r="J22" s="553"/>
      <c r="K22" s="553"/>
      <c r="L22" s="553"/>
      <c r="M22" s="554"/>
    </row>
    <row r="23" spans="1:13" ht="13.5" customHeight="1">
      <c r="A23" s="548"/>
      <c r="B23" s="555" t="s">
        <v>31</v>
      </c>
      <c r="C23" s="128" t="s">
        <v>29</v>
      </c>
      <c r="D23" s="65">
        <v>4547</v>
      </c>
      <c r="E23" s="490">
        <v>2735</v>
      </c>
      <c r="F23" s="14">
        <f t="shared" si="0"/>
        <v>0.60149549153287885</v>
      </c>
      <c r="G23" s="66">
        <f>D23+'2017NOV'!G23</f>
        <v>55540</v>
      </c>
      <c r="H23" s="66">
        <f>E23+'2017NOV'!H23</f>
        <v>42382</v>
      </c>
      <c r="I23" s="14">
        <f t="shared" si="1"/>
        <v>0.76308966510622978</v>
      </c>
      <c r="J23" s="525"/>
      <c r="K23" s="525"/>
      <c r="L23" s="525"/>
      <c r="M23" s="552"/>
    </row>
    <row r="24" spans="1:13" ht="13.5" customHeight="1">
      <c r="A24" s="548"/>
      <c r="B24" s="555"/>
      <c r="C24" s="128" t="s">
        <v>32</v>
      </c>
      <c r="D24" s="65">
        <v>0</v>
      </c>
      <c r="E24" s="490">
        <v>0</v>
      </c>
      <c r="F24" s="14" t="e">
        <f t="shared" si="0"/>
        <v>#DIV/0!</v>
      </c>
      <c r="G24" s="479">
        <f>D24</f>
        <v>0</v>
      </c>
      <c r="H24" s="479">
        <f>E24</f>
        <v>0</v>
      </c>
      <c r="I24" s="14" t="e">
        <f t="shared" si="1"/>
        <v>#DIV/0!</v>
      </c>
      <c r="J24" s="525"/>
      <c r="K24" s="525"/>
      <c r="L24" s="525"/>
      <c r="M24" s="552"/>
    </row>
    <row r="25" spans="1:13" ht="13.5" customHeight="1">
      <c r="A25" s="548"/>
      <c r="B25" s="555"/>
      <c r="C25" s="15" t="s">
        <v>30</v>
      </c>
      <c r="D25" s="487">
        <f>SUM(D23:D24)</f>
        <v>4547</v>
      </c>
      <c r="E25" s="487">
        <f>SUM(E23:E24)</f>
        <v>2735</v>
      </c>
      <c r="F25" s="16">
        <f t="shared" si="0"/>
        <v>0.60149549153287885</v>
      </c>
      <c r="G25" s="487">
        <f>SUM(G23:G24)</f>
        <v>55540</v>
      </c>
      <c r="H25" s="487">
        <f>SUM(H23:H24)</f>
        <v>42382</v>
      </c>
      <c r="I25" s="16">
        <f t="shared" si="1"/>
        <v>0.76308966510622978</v>
      </c>
      <c r="J25" s="553"/>
      <c r="K25" s="553"/>
      <c r="L25" s="553"/>
      <c r="M25" s="554"/>
    </row>
    <row r="26" spans="1:13" s="8" customFormat="1" ht="14.25" customHeight="1" thickBot="1">
      <c r="A26" s="549"/>
      <c r="B26" s="556" t="s">
        <v>30</v>
      </c>
      <c r="C26" s="556"/>
      <c r="D26" s="489">
        <f>SUM(D22,D25)</f>
        <v>19005</v>
      </c>
      <c r="E26" s="489">
        <f>SUM(E22,E25)</f>
        <v>13657</v>
      </c>
      <c r="F26" s="17">
        <f t="shared" si="0"/>
        <v>0.71860036832412522</v>
      </c>
      <c r="G26" s="489">
        <f>SUM(G22,G25)</f>
        <v>225538</v>
      </c>
      <c r="H26" s="489">
        <f>SUM(H22,H25)</f>
        <v>171969</v>
      </c>
      <c r="I26" s="17">
        <f t="shared" si="1"/>
        <v>0.76248348393618814</v>
      </c>
      <c r="J26" s="556"/>
      <c r="K26" s="556"/>
      <c r="L26" s="556"/>
      <c r="M26" s="557"/>
    </row>
    <row r="27" spans="1:13">
      <c r="A27" s="558" t="s">
        <v>33</v>
      </c>
      <c r="B27" s="559"/>
      <c r="C27" s="559"/>
      <c r="D27" s="559"/>
      <c r="E27" s="559"/>
      <c r="F27" s="559"/>
      <c r="G27" s="559"/>
      <c r="H27" s="559"/>
      <c r="I27" s="559"/>
      <c r="J27" s="559"/>
      <c r="K27" s="559"/>
      <c r="L27" s="559"/>
      <c r="M27" s="560"/>
    </row>
    <row r="28" spans="1:13" ht="12.75" customHeight="1">
      <c r="A28" s="561" t="s">
        <v>34</v>
      </c>
      <c r="B28" s="564" t="s">
        <v>35</v>
      </c>
      <c r="C28" s="128" t="s">
        <v>29</v>
      </c>
      <c r="D28" s="65">
        <v>200</v>
      </c>
      <c r="E28" s="490">
        <v>7940</v>
      </c>
      <c r="F28" s="14">
        <f>E28/D28</f>
        <v>39.700000000000003</v>
      </c>
      <c r="G28" s="66">
        <f>D28+'2017NOV'!G28</f>
        <v>2400</v>
      </c>
      <c r="H28" s="66">
        <f>E28+'2017NOV'!H28</f>
        <v>20374</v>
      </c>
      <c r="I28" s="14">
        <f>H28/G28</f>
        <v>8.4891666666666659</v>
      </c>
      <c r="J28" s="525"/>
      <c r="K28" s="525"/>
      <c r="L28" s="525"/>
      <c r="M28" s="552"/>
    </row>
    <row r="29" spans="1:13">
      <c r="A29" s="562"/>
      <c r="B29" s="565"/>
      <c r="C29" s="128" t="s">
        <v>32</v>
      </c>
      <c r="D29" s="65">
        <v>0</v>
      </c>
      <c r="E29" s="490">
        <v>0</v>
      </c>
      <c r="F29" s="14" t="e">
        <f t="shared" ref="F29:F45" si="2">E29/D29</f>
        <v>#DIV/0!</v>
      </c>
      <c r="G29" s="66">
        <f>D29</f>
        <v>0</v>
      </c>
      <c r="H29" s="66">
        <f>E29</f>
        <v>0</v>
      </c>
      <c r="I29" s="14" t="e">
        <f t="shared" ref="I29:I45" si="3">H29/G29</f>
        <v>#DIV/0!</v>
      </c>
      <c r="J29" s="525"/>
      <c r="K29" s="525"/>
      <c r="L29" s="525"/>
      <c r="M29" s="552"/>
    </row>
    <row r="30" spans="1:13">
      <c r="A30" s="562"/>
      <c r="B30" s="566"/>
      <c r="C30" s="15" t="s">
        <v>30</v>
      </c>
      <c r="D30" s="487">
        <f>SUM(D28:D29)</f>
        <v>200</v>
      </c>
      <c r="E30" s="487">
        <f>SUM(E28:E29)</f>
        <v>7940</v>
      </c>
      <c r="F30" s="14">
        <f t="shared" si="2"/>
        <v>39.700000000000003</v>
      </c>
      <c r="G30" s="487">
        <f>SUM(G28:G29)</f>
        <v>2400</v>
      </c>
      <c r="H30" s="487">
        <f>SUM(H28:H29)</f>
        <v>20374</v>
      </c>
      <c r="I30" s="14">
        <f t="shared" si="3"/>
        <v>8.4891666666666659</v>
      </c>
      <c r="J30" s="553"/>
      <c r="K30" s="553"/>
      <c r="L30" s="553"/>
      <c r="M30" s="554"/>
    </row>
    <row r="31" spans="1:13" ht="12.75" customHeight="1">
      <c r="A31" s="562"/>
      <c r="B31" s="567" t="s">
        <v>36</v>
      </c>
      <c r="C31" s="568"/>
      <c r="D31" s="65">
        <v>8700</v>
      </c>
      <c r="E31" s="490">
        <v>13167</v>
      </c>
      <c r="F31" s="14">
        <f t="shared" si="2"/>
        <v>1.5134482758620689</v>
      </c>
      <c r="G31" s="66">
        <f>D31+'2017NOV'!G31</f>
        <v>41900</v>
      </c>
      <c r="H31" s="66">
        <f>E31+'2017NOV'!H31</f>
        <v>88999</v>
      </c>
      <c r="I31" s="14">
        <f t="shared" si="3"/>
        <v>2.1240811455847255</v>
      </c>
      <c r="J31" s="525"/>
      <c r="K31" s="525"/>
      <c r="L31" s="525"/>
      <c r="M31" s="552"/>
    </row>
    <row r="32" spans="1:13" s="8" customFormat="1">
      <c r="A32" s="563"/>
      <c r="B32" s="534" t="s">
        <v>30</v>
      </c>
      <c r="C32" s="534"/>
      <c r="D32" s="485">
        <f>SUM(D30,D31)</f>
        <v>8900</v>
      </c>
      <c r="E32" s="485">
        <f>SUM(E30,E31)</f>
        <v>21107</v>
      </c>
      <c r="F32" s="14">
        <f t="shared" si="2"/>
        <v>2.3715730337078651</v>
      </c>
      <c r="G32" s="485">
        <f>SUM(G30,G31)</f>
        <v>44300</v>
      </c>
      <c r="H32" s="485">
        <f>SUM(H30,H31)</f>
        <v>109373</v>
      </c>
      <c r="I32" s="14">
        <f t="shared" si="3"/>
        <v>2.4689164785553048</v>
      </c>
      <c r="J32" s="534"/>
      <c r="K32" s="534"/>
      <c r="L32" s="534"/>
      <c r="M32" s="543"/>
    </row>
    <row r="33" spans="1:13">
      <c r="A33" s="573" t="s">
        <v>37</v>
      </c>
      <c r="B33" s="555" t="s">
        <v>38</v>
      </c>
      <c r="C33" s="18" t="s">
        <v>39</v>
      </c>
      <c r="D33" s="65">
        <v>35000</v>
      </c>
      <c r="E33" s="479">
        <v>86945</v>
      </c>
      <c r="F33" s="14">
        <f t="shared" si="2"/>
        <v>2.484142857142857</v>
      </c>
      <c r="G33" s="66">
        <f>D33+'2017NOV'!G33</f>
        <v>420000</v>
      </c>
      <c r="H33" s="66">
        <f>E33+'2017NOV'!H33</f>
        <v>173890</v>
      </c>
      <c r="I33" s="14">
        <f t="shared" si="3"/>
        <v>0.41402380952380952</v>
      </c>
      <c r="J33" s="525"/>
      <c r="K33" s="525"/>
      <c r="L33" s="525"/>
      <c r="M33" s="552"/>
    </row>
    <row r="34" spans="1:13">
      <c r="A34" s="573"/>
      <c r="B34" s="555"/>
      <c r="C34" s="128" t="s">
        <v>40</v>
      </c>
      <c r="D34" s="479"/>
      <c r="E34" s="479"/>
      <c r="F34" s="14" t="e">
        <f t="shared" si="2"/>
        <v>#DIV/0!</v>
      </c>
      <c r="G34" s="479"/>
      <c r="H34" s="479"/>
      <c r="I34" s="14" t="e">
        <f t="shared" si="3"/>
        <v>#DIV/0!</v>
      </c>
      <c r="J34" s="525"/>
      <c r="K34" s="525"/>
      <c r="L34" s="525"/>
      <c r="M34" s="552"/>
    </row>
    <row r="35" spans="1:13">
      <c r="A35" s="573"/>
      <c r="B35" s="555"/>
      <c r="C35" s="15" t="s">
        <v>30</v>
      </c>
      <c r="D35" s="487">
        <f>SUM(D33:D34)</f>
        <v>35000</v>
      </c>
      <c r="E35" s="487">
        <f>SUM(E33:E34)</f>
        <v>86945</v>
      </c>
      <c r="F35" s="16">
        <f t="shared" si="2"/>
        <v>2.484142857142857</v>
      </c>
      <c r="G35" s="479">
        <f>SUM(G33:G34)</f>
        <v>420000</v>
      </c>
      <c r="H35" s="479">
        <f>SUM(H33:H34)</f>
        <v>173890</v>
      </c>
      <c r="I35" s="16">
        <f t="shared" si="3"/>
        <v>0.41402380952380952</v>
      </c>
      <c r="J35" s="553"/>
      <c r="K35" s="553"/>
      <c r="L35" s="553"/>
      <c r="M35" s="554"/>
    </row>
    <row r="36" spans="1:13" ht="12" customHeight="1">
      <c r="A36" s="573"/>
      <c r="B36" s="574" t="s">
        <v>41</v>
      </c>
      <c r="C36" s="18" t="s">
        <v>270</v>
      </c>
      <c r="D36" s="65">
        <v>2222</v>
      </c>
      <c r="E36" s="490">
        <v>0</v>
      </c>
      <c r="F36" s="14">
        <f t="shared" si="2"/>
        <v>0</v>
      </c>
      <c r="G36" s="66">
        <f>D36+'2017NOV'!G36</f>
        <v>19998</v>
      </c>
      <c r="H36" s="66">
        <f>E36+'2017NOV'!H36</f>
        <v>28435</v>
      </c>
      <c r="I36" s="14">
        <f t="shared" si="3"/>
        <v>1.4218921892189218</v>
      </c>
      <c r="J36" s="525"/>
      <c r="K36" s="525"/>
      <c r="L36" s="525"/>
      <c r="M36" s="552"/>
    </row>
    <row r="37" spans="1:13" ht="12" customHeight="1">
      <c r="A37" s="573"/>
      <c r="B37" s="574"/>
      <c r="C37" s="128" t="s">
        <v>40</v>
      </c>
      <c r="D37" s="479"/>
      <c r="E37" s="479"/>
      <c r="F37" s="14" t="e">
        <f t="shared" si="2"/>
        <v>#DIV/0!</v>
      </c>
      <c r="G37" s="479"/>
      <c r="H37" s="479"/>
      <c r="I37" s="14" t="e">
        <f t="shared" si="3"/>
        <v>#DIV/0!</v>
      </c>
      <c r="J37" s="525"/>
      <c r="K37" s="525"/>
      <c r="L37" s="525"/>
      <c r="M37" s="552"/>
    </row>
    <row r="38" spans="1:13" ht="12" customHeight="1">
      <c r="A38" s="573"/>
      <c r="B38" s="574"/>
      <c r="C38" s="15" t="s">
        <v>30</v>
      </c>
      <c r="D38" s="487">
        <f>SUM(D36:D37)</f>
        <v>2222</v>
      </c>
      <c r="E38" s="487">
        <f>SUM(E36:E37)</f>
        <v>0</v>
      </c>
      <c r="F38" s="16">
        <f t="shared" si="2"/>
        <v>0</v>
      </c>
      <c r="G38" s="487">
        <f>SUM(G36:G37)</f>
        <v>19998</v>
      </c>
      <c r="H38" s="487">
        <f>SUM(H36:H37)</f>
        <v>28435</v>
      </c>
      <c r="I38" s="16">
        <f t="shared" si="3"/>
        <v>1.4218921892189218</v>
      </c>
      <c r="J38" s="553"/>
      <c r="K38" s="553"/>
      <c r="L38" s="553"/>
      <c r="M38" s="554"/>
    </row>
    <row r="39" spans="1:13" s="8" customFormat="1" ht="12" customHeight="1">
      <c r="A39" s="573"/>
      <c r="B39" s="534" t="s">
        <v>30</v>
      </c>
      <c r="C39" s="534"/>
      <c r="D39" s="485">
        <f>SUM(D35,D38)</f>
        <v>37222</v>
      </c>
      <c r="E39" s="485">
        <f>SUM(E35,E38)</f>
        <v>86945</v>
      </c>
      <c r="F39" s="19">
        <f t="shared" si="2"/>
        <v>2.3358497662672613</v>
      </c>
      <c r="G39" s="485">
        <f>SUM(G35,G38)</f>
        <v>439998</v>
      </c>
      <c r="H39" s="485">
        <f>SUM(H35,H38)</f>
        <v>202325</v>
      </c>
      <c r="I39" s="19">
        <f t="shared" si="3"/>
        <v>0.45983163559834361</v>
      </c>
      <c r="J39" s="534"/>
      <c r="K39" s="534"/>
      <c r="L39" s="534"/>
      <c r="M39" s="543"/>
    </row>
    <row r="40" spans="1:13" s="8" customFormat="1">
      <c r="A40" s="569" t="s">
        <v>42</v>
      </c>
      <c r="B40" s="570"/>
      <c r="C40" s="570"/>
      <c r="D40" s="67">
        <v>300</v>
      </c>
      <c r="E40" s="511">
        <f>C123+E123+G123+I123</f>
        <v>29728</v>
      </c>
      <c r="F40" s="21">
        <f t="shared" si="2"/>
        <v>99.093333333333334</v>
      </c>
      <c r="G40" s="68">
        <f>D40+'2017NOV'!G40</f>
        <v>3600</v>
      </c>
      <c r="H40" s="77">
        <f>E40+'2017NOV'!H40</f>
        <v>60191.4</v>
      </c>
      <c r="I40" s="21">
        <f t="shared" si="3"/>
        <v>16.719833333333334</v>
      </c>
      <c r="J40" s="570"/>
      <c r="K40" s="570"/>
      <c r="L40" s="570"/>
      <c r="M40" s="571"/>
    </row>
    <row r="41" spans="1:13" s="8" customFormat="1">
      <c r="A41" s="569" t="s">
        <v>43</v>
      </c>
      <c r="B41" s="570"/>
      <c r="C41" s="570"/>
      <c r="D41" s="67">
        <v>6750</v>
      </c>
      <c r="E41" s="20">
        <v>0</v>
      </c>
      <c r="F41" s="21">
        <f t="shared" si="2"/>
        <v>0</v>
      </c>
      <c r="G41" s="68">
        <f>D41+'2017NOV'!G41</f>
        <v>54000</v>
      </c>
      <c r="H41" s="68">
        <f>E41+'2017NOV'!H41</f>
        <v>0</v>
      </c>
      <c r="I41" s="21">
        <f t="shared" si="3"/>
        <v>0</v>
      </c>
      <c r="J41" s="572" t="s">
        <v>44</v>
      </c>
      <c r="K41" s="570"/>
      <c r="L41" s="570"/>
      <c r="M41" s="571"/>
    </row>
    <row r="42" spans="1:13" s="8" customFormat="1">
      <c r="A42" s="569" t="s">
        <v>45</v>
      </c>
      <c r="B42" s="570"/>
      <c r="C42" s="570"/>
      <c r="D42" s="67">
        <v>13000</v>
      </c>
      <c r="E42" s="20">
        <v>0</v>
      </c>
      <c r="F42" s="21">
        <f t="shared" si="2"/>
        <v>0</v>
      </c>
      <c r="G42" s="68">
        <f>D42+'2017NOV'!G42</f>
        <v>200000</v>
      </c>
      <c r="H42" s="68">
        <f>E42+'2017NOV'!H42</f>
        <v>342145</v>
      </c>
      <c r="I42" s="21">
        <f t="shared" si="3"/>
        <v>1.7107250000000001</v>
      </c>
      <c r="J42" s="570"/>
      <c r="K42" s="570"/>
      <c r="L42" s="570"/>
      <c r="M42" s="571"/>
    </row>
    <row r="43" spans="1:13" s="8" customFormat="1">
      <c r="A43" s="587" t="s">
        <v>46</v>
      </c>
      <c r="B43" s="588"/>
      <c r="C43" s="589"/>
      <c r="D43" s="484">
        <f>SUM(D26,D32,D39,D40:D42)</f>
        <v>85177</v>
      </c>
      <c r="E43" s="78">
        <f>SUM(E26,E32,E39,E40:E42)</f>
        <v>151437</v>
      </c>
      <c r="F43" s="22">
        <f t="shared" si="2"/>
        <v>1.7779095295678411</v>
      </c>
      <c r="G43" s="484">
        <f>SUM(G26,G32,G39,G40:G42)</f>
        <v>967436</v>
      </c>
      <c r="H43" s="484">
        <f>SUM(H26,H32,H39,H40:H42)</f>
        <v>886003.4</v>
      </c>
      <c r="I43" s="22">
        <f t="shared" si="3"/>
        <v>0.91582636990974087</v>
      </c>
      <c r="J43" s="590" t="s">
        <v>15</v>
      </c>
      <c r="K43" s="591"/>
      <c r="L43" s="591"/>
      <c r="M43" s="592"/>
    </row>
    <row r="44" spans="1:13" s="8" customFormat="1">
      <c r="A44" s="587" t="s">
        <v>47</v>
      </c>
      <c r="B44" s="588"/>
      <c r="C44" s="589"/>
      <c r="D44" s="484">
        <f>D43-D40</f>
        <v>84877</v>
      </c>
      <c r="E44" s="484">
        <f>E43-E40</f>
        <v>121709</v>
      </c>
      <c r="F44" s="22">
        <f t="shared" si="2"/>
        <v>1.4339455918564512</v>
      </c>
      <c r="G44" s="484">
        <f>G43-G40</f>
        <v>963836</v>
      </c>
      <c r="H44" s="484">
        <f>H43-H40</f>
        <v>825812</v>
      </c>
      <c r="I44" s="22">
        <f t="shared" si="3"/>
        <v>0.85679721446387147</v>
      </c>
      <c r="J44" s="590" t="s">
        <v>15</v>
      </c>
      <c r="K44" s="591"/>
      <c r="L44" s="591"/>
      <c r="M44" s="592"/>
    </row>
    <row r="45" spans="1:13" s="8" customFormat="1" ht="14" thickBot="1">
      <c r="A45" s="575" t="s">
        <v>48</v>
      </c>
      <c r="B45" s="576"/>
      <c r="C45" s="577"/>
      <c r="D45" s="482">
        <f>D44-D42</f>
        <v>71877</v>
      </c>
      <c r="E45" s="482">
        <f>E44-E42</f>
        <v>121709</v>
      </c>
      <c r="F45" s="23">
        <f t="shared" si="2"/>
        <v>1.6932954909080791</v>
      </c>
      <c r="G45" s="482">
        <f>G44-G42</f>
        <v>763836</v>
      </c>
      <c r="H45" s="482">
        <f>H44-H42</f>
        <v>483667</v>
      </c>
      <c r="I45" s="23">
        <f t="shared" si="3"/>
        <v>0.63320791374064589</v>
      </c>
      <c r="J45" s="578" t="s">
        <v>15</v>
      </c>
      <c r="K45" s="579"/>
      <c r="L45" s="579"/>
      <c r="M45" s="580"/>
    </row>
    <row r="46" spans="1:13" s="8" customFormat="1">
      <c r="A46" s="494"/>
      <c r="B46" s="494"/>
      <c r="C46" s="494"/>
      <c r="D46" s="494"/>
      <c r="E46" s="494"/>
      <c r="F46" s="495"/>
      <c r="G46" s="494"/>
      <c r="H46" s="494"/>
      <c r="I46" s="495"/>
      <c r="J46" s="496"/>
      <c r="K46" s="494"/>
      <c r="L46" s="494"/>
      <c r="M46" s="494"/>
    </row>
    <row r="48" spans="1:13" ht="15" thickBot="1">
      <c r="A48" s="127" t="s">
        <v>49</v>
      </c>
    </row>
    <row r="49" spans="1:13" ht="16.5" customHeight="1">
      <c r="A49" s="581" t="s">
        <v>50</v>
      </c>
      <c r="B49" s="582"/>
      <c r="C49" s="582"/>
      <c r="D49" s="582" t="s">
        <v>20</v>
      </c>
      <c r="E49" s="582"/>
      <c r="F49" s="582"/>
      <c r="G49" s="582" t="s">
        <v>21</v>
      </c>
      <c r="H49" s="582"/>
      <c r="I49" s="582"/>
      <c r="J49" s="582" t="s">
        <v>10</v>
      </c>
      <c r="K49" s="582"/>
      <c r="L49" s="582"/>
      <c r="M49" s="585"/>
    </row>
    <row r="50" spans="1:13">
      <c r="A50" s="583"/>
      <c r="B50" s="584"/>
      <c r="C50" s="584"/>
      <c r="D50" s="480" t="s">
        <v>23</v>
      </c>
      <c r="E50" s="480" t="s">
        <v>24</v>
      </c>
      <c r="F50" s="480" t="s">
        <v>25</v>
      </c>
      <c r="G50" s="480" t="s">
        <v>23</v>
      </c>
      <c r="H50" s="480" t="s">
        <v>24</v>
      </c>
      <c r="I50" s="480" t="s">
        <v>25</v>
      </c>
      <c r="J50" s="584"/>
      <c r="K50" s="584"/>
      <c r="L50" s="584"/>
      <c r="M50" s="586"/>
    </row>
    <row r="51" spans="1:13" ht="13.5" customHeight="1">
      <c r="A51" s="593" t="s">
        <v>51</v>
      </c>
      <c r="B51" s="525" t="s">
        <v>29</v>
      </c>
      <c r="C51" s="27" t="s">
        <v>52</v>
      </c>
      <c r="D51" s="65">
        <v>5</v>
      </c>
      <c r="E51" s="490">
        <v>35</v>
      </c>
      <c r="F51" s="28">
        <f t="shared" ref="F51:F77" si="4">E51/D51</f>
        <v>7</v>
      </c>
      <c r="G51" s="66">
        <f>D51+'2017NOV'!G51</f>
        <v>60</v>
      </c>
      <c r="H51" s="66">
        <f>E51+'2017NOV'!H51</f>
        <v>182</v>
      </c>
      <c r="I51" s="28">
        <f t="shared" ref="I51:I77" si="5">H51/G51</f>
        <v>3.0333333333333332</v>
      </c>
      <c r="J51" s="596"/>
      <c r="K51" s="597"/>
      <c r="L51" s="597"/>
      <c r="M51" s="598"/>
    </row>
    <row r="52" spans="1:13">
      <c r="A52" s="594"/>
      <c r="B52" s="525"/>
      <c r="C52" s="27" t="s">
        <v>53</v>
      </c>
      <c r="D52" s="65">
        <v>385</v>
      </c>
      <c r="E52" s="490">
        <v>279</v>
      </c>
      <c r="F52" s="28">
        <f t="shared" si="4"/>
        <v>0.72467532467532469</v>
      </c>
      <c r="G52" s="66">
        <f>D52+'2017NOV'!G52</f>
        <v>4828</v>
      </c>
      <c r="H52" s="66">
        <f>E52+'2017NOV'!H52</f>
        <v>4123</v>
      </c>
      <c r="I52" s="28">
        <f t="shared" si="5"/>
        <v>0.85397680198840098</v>
      </c>
      <c r="J52" s="596"/>
      <c r="K52" s="597"/>
      <c r="L52" s="597"/>
      <c r="M52" s="598"/>
    </row>
    <row r="53" spans="1:13">
      <c r="A53" s="595"/>
      <c r="B53" s="525"/>
      <c r="C53" s="29" t="s">
        <v>54</v>
      </c>
      <c r="D53" s="487">
        <f>SUM(D51:D52)</f>
        <v>390</v>
      </c>
      <c r="E53" s="487">
        <f>SUM(E51:E52)</f>
        <v>314</v>
      </c>
      <c r="F53" s="30">
        <f t="shared" si="4"/>
        <v>0.80512820512820515</v>
      </c>
      <c r="G53" s="487">
        <f>SUM(G51:G52)</f>
        <v>4888</v>
      </c>
      <c r="H53" s="487">
        <f>SUM(H51:H52)</f>
        <v>4305</v>
      </c>
      <c r="I53" s="30">
        <f t="shared" si="5"/>
        <v>0.88072831423895259</v>
      </c>
      <c r="J53" s="599"/>
      <c r="K53" s="600"/>
      <c r="L53" s="600"/>
      <c r="M53" s="601"/>
    </row>
    <row r="54" spans="1:13">
      <c r="A54" s="602" t="s">
        <v>55</v>
      </c>
      <c r="B54" s="525" t="s">
        <v>52</v>
      </c>
      <c r="C54" s="525"/>
      <c r="D54" s="65">
        <v>2</v>
      </c>
      <c r="E54" s="490">
        <v>0</v>
      </c>
      <c r="F54" s="28">
        <f t="shared" si="4"/>
        <v>0</v>
      </c>
      <c r="G54" s="66">
        <f>D54+'2017NOV'!G54</f>
        <v>24</v>
      </c>
      <c r="H54" s="66">
        <f>E54+'2017NOV'!H54</f>
        <v>221</v>
      </c>
      <c r="I54" s="28">
        <f t="shared" si="5"/>
        <v>9.2083333333333339</v>
      </c>
      <c r="J54" s="596"/>
      <c r="K54" s="597"/>
      <c r="L54" s="597"/>
      <c r="M54" s="598"/>
    </row>
    <row r="55" spans="1:13">
      <c r="A55" s="602"/>
      <c r="B55" s="525" t="s">
        <v>53</v>
      </c>
      <c r="C55" s="525"/>
      <c r="D55" s="65">
        <v>287</v>
      </c>
      <c r="E55" s="490">
        <v>203</v>
      </c>
      <c r="F55" s="28">
        <f t="shared" si="4"/>
        <v>0.70731707317073167</v>
      </c>
      <c r="G55" s="66">
        <f>D55+'2017NOV'!G55</f>
        <v>3599</v>
      </c>
      <c r="H55" s="66">
        <f>E55+'2017NOV'!H55</f>
        <v>3480</v>
      </c>
      <c r="I55" s="28">
        <f t="shared" si="5"/>
        <v>0.96693525979438733</v>
      </c>
      <c r="J55" s="596"/>
      <c r="K55" s="597"/>
      <c r="L55" s="597"/>
      <c r="M55" s="598"/>
    </row>
    <row r="56" spans="1:13">
      <c r="A56" s="602"/>
      <c r="B56" s="603" t="s">
        <v>30</v>
      </c>
      <c r="C56" s="603"/>
      <c r="D56" s="474">
        <f>SUM(D54:D55)</f>
        <v>289</v>
      </c>
      <c r="E56" s="474">
        <f>SUM(E54:E55)</f>
        <v>203</v>
      </c>
      <c r="F56" s="28">
        <f t="shared" si="4"/>
        <v>0.70242214532871972</v>
      </c>
      <c r="G56" s="474">
        <f>SUM(G54:G55)</f>
        <v>3623</v>
      </c>
      <c r="H56" s="474">
        <f>SUM(H54:H55)</f>
        <v>3701</v>
      </c>
      <c r="I56" s="31">
        <f t="shared" si="5"/>
        <v>1.0215291195142147</v>
      </c>
      <c r="J56" s="604"/>
      <c r="K56" s="605"/>
      <c r="L56" s="605"/>
      <c r="M56" s="606"/>
    </row>
    <row r="57" spans="1:13" s="8" customFormat="1">
      <c r="A57" s="607" t="s">
        <v>46</v>
      </c>
      <c r="B57" s="609" t="s">
        <v>52</v>
      </c>
      <c r="C57" s="609"/>
      <c r="D57" s="473">
        <f>SUM(D51,D54)</f>
        <v>7</v>
      </c>
      <c r="E57" s="473">
        <f>SUM(E51,E54)</f>
        <v>35</v>
      </c>
      <c r="F57" s="32">
        <f t="shared" si="4"/>
        <v>5</v>
      </c>
      <c r="G57" s="473">
        <f>SUM(G51,G54)</f>
        <v>84</v>
      </c>
      <c r="H57" s="473">
        <f>SUM(H51,H54)</f>
        <v>403</v>
      </c>
      <c r="I57" s="32">
        <f t="shared" si="5"/>
        <v>4.7976190476190474</v>
      </c>
      <c r="J57" s="610"/>
      <c r="K57" s="611"/>
      <c r="L57" s="611"/>
      <c r="M57" s="612"/>
    </row>
    <row r="58" spans="1:13" s="8" customFormat="1">
      <c r="A58" s="607"/>
      <c r="B58" s="609" t="s">
        <v>53</v>
      </c>
      <c r="C58" s="609"/>
      <c r="D58" s="473">
        <f>SUM(D52,D55)</f>
        <v>672</v>
      </c>
      <c r="E58" s="473">
        <f>SUM(E52,E55)</f>
        <v>482</v>
      </c>
      <c r="F58" s="32">
        <f t="shared" si="4"/>
        <v>0.71726190476190477</v>
      </c>
      <c r="G58" s="473">
        <f>SUM(G52,G55)</f>
        <v>8427</v>
      </c>
      <c r="H58" s="473">
        <f>SUM(H52,H55)</f>
        <v>7603</v>
      </c>
      <c r="I58" s="32">
        <f t="shared" si="5"/>
        <v>0.90221905779043554</v>
      </c>
      <c r="J58" s="610"/>
      <c r="K58" s="611"/>
      <c r="L58" s="611"/>
      <c r="M58" s="612"/>
    </row>
    <row r="59" spans="1:13" s="8" customFormat="1" ht="17.25" customHeight="1" thickBot="1">
      <c r="A59" s="608"/>
      <c r="B59" s="613" t="s">
        <v>56</v>
      </c>
      <c r="C59" s="613"/>
      <c r="D59" s="481">
        <f>SUM(D57:D58)</f>
        <v>679</v>
      </c>
      <c r="E59" s="481">
        <f>SUM(E57:E58)</f>
        <v>517</v>
      </c>
      <c r="F59" s="33">
        <f t="shared" si="4"/>
        <v>0.76141384388807065</v>
      </c>
      <c r="G59" s="481">
        <f>SUM(G57:G58)</f>
        <v>8511</v>
      </c>
      <c r="H59" s="481">
        <f>SUM(H57:H58)</f>
        <v>8006</v>
      </c>
      <c r="I59" s="33">
        <f t="shared" si="5"/>
        <v>0.94066502173657618</v>
      </c>
      <c r="J59" s="614"/>
      <c r="K59" s="615"/>
      <c r="L59" s="615"/>
      <c r="M59" s="616"/>
    </row>
    <row r="60" spans="1:13">
      <c r="A60" s="593" t="s">
        <v>57</v>
      </c>
      <c r="B60" s="525" t="s">
        <v>29</v>
      </c>
      <c r="C60" s="27" t="s">
        <v>52</v>
      </c>
      <c r="D60" s="65">
        <v>16</v>
      </c>
      <c r="E60" s="479">
        <f>E69/10</f>
        <v>121.7</v>
      </c>
      <c r="F60" s="28">
        <f t="shared" si="4"/>
        <v>7.6062500000000002</v>
      </c>
      <c r="G60" s="66">
        <f>D60+'2017NOV'!G60</f>
        <v>192</v>
      </c>
      <c r="H60" s="66">
        <f>E60+'2017NOV'!H60</f>
        <v>597.70000000000005</v>
      </c>
      <c r="I60" s="28">
        <f t="shared" si="5"/>
        <v>3.1130208333333336</v>
      </c>
      <c r="J60" s="596"/>
      <c r="K60" s="597"/>
      <c r="L60" s="597"/>
      <c r="M60" s="598"/>
    </row>
    <row r="61" spans="1:13">
      <c r="A61" s="594"/>
      <c r="B61" s="525"/>
      <c r="C61" s="27" t="s">
        <v>53</v>
      </c>
      <c r="D61" s="65">
        <v>1260</v>
      </c>
      <c r="E61" s="479">
        <f>E70/10</f>
        <v>970.5</v>
      </c>
      <c r="F61" s="28">
        <f t="shared" si="4"/>
        <v>0.77023809523809528</v>
      </c>
      <c r="G61" s="66">
        <f>D61+'2017NOV'!G61</f>
        <v>15790</v>
      </c>
      <c r="H61" s="66">
        <f>E61+'2017NOV'!H61</f>
        <v>12361</v>
      </c>
      <c r="I61" s="28">
        <f t="shared" si="5"/>
        <v>0.78283723875870803</v>
      </c>
      <c r="J61" s="596"/>
      <c r="K61" s="597"/>
      <c r="L61" s="597"/>
      <c r="M61" s="598"/>
    </row>
    <row r="62" spans="1:13">
      <c r="A62" s="595"/>
      <c r="B62" s="525"/>
      <c r="C62" s="29" t="s">
        <v>54</v>
      </c>
      <c r="D62" s="61">
        <f>SUM(D60:D61)</f>
        <v>1276</v>
      </c>
      <c r="E62" s="487">
        <f>SUM(E60:E61)</f>
        <v>1092.2</v>
      </c>
      <c r="F62" s="30">
        <f t="shared" si="4"/>
        <v>0.8559561128526646</v>
      </c>
      <c r="G62" s="487">
        <f>SUM(G60:G61)</f>
        <v>15982</v>
      </c>
      <c r="H62" s="487">
        <f>SUM(H60:H61)</f>
        <v>12958.7</v>
      </c>
      <c r="I62" s="30">
        <f t="shared" si="5"/>
        <v>0.81083093480165191</v>
      </c>
      <c r="J62" s="599"/>
      <c r="K62" s="600"/>
      <c r="L62" s="600"/>
      <c r="M62" s="601"/>
    </row>
    <row r="63" spans="1:13">
      <c r="A63" s="602" t="s">
        <v>58</v>
      </c>
      <c r="B63" s="525" t="s">
        <v>52</v>
      </c>
      <c r="C63" s="525"/>
      <c r="D63" s="65">
        <v>2</v>
      </c>
      <c r="E63" s="479">
        <f>E72/10</f>
        <v>0</v>
      </c>
      <c r="F63" s="28">
        <f t="shared" si="4"/>
        <v>0</v>
      </c>
      <c r="G63" s="66">
        <f>D63+'2017NOV'!G63</f>
        <v>24</v>
      </c>
      <c r="H63" s="66">
        <f>E63+'2017NOV'!H63</f>
        <v>43.1</v>
      </c>
      <c r="I63" s="28">
        <f t="shared" si="5"/>
        <v>1.7958333333333334</v>
      </c>
      <c r="J63" s="596"/>
      <c r="K63" s="597"/>
      <c r="L63" s="597"/>
      <c r="M63" s="598"/>
    </row>
    <row r="64" spans="1:13">
      <c r="A64" s="602"/>
      <c r="B64" s="525" t="s">
        <v>53</v>
      </c>
      <c r="C64" s="525"/>
      <c r="D64" s="65">
        <v>431</v>
      </c>
      <c r="E64" s="479">
        <f>E73/10</f>
        <v>273.5</v>
      </c>
      <c r="F64" s="28">
        <f t="shared" si="4"/>
        <v>0.63457076566125292</v>
      </c>
      <c r="G64" s="66">
        <f>D64+'2017NOV'!G64</f>
        <v>5398</v>
      </c>
      <c r="H64" s="66">
        <f>E64+'2017NOV'!H64</f>
        <v>4195.1000000000004</v>
      </c>
      <c r="I64" s="28">
        <f t="shared" si="5"/>
        <v>0.77715820674323832</v>
      </c>
      <c r="J64" s="596"/>
      <c r="K64" s="597"/>
      <c r="L64" s="597"/>
      <c r="M64" s="598"/>
    </row>
    <row r="65" spans="1:14">
      <c r="A65" s="602"/>
      <c r="B65" s="603" t="s">
        <v>30</v>
      </c>
      <c r="C65" s="603"/>
      <c r="D65" s="474">
        <f>SUM(D63:D64)</f>
        <v>433</v>
      </c>
      <c r="E65" s="474">
        <f>SUM(E63:E64)</f>
        <v>273.5</v>
      </c>
      <c r="F65" s="31">
        <f t="shared" si="4"/>
        <v>0.63163972286374137</v>
      </c>
      <c r="G65" s="474">
        <f>SUM(G63:G64)</f>
        <v>5422</v>
      </c>
      <c r="H65" s="474">
        <f>SUM(H63:H64)</f>
        <v>4238.2000000000007</v>
      </c>
      <c r="I65" s="31">
        <f t="shared" si="5"/>
        <v>0.78166728144596098</v>
      </c>
      <c r="J65" s="604"/>
      <c r="K65" s="605"/>
      <c r="L65" s="605"/>
      <c r="M65" s="606"/>
    </row>
    <row r="66" spans="1:14" s="8" customFormat="1">
      <c r="A66" s="607" t="s">
        <v>46</v>
      </c>
      <c r="B66" s="609" t="s">
        <v>52</v>
      </c>
      <c r="C66" s="609"/>
      <c r="D66" s="473">
        <f>SUM(D60,D63)</f>
        <v>18</v>
      </c>
      <c r="E66" s="473">
        <f>SUM(E60,E63)</f>
        <v>121.7</v>
      </c>
      <c r="F66" s="32">
        <f t="shared" si="4"/>
        <v>6.7611111111111111</v>
      </c>
      <c r="G66" s="473">
        <f>SUM(G60,G63)</f>
        <v>216</v>
      </c>
      <c r="H66" s="473">
        <f>SUM(H60,H63)</f>
        <v>640.80000000000007</v>
      </c>
      <c r="I66" s="32">
        <f t="shared" si="5"/>
        <v>2.9666666666666668</v>
      </c>
      <c r="J66" s="610"/>
      <c r="K66" s="611"/>
      <c r="L66" s="611"/>
      <c r="M66" s="612"/>
    </row>
    <row r="67" spans="1:14" s="8" customFormat="1">
      <c r="A67" s="607"/>
      <c r="B67" s="609" t="s">
        <v>53</v>
      </c>
      <c r="C67" s="609"/>
      <c r="D67" s="473">
        <f>SUM(D61,D64)</f>
        <v>1691</v>
      </c>
      <c r="E67" s="473">
        <f>SUM(E61,E64)</f>
        <v>1244</v>
      </c>
      <c r="F67" s="32">
        <f t="shared" si="4"/>
        <v>0.73565937315198104</v>
      </c>
      <c r="G67" s="473">
        <f>SUM(G61,G64)</f>
        <v>21188</v>
      </c>
      <c r="H67" s="473">
        <f>SUM(H61,H64)</f>
        <v>16556.099999999999</v>
      </c>
      <c r="I67" s="32">
        <f t="shared" si="5"/>
        <v>0.7813904096658485</v>
      </c>
      <c r="J67" s="610"/>
      <c r="K67" s="611"/>
      <c r="L67" s="611"/>
      <c r="M67" s="612"/>
    </row>
    <row r="68" spans="1:14" s="8" customFormat="1" ht="14" thickBot="1">
      <c r="A68" s="608"/>
      <c r="B68" s="613" t="s">
        <v>59</v>
      </c>
      <c r="C68" s="613"/>
      <c r="D68" s="481">
        <f>SUM(D66:D67)</f>
        <v>1709</v>
      </c>
      <c r="E68" s="481">
        <f>SUM(E66:E67)</f>
        <v>1365.7</v>
      </c>
      <c r="F68" s="34">
        <f t="shared" si="4"/>
        <v>0.79912229373902866</v>
      </c>
      <c r="G68" s="481">
        <f>SUM(G66:G67)</f>
        <v>21404</v>
      </c>
      <c r="H68" s="481">
        <f>SUM(H66:H67)</f>
        <v>17196.899999999998</v>
      </c>
      <c r="I68" s="34">
        <f t="shared" si="5"/>
        <v>0.80344328162960188</v>
      </c>
      <c r="J68" s="614"/>
      <c r="K68" s="615"/>
      <c r="L68" s="615"/>
      <c r="M68" s="616"/>
    </row>
    <row r="69" spans="1:14">
      <c r="A69" s="593" t="s">
        <v>60</v>
      </c>
      <c r="B69" s="525" t="s">
        <v>29</v>
      </c>
      <c r="C69" s="27" t="s">
        <v>52</v>
      </c>
      <c r="D69" s="65">
        <v>1860</v>
      </c>
      <c r="E69" s="490">
        <v>1217</v>
      </c>
      <c r="F69" s="28">
        <f t="shared" si="4"/>
        <v>0.6543010752688172</v>
      </c>
      <c r="G69" s="66">
        <f>D69+'2017NOV'!G69</f>
        <v>12090</v>
      </c>
      <c r="H69" s="66">
        <f>E69+'2017NOV'!H69</f>
        <v>5977</v>
      </c>
      <c r="I69" s="28">
        <f t="shared" si="5"/>
        <v>0.49437551695616211</v>
      </c>
      <c r="J69" s="596"/>
      <c r="K69" s="597"/>
      <c r="L69" s="597"/>
      <c r="M69" s="598"/>
    </row>
    <row r="70" spans="1:14">
      <c r="A70" s="594"/>
      <c r="B70" s="525"/>
      <c r="C70" s="27" t="s">
        <v>53</v>
      </c>
      <c r="D70" s="65">
        <v>12598</v>
      </c>
      <c r="E70" s="479">
        <f>E21-E69</f>
        <v>9705</v>
      </c>
      <c r="F70" s="28">
        <f t="shared" si="4"/>
        <v>0.77036037466264484</v>
      </c>
      <c r="G70" s="66">
        <f>D70+'2017NOV'!G70</f>
        <v>157908</v>
      </c>
      <c r="H70" s="66">
        <f>E70+'2017NOV'!H70</f>
        <v>123610</v>
      </c>
      <c r="I70" s="28">
        <f t="shared" si="5"/>
        <v>0.78279757833675301</v>
      </c>
      <c r="J70" s="596"/>
      <c r="K70" s="597"/>
      <c r="L70" s="597"/>
      <c r="M70" s="598"/>
    </row>
    <row r="71" spans="1:14">
      <c r="A71" s="595"/>
      <c r="B71" s="525"/>
      <c r="C71" s="29" t="s">
        <v>54</v>
      </c>
      <c r="D71" s="487">
        <f>SUM(D69:D70)</f>
        <v>14458</v>
      </c>
      <c r="E71" s="487">
        <f>SUM(E69:E70)</f>
        <v>10922</v>
      </c>
      <c r="F71" s="30">
        <f t="shared" si="4"/>
        <v>0.75542951998893348</v>
      </c>
      <c r="G71" s="487">
        <f>SUM(G69:G70)</f>
        <v>169998</v>
      </c>
      <c r="H71" s="487">
        <f>SUM(H69:H70)</f>
        <v>129587</v>
      </c>
      <c r="I71" s="30">
        <f t="shared" si="5"/>
        <v>0.76228543865221943</v>
      </c>
      <c r="J71" s="599"/>
      <c r="K71" s="600"/>
      <c r="L71" s="600"/>
      <c r="M71" s="601"/>
    </row>
    <row r="72" spans="1:14">
      <c r="A72" s="602" t="s">
        <v>61</v>
      </c>
      <c r="B72" s="525" t="s">
        <v>52</v>
      </c>
      <c r="C72" s="525"/>
      <c r="D72" s="65">
        <v>240</v>
      </c>
      <c r="E72" s="490">
        <v>0</v>
      </c>
      <c r="F72" s="28">
        <f t="shared" si="4"/>
        <v>0</v>
      </c>
      <c r="G72" s="66">
        <f>D72+'2017NOV'!G72</f>
        <v>1560</v>
      </c>
      <c r="H72" s="66">
        <f>E72+'2017NOV'!H72</f>
        <v>431</v>
      </c>
      <c r="I72" s="28">
        <f t="shared" si="5"/>
        <v>0.2762820512820513</v>
      </c>
      <c r="J72" s="596"/>
      <c r="K72" s="597"/>
      <c r="L72" s="597"/>
      <c r="M72" s="598"/>
    </row>
    <row r="73" spans="1:14">
      <c r="A73" s="602"/>
      <c r="B73" s="525" t="s">
        <v>53</v>
      </c>
      <c r="C73" s="525"/>
      <c r="D73" s="65">
        <v>4306</v>
      </c>
      <c r="E73" s="479">
        <f>E23-E72</f>
        <v>2735</v>
      </c>
      <c r="F73" s="28">
        <f t="shared" si="4"/>
        <v>0.63516024152345563</v>
      </c>
      <c r="G73" s="66">
        <f>D73+'2017NOV'!G73</f>
        <v>53979</v>
      </c>
      <c r="H73" s="66">
        <f>E73+'2017NOV'!H73</f>
        <v>41951</v>
      </c>
      <c r="I73" s="28">
        <f t="shared" si="5"/>
        <v>0.77717260416087741</v>
      </c>
      <c r="J73" s="596"/>
      <c r="K73" s="597"/>
      <c r="L73" s="597"/>
      <c r="M73" s="598"/>
    </row>
    <row r="74" spans="1:14">
      <c r="A74" s="602"/>
      <c r="B74" s="603" t="s">
        <v>30</v>
      </c>
      <c r="C74" s="603"/>
      <c r="D74" s="474">
        <f>SUM(D72:D73)</f>
        <v>4546</v>
      </c>
      <c r="E74" s="474">
        <f>SUM(E72:E73)</f>
        <v>2735</v>
      </c>
      <c r="F74" s="31">
        <f t="shared" si="4"/>
        <v>0.60162780466344035</v>
      </c>
      <c r="G74" s="474">
        <f>SUM(G72:G73)</f>
        <v>55539</v>
      </c>
      <c r="H74" s="474">
        <f>SUM(H72:H73)</f>
        <v>42382</v>
      </c>
      <c r="I74" s="31">
        <f t="shared" si="5"/>
        <v>0.76310340481463479</v>
      </c>
      <c r="J74" s="604"/>
      <c r="K74" s="605"/>
      <c r="L74" s="605"/>
      <c r="M74" s="606"/>
    </row>
    <row r="75" spans="1:14" s="8" customFormat="1">
      <c r="A75" s="607" t="s">
        <v>46</v>
      </c>
      <c r="B75" s="609" t="s">
        <v>52</v>
      </c>
      <c r="C75" s="609"/>
      <c r="D75" s="473">
        <f>SUM(D69,D72)</f>
        <v>2100</v>
      </c>
      <c r="E75" s="473">
        <f>SUM(E69,E72)</f>
        <v>1217</v>
      </c>
      <c r="F75" s="32">
        <f t="shared" si="4"/>
        <v>0.57952380952380955</v>
      </c>
      <c r="G75" s="473">
        <f>SUM(G69,G72)</f>
        <v>13650</v>
      </c>
      <c r="H75" s="473">
        <f>SUM(H69,H72)</f>
        <v>6408</v>
      </c>
      <c r="I75" s="32">
        <f t="shared" si="5"/>
        <v>0.46945054945054943</v>
      </c>
      <c r="J75" s="610"/>
      <c r="K75" s="611"/>
      <c r="L75" s="611"/>
      <c r="M75" s="612"/>
    </row>
    <row r="76" spans="1:14" s="8" customFormat="1">
      <c r="A76" s="607"/>
      <c r="B76" s="609" t="s">
        <v>53</v>
      </c>
      <c r="C76" s="609"/>
      <c r="D76" s="473">
        <f>SUM(D70,D73)</f>
        <v>16904</v>
      </c>
      <c r="E76" s="473">
        <f>SUM(E70,E73)</f>
        <v>12440</v>
      </c>
      <c r="F76" s="32">
        <f t="shared" si="4"/>
        <v>0.73592049219119737</v>
      </c>
      <c r="G76" s="473">
        <f>SUM(G70,G73)</f>
        <v>211887</v>
      </c>
      <c r="H76" s="473">
        <f>SUM(H70,H73)</f>
        <v>165561</v>
      </c>
      <c r="I76" s="32">
        <f t="shared" si="5"/>
        <v>0.78136459527955937</v>
      </c>
      <c r="J76" s="610"/>
      <c r="K76" s="611"/>
      <c r="L76" s="611"/>
      <c r="M76" s="612"/>
    </row>
    <row r="77" spans="1:14" s="8" customFormat="1" ht="14" thickBot="1">
      <c r="A77" s="608"/>
      <c r="B77" s="613" t="s">
        <v>62</v>
      </c>
      <c r="C77" s="613"/>
      <c r="D77" s="481">
        <f>SUM(D75:D76)</f>
        <v>19004</v>
      </c>
      <c r="E77" s="481">
        <f>SUM(E75:E76)</f>
        <v>13657</v>
      </c>
      <c r="F77" s="34">
        <f t="shared" si="4"/>
        <v>0.7186381814354873</v>
      </c>
      <c r="G77" s="481">
        <f>SUM(G75:G76)</f>
        <v>225537</v>
      </c>
      <c r="H77" s="481">
        <f>SUM(H75:H76)</f>
        <v>171969</v>
      </c>
      <c r="I77" s="34">
        <f t="shared" si="5"/>
        <v>0.76248686468295668</v>
      </c>
      <c r="J77" s="614"/>
      <c r="K77" s="615"/>
      <c r="L77" s="615"/>
      <c r="M77" s="616"/>
      <c r="N77" s="12" t="s">
        <v>63</v>
      </c>
    </row>
    <row r="78" spans="1:14" s="8" customFormat="1">
      <c r="A78" s="497"/>
      <c r="B78" s="492"/>
      <c r="C78" s="492"/>
      <c r="J78" s="492"/>
      <c r="K78" s="492"/>
      <c r="L78" s="492"/>
      <c r="M78" s="492"/>
    </row>
    <row r="80" spans="1:14" ht="14">
      <c r="A80" s="127" t="s">
        <v>64</v>
      </c>
    </row>
    <row r="81" spans="1:13" ht="14" thickBot="1"/>
    <row r="82" spans="1:13" ht="16.5" customHeight="1">
      <c r="A82" s="581" t="s">
        <v>65</v>
      </c>
      <c r="B82" s="582" t="s">
        <v>66</v>
      </c>
      <c r="C82" s="582" t="s">
        <v>50</v>
      </c>
      <c r="D82" s="582" t="s">
        <v>20</v>
      </c>
      <c r="E82" s="582"/>
      <c r="F82" s="582"/>
      <c r="G82" s="582" t="s">
        <v>21</v>
      </c>
      <c r="H82" s="582"/>
      <c r="I82" s="582"/>
      <c r="J82" s="582" t="s">
        <v>10</v>
      </c>
      <c r="K82" s="582"/>
      <c r="L82" s="582"/>
      <c r="M82" s="585"/>
    </row>
    <row r="83" spans="1:13">
      <c r="A83" s="583"/>
      <c r="B83" s="584"/>
      <c r="C83" s="584"/>
      <c r="D83" s="480" t="s">
        <v>23</v>
      </c>
      <c r="E83" s="480" t="s">
        <v>24</v>
      </c>
      <c r="F83" s="480" t="s">
        <v>25</v>
      </c>
      <c r="G83" s="480" t="s">
        <v>23</v>
      </c>
      <c r="H83" s="480" t="s">
        <v>24</v>
      </c>
      <c r="I83" s="480" t="s">
        <v>25</v>
      </c>
      <c r="J83" s="584"/>
      <c r="K83" s="584"/>
      <c r="L83" s="584"/>
      <c r="M83" s="586"/>
    </row>
    <row r="84" spans="1:13">
      <c r="A84" s="573" t="s">
        <v>67</v>
      </c>
      <c r="B84" s="525" t="s">
        <v>68</v>
      </c>
      <c r="C84" s="27" t="s">
        <v>69</v>
      </c>
      <c r="D84" s="65">
        <v>0</v>
      </c>
      <c r="E84" s="490">
        <v>2</v>
      </c>
      <c r="F84" s="498" t="e">
        <f>E84/D84</f>
        <v>#DIV/0!</v>
      </c>
      <c r="G84" s="66">
        <f>D84+'2017NOV'!G84</f>
        <v>2</v>
      </c>
      <c r="H84" s="66">
        <f>E84+'2017NOV'!H84</f>
        <v>6</v>
      </c>
      <c r="I84" s="498">
        <f>H84/G84</f>
        <v>3</v>
      </c>
      <c r="J84" s="596"/>
      <c r="K84" s="597"/>
      <c r="L84" s="597"/>
      <c r="M84" s="598"/>
    </row>
    <row r="85" spans="1:13">
      <c r="A85" s="573"/>
      <c r="B85" s="525"/>
      <c r="C85" s="27" t="s">
        <v>70</v>
      </c>
      <c r="D85" s="65">
        <v>85</v>
      </c>
      <c r="E85" s="490">
        <v>40</v>
      </c>
      <c r="F85" s="28">
        <f t="shared" ref="F85:F98" si="6">E85/D85</f>
        <v>0.47058823529411764</v>
      </c>
      <c r="G85" s="66">
        <f>D85+'2017NOV'!G85</f>
        <v>1018</v>
      </c>
      <c r="H85" s="66">
        <f>E85+'2017NOV'!H85</f>
        <v>707.5</v>
      </c>
      <c r="I85" s="28">
        <f t="shared" ref="I85:I98" si="7">H85/G85</f>
        <v>0.69499017681728881</v>
      </c>
      <c r="J85" s="596"/>
      <c r="K85" s="597"/>
      <c r="L85" s="597"/>
      <c r="M85" s="598"/>
    </row>
    <row r="86" spans="1:13">
      <c r="A86" s="573"/>
      <c r="B86" s="525"/>
      <c r="C86" s="38" t="s">
        <v>71</v>
      </c>
      <c r="D86" s="487">
        <f>SUM(D84:D85)</f>
        <v>85</v>
      </c>
      <c r="E86" s="487">
        <f>SUM(E84:E85)</f>
        <v>42</v>
      </c>
      <c r="F86" s="30">
        <f t="shared" si="6"/>
        <v>0.49411764705882355</v>
      </c>
      <c r="G86" s="487">
        <f>SUM(G84:G85)</f>
        <v>1020</v>
      </c>
      <c r="H86" s="487">
        <f>SUM(H84:H85)</f>
        <v>713.5</v>
      </c>
      <c r="I86" s="30">
        <f t="shared" si="7"/>
        <v>0.69950980392156858</v>
      </c>
      <c r="J86" s="599"/>
      <c r="K86" s="600"/>
      <c r="L86" s="600"/>
      <c r="M86" s="601"/>
    </row>
    <row r="87" spans="1:13">
      <c r="A87" s="573"/>
      <c r="B87" s="525" t="s">
        <v>72</v>
      </c>
      <c r="C87" s="27" t="s">
        <v>69</v>
      </c>
      <c r="D87" s="65">
        <v>0</v>
      </c>
      <c r="E87" s="490">
        <v>0</v>
      </c>
      <c r="F87" s="28" t="e">
        <f t="shared" si="6"/>
        <v>#DIV/0!</v>
      </c>
      <c r="G87" s="66">
        <f>D87+'2017NOV'!G87</f>
        <v>1</v>
      </c>
      <c r="H87" s="66">
        <f>E87+'2017NOV'!H87</f>
        <v>7</v>
      </c>
      <c r="I87" s="28">
        <f t="shared" si="7"/>
        <v>7</v>
      </c>
      <c r="J87" s="596"/>
      <c r="K87" s="597"/>
      <c r="L87" s="597"/>
      <c r="M87" s="598"/>
    </row>
    <row r="88" spans="1:13">
      <c r="A88" s="573"/>
      <c r="B88" s="525"/>
      <c r="C88" s="27" t="s">
        <v>70</v>
      </c>
      <c r="D88" s="65">
        <v>20</v>
      </c>
      <c r="E88" s="490">
        <v>11</v>
      </c>
      <c r="F88" s="28">
        <f t="shared" si="6"/>
        <v>0.55000000000000004</v>
      </c>
      <c r="G88" s="66">
        <f>D88+'2017NOV'!G88</f>
        <v>239</v>
      </c>
      <c r="H88" s="66">
        <f>E88+'2017NOV'!H88</f>
        <v>183</v>
      </c>
      <c r="I88" s="28">
        <f t="shared" si="7"/>
        <v>0.76569037656903771</v>
      </c>
      <c r="J88" s="596"/>
      <c r="K88" s="597"/>
      <c r="L88" s="597"/>
      <c r="M88" s="598"/>
    </row>
    <row r="89" spans="1:13">
      <c r="A89" s="573"/>
      <c r="B89" s="525"/>
      <c r="C89" s="38" t="s">
        <v>71</v>
      </c>
      <c r="D89" s="487">
        <f>SUM(D87:D88)</f>
        <v>20</v>
      </c>
      <c r="E89" s="487">
        <f>SUM(E87:E88)</f>
        <v>11</v>
      </c>
      <c r="F89" s="30">
        <f t="shared" si="6"/>
        <v>0.55000000000000004</v>
      </c>
      <c r="G89" s="487">
        <f>SUM(G87:G88)</f>
        <v>240</v>
      </c>
      <c r="H89" s="487">
        <f>SUM(H87:H88)</f>
        <v>190</v>
      </c>
      <c r="I89" s="30">
        <f t="shared" si="7"/>
        <v>0.79166666666666663</v>
      </c>
      <c r="J89" s="599"/>
      <c r="K89" s="600"/>
      <c r="L89" s="600"/>
      <c r="M89" s="601"/>
    </row>
    <row r="90" spans="1:13">
      <c r="A90" s="573"/>
      <c r="B90" s="525" t="s">
        <v>73</v>
      </c>
      <c r="C90" s="27" t="s">
        <v>69</v>
      </c>
      <c r="D90" s="65">
        <v>0</v>
      </c>
      <c r="E90" s="490">
        <v>12</v>
      </c>
      <c r="F90" s="28" t="e">
        <f t="shared" si="6"/>
        <v>#DIV/0!</v>
      </c>
      <c r="G90" s="66">
        <f>D90+'2017NOV'!G90</f>
        <v>2</v>
      </c>
      <c r="H90" s="66">
        <f>E90+'2017NOV'!H90</f>
        <v>42</v>
      </c>
      <c r="I90" s="28">
        <f t="shared" si="7"/>
        <v>21</v>
      </c>
      <c r="J90" s="596"/>
      <c r="K90" s="597"/>
      <c r="L90" s="597"/>
      <c r="M90" s="598"/>
    </row>
    <row r="91" spans="1:13">
      <c r="A91" s="573"/>
      <c r="B91" s="525"/>
      <c r="C91" s="27" t="s">
        <v>70</v>
      </c>
      <c r="D91" s="65">
        <v>51</v>
      </c>
      <c r="E91" s="490">
        <v>50</v>
      </c>
      <c r="F91" s="28">
        <f t="shared" si="6"/>
        <v>0.98039215686274506</v>
      </c>
      <c r="G91" s="66">
        <f>D91+'2017NOV'!G91</f>
        <v>608</v>
      </c>
      <c r="H91" s="66">
        <f>E91+'2017NOV'!H91</f>
        <v>530.5</v>
      </c>
      <c r="I91" s="28">
        <f t="shared" si="7"/>
        <v>0.87253289473684215</v>
      </c>
      <c r="J91" s="596"/>
      <c r="K91" s="597"/>
      <c r="L91" s="597"/>
      <c r="M91" s="598"/>
    </row>
    <row r="92" spans="1:13">
      <c r="A92" s="573"/>
      <c r="B92" s="525"/>
      <c r="C92" s="38" t="s">
        <v>71</v>
      </c>
      <c r="D92" s="487">
        <f>SUM(D90:D91)</f>
        <v>51</v>
      </c>
      <c r="E92" s="487">
        <f>SUM(E90:E91)</f>
        <v>62</v>
      </c>
      <c r="F92" s="30">
        <f t="shared" si="6"/>
        <v>1.2156862745098038</v>
      </c>
      <c r="G92" s="487">
        <f>SUM(G90:G91)</f>
        <v>610</v>
      </c>
      <c r="H92" s="487">
        <f>SUM(H90:H91)</f>
        <v>572.5</v>
      </c>
      <c r="I92" s="30">
        <f t="shared" si="7"/>
        <v>0.93852459016393441</v>
      </c>
      <c r="J92" s="599"/>
      <c r="K92" s="600"/>
      <c r="L92" s="600"/>
      <c r="M92" s="601"/>
    </row>
    <row r="93" spans="1:13">
      <c r="A93" s="573"/>
      <c r="B93" s="525" t="s">
        <v>74</v>
      </c>
      <c r="C93" s="27" t="s">
        <v>69</v>
      </c>
      <c r="D93" s="65">
        <v>0</v>
      </c>
      <c r="E93" s="490">
        <v>6</v>
      </c>
      <c r="F93" s="28" t="e">
        <f t="shared" si="6"/>
        <v>#DIV/0!</v>
      </c>
      <c r="G93" s="66">
        <f>D93+'2017NOV'!G93</f>
        <v>4</v>
      </c>
      <c r="H93" s="66">
        <f>E93+'2017NOV'!H93</f>
        <v>63.5</v>
      </c>
      <c r="I93" s="28">
        <f t="shared" si="7"/>
        <v>15.875</v>
      </c>
      <c r="J93" s="596"/>
      <c r="K93" s="597"/>
      <c r="L93" s="597"/>
      <c r="M93" s="598"/>
    </row>
    <row r="94" spans="1:13">
      <c r="A94" s="573"/>
      <c r="B94" s="525"/>
      <c r="C94" s="27" t="s">
        <v>70</v>
      </c>
      <c r="D94" s="65">
        <v>93</v>
      </c>
      <c r="E94" s="490">
        <v>95</v>
      </c>
      <c r="F94" s="28">
        <f t="shared" si="6"/>
        <v>1.021505376344086</v>
      </c>
      <c r="G94" s="66">
        <f>D94+'2017NOV'!G94</f>
        <v>1104</v>
      </c>
      <c r="H94" s="66">
        <f>E94+'2017NOV'!H94</f>
        <v>1047</v>
      </c>
      <c r="I94" s="28">
        <f t="shared" si="7"/>
        <v>0.94836956521739135</v>
      </c>
      <c r="J94" s="596"/>
      <c r="K94" s="597"/>
      <c r="L94" s="597"/>
      <c r="M94" s="598"/>
    </row>
    <row r="95" spans="1:13">
      <c r="A95" s="573"/>
      <c r="B95" s="525"/>
      <c r="C95" s="38" t="s">
        <v>71</v>
      </c>
      <c r="D95" s="487">
        <f>SUM(D93:D94)</f>
        <v>93</v>
      </c>
      <c r="E95" s="487">
        <f>SUM(E93:E94)</f>
        <v>101</v>
      </c>
      <c r="F95" s="30">
        <f t="shared" si="6"/>
        <v>1.086021505376344</v>
      </c>
      <c r="G95" s="487">
        <f>SUM(G93:G94)</f>
        <v>1108</v>
      </c>
      <c r="H95" s="487">
        <f>SUM(H93:H94)</f>
        <v>1110.5</v>
      </c>
      <c r="I95" s="30">
        <f t="shared" si="7"/>
        <v>1.0022563176895307</v>
      </c>
      <c r="J95" s="599"/>
      <c r="K95" s="600"/>
      <c r="L95" s="600"/>
      <c r="M95" s="601"/>
    </row>
    <row r="96" spans="1:13">
      <c r="A96" s="573"/>
      <c r="B96" s="603" t="s">
        <v>46</v>
      </c>
      <c r="C96" s="39" t="s">
        <v>69</v>
      </c>
      <c r="D96" s="474">
        <f>SUM(D84,D87,D90,D93)</f>
        <v>0</v>
      </c>
      <c r="E96" s="474">
        <f>SUM(E84,E87,E90,E93)</f>
        <v>20</v>
      </c>
      <c r="F96" s="31" t="e">
        <f t="shared" si="6"/>
        <v>#DIV/0!</v>
      </c>
      <c r="G96" s="474">
        <f>SUM(G84,G87,G90,G93)</f>
        <v>9</v>
      </c>
      <c r="H96" s="474">
        <f>SUM(H84,H87,H90,H93)</f>
        <v>118.5</v>
      </c>
      <c r="I96" s="31">
        <f t="shared" si="7"/>
        <v>13.166666666666666</v>
      </c>
      <c r="J96" s="604"/>
      <c r="K96" s="605"/>
      <c r="L96" s="605"/>
      <c r="M96" s="606"/>
    </row>
    <row r="97" spans="1:13">
      <c r="A97" s="573"/>
      <c r="B97" s="603"/>
      <c r="C97" s="39" t="s">
        <v>70</v>
      </c>
      <c r="D97" s="474">
        <f>SUM(D85,D88,D91,D94)</f>
        <v>249</v>
      </c>
      <c r="E97" s="474">
        <f>SUM(E85,E88,E91,E94)</f>
        <v>196</v>
      </c>
      <c r="F97" s="31">
        <f t="shared" si="6"/>
        <v>0.78714859437751006</v>
      </c>
      <c r="G97" s="474">
        <f>SUM(G85,G88,G91,G94)</f>
        <v>2969</v>
      </c>
      <c r="H97" s="474">
        <f>SUM(H85,H88,H91,H94)</f>
        <v>2468</v>
      </c>
      <c r="I97" s="31">
        <f t="shared" si="7"/>
        <v>0.83125631525766253</v>
      </c>
      <c r="J97" s="604"/>
      <c r="K97" s="605"/>
      <c r="L97" s="605"/>
      <c r="M97" s="606"/>
    </row>
    <row r="98" spans="1:13" ht="14" thickBot="1">
      <c r="A98" s="623"/>
      <c r="B98" s="624"/>
      <c r="C98" s="40" t="s">
        <v>46</v>
      </c>
      <c r="D98" s="475">
        <f>SUM(D96:D97)</f>
        <v>249</v>
      </c>
      <c r="E98" s="475">
        <f>SUM(E96:E97)</f>
        <v>216</v>
      </c>
      <c r="F98" s="41">
        <f t="shared" si="6"/>
        <v>0.86746987951807231</v>
      </c>
      <c r="G98" s="475">
        <f>SUM(G96:G97)</f>
        <v>2978</v>
      </c>
      <c r="H98" s="475">
        <f>SUM(H96:H97)</f>
        <v>2586.5</v>
      </c>
      <c r="I98" s="41">
        <f t="shared" si="7"/>
        <v>0.86853593015446606</v>
      </c>
      <c r="J98" s="625"/>
      <c r="K98" s="626"/>
      <c r="L98" s="626"/>
      <c r="M98" s="627"/>
    </row>
    <row r="99" spans="1:13" ht="14" thickBot="1">
      <c r="A99" s="617" t="s">
        <v>75</v>
      </c>
      <c r="B99" s="619" t="s">
        <v>76</v>
      </c>
      <c r="C99" s="42" t="s">
        <v>69</v>
      </c>
      <c r="D99" s="69">
        <v>0</v>
      </c>
      <c r="E99" s="64">
        <v>2</v>
      </c>
      <c r="F99" s="499" t="e">
        <f>E99/D99</f>
        <v>#DIV/0!</v>
      </c>
      <c r="G99" s="70">
        <f>D99+'2017NOV'!G99</f>
        <v>3</v>
      </c>
      <c r="H99" s="70">
        <f>E99+'2017NOV'!H99</f>
        <v>18</v>
      </c>
      <c r="I99" s="499">
        <f>H99/G99</f>
        <v>6</v>
      </c>
      <c r="J99" s="620"/>
      <c r="K99" s="621"/>
      <c r="L99" s="621"/>
      <c r="M99" s="622"/>
    </row>
    <row r="100" spans="1:13" ht="13.5" customHeight="1">
      <c r="A100" s="562"/>
      <c r="B100" s="525"/>
      <c r="C100" s="27" t="s">
        <v>70</v>
      </c>
      <c r="D100" s="65">
        <v>76</v>
      </c>
      <c r="E100" s="490">
        <v>47</v>
      </c>
      <c r="F100" s="28">
        <f t="shared" ref="F100:F109" si="8">E100/D100</f>
        <v>0.61842105263157898</v>
      </c>
      <c r="G100" s="70">
        <f>D100+'2017NOV'!G100</f>
        <v>900</v>
      </c>
      <c r="H100" s="71">
        <f>E100+'2017NOV'!H100</f>
        <v>616</v>
      </c>
      <c r="I100" s="28">
        <f t="shared" ref="I100:I109" si="9">H100/G100</f>
        <v>0.68444444444444441</v>
      </c>
      <c r="J100" s="596"/>
      <c r="K100" s="597"/>
      <c r="L100" s="597"/>
      <c r="M100" s="598"/>
    </row>
    <row r="101" spans="1:13" ht="13.5" customHeight="1">
      <c r="A101" s="562"/>
      <c r="B101" s="525"/>
      <c r="C101" s="38" t="s">
        <v>71</v>
      </c>
      <c r="D101" s="487">
        <f>SUM(D99:D100)</f>
        <v>76</v>
      </c>
      <c r="E101" s="487">
        <f>SUM(E99:E100)</f>
        <v>49</v>
      </c>
      <c r="F101" s="30">
        <f t="shared" si="8"/>
        <v>0.64473684210526316</v>
      </c>
      <c r="G101" s="487">
        <f>SUM(G99:G100)</f>
        <v>903</v>
      </c>
      <c r="H101" s="487">
        <f>SUM(H99:H100)</f>
        <v>634</v>
      </c>
      <c r="I101" s="30">
        <f t="shared" si="9"/>
        <v>0.70210409745293467</v>
      </c>
      <c r="J101" s="599"/>
      <c r="K101" s="600"/>
      <c r="L101" s="600"/>
      <c r="M101" s="601"/>
    </row>
    <row r="102" spans="1:13" ht="13.5" customHeight="1">
      <c r="A102" s="562"/>
      <c r="B102" s="525" t="s">
        <v>77</v>
      </c>
      <c r="C102" s="27" t="s">
        <v>69</v>
      </c>
      <c r="D102" s="65">
        <v>0</v>
      </c>
      <c r="E102" s="490">
        <v>8</v>
      </c>
      <c r="F102" s="28" t="e">
        <f t="shared" si="8"/>
        <v>#DIV/0!</v>
      </c>
      <c r="G102" s="66">
        <f>D102+'2017NOV'!G102</f>
        <v>2</v>
      </c>
      <c r="H102" s="66">
        <f>E102+'2017NOV'!H102</f>
        <v>32</v>
      </c>
      <c r="I102" s="28">
        <f t="shared" si="9"/>
        <v>16</v>
      </c>
      <c r="J102" s="596"/>
      <c r="K102" s="597"/>
      <c r="L102" s="597"/>
      <c r="M102" s="598"/>
    </row>
    <row r="103" spans="1:13" ht="13.5" customHeight="1">
      <c r="A103" s="562"/>
      <c r="B103" s="525"/>
      <c r="C103" s="27" t="s">
        <v>70</v>
      </c>
      <c r="D103" s="65">
        <v>41</v>
      </c>
      <c r="E103" s="490">
        <v>36</v>
      </c>
      <c r="F103" s="28">
        <f t="shared" si="8"/>
        <v>0.87804878048780488</v>
      </c>
      <c r="G103" s="66">
        <f>D103+'2017NOV'!G103</f>
        <v>490</v>
      </c>
      <c r="H103" s="66">
        <f>E103+'2017NOV'!H103</f>
        <v>407</v>
      </c>
      <c r="I103" s="28">
        <f t="shared" si="9"/>
        <v>0.83061224489795915</v>
      </c>
      <c r="J103" s="596"/>
      <c r="K103" s="597"/>
      <c r="L103" s="597"/>
      <c r="M103" s="598"/>
    </row>
    <row r="104" spans="1:13" ht="13.5" customHeight="1">
      <c r="A104" s="562"/>
      <c r="B104" s="525"/>
      <c r="C104" s="38" t="s">
        <v>71</v>
      </c>
      <c r="D104" s="487">
        <f>SUM(D102:D103)</f>
        <v>41</v>
      </c>
      <c r="E104" s="487">
        <f>SUM(E102:E103)</f>
        <v>44</v>
      </c>
      <c r="F104" s="30">
        <f t="shared" si="8"/>
        <v>1.0731707317073171</v>
      </c>
      <c r="G104" s="487">
        <f>SUM(G102:G103)</f>
        <v>492</v>
      </c>
      <c r="H104" s="487">
        <f>SUM(H102:H103)</f>
        <v>439</v>
      </c>
      <c r="I104" s="30">
        <f t="shared" si="9"/>
        <v>0.89227642276422769</v>
      </c>
      <c r="J104" s="599"/>
      <c r="K104" s="600"/>
      <c r="L104" s="600"/>
      <c r="M104" s="601"/>
    </row>
    <row r="105" spans="1:13" ht="13.5" customHeight="1">
      <c r="A105" s="562"/>
      <c r="B105" s="603" t="s">
        <v>46</v>
      </c>
      <c r="C105" s="39" t="s">
        <v>69</v>
      </c>
      <c r="D105" s="474">
        <f>SUM(D99,D102)</f>
        <v>0</v>
      </c>
      <c r="E105" s="474">
        <f>SUM(E99,E102)</f>
        <v>10</v>
      </c>
      <c r="F105" s="30" t="e">
        <f t="shared" si="8"/>
        <v>#DIV/0!</v>
      </c>
      <c r="G105" s="474">
        <f>SUM(G99,G102)</f>
        <v>5</v>
      </c>
      <c r="H105" s="474">
        <f>SUM(H99,H102)</f>
        <v>50</v>
      </c>
      <c r="I105" s="30">
        <f t="shared" si="9"/>
        <v>10</v>
      </c>
      <c r="J105" s="604"/>
      <c r="K105" s="605"/>
      <c r="L105" s="605"/>
      <c r="M105" s="606"/>
    </row>
    <row r="106" spans="1:13" ht="13.5" customHeight="1">
      <c r="A106" s="562"/>
      <c r="B106" s="603"/>
      <c r="C106" s="39" t="s">
        <v>70</v>
      </c>
      <c r="D106" s="474">
        <f>SUM(D100,D103)</f>
        <v>117</v>
      </c>
      <c r="E106" s="474">
        <f>SUM(E100,E103)</f>
        <v>83</v>
      </c>
      <c r="F106" s="30">
        <f t="shared" si="8"/>
        <v>0.70940170940170943</v>
      </c>
      <c r="G106" s="474">
        <f>SUM(G100,G103)</f>
        <v>1390</v>
      </c>
      <c r="H106" s="474">
        <f>SUM(H100,H103)</f>
        <v>1023</v>
      </c>
      <c r="I106" s="30">
        <f t="shared" si="9"/>
        <v>0.73597122302158269</v>
      </c>
      <c r="J106" s="604"/>
      <c r="K106" s="605"/>
      <c r="L106" s="605"/>
      <c r="M106" s="606"/>
    </row>
    <row r="107" spans="1:13" ht="14.25" customHeight="1" thickBot="1">
      <c r="A107" s="618"/>
      <c r="B107" s="624"/>
      <c r="C107" s="40" t="s">
        <v>46</v>
      </c>
      <c r="D107" s="475">
        <f>SUM(D105:D106)</f>
        <v>117</v>
      </c>
      <c r="E107" s="475">
        <f>SUM(E105:E106)</f>
        <v>93</v>
      </c>
      <c r="F107" s="41">
        <f t="shared" si="8"/>
        <v>0.79487179487179482</v>
      </c>
      <c r="G107" s="475">
        <f>SUM(G105:G106)</f>
        <v>1395</v>
      </c>
      <c r="H107" s="475">
        <f>SUM(H105:H106)</f>
        <v>1073</v>
      </c>
      <c r="I107" s="41">
        <f t="shared" si="9"/>
        <v>0.76917562724014332</v>
      </c>
      <c r="J107" s="625"/>
      <c r="K107" s="626"/>
      <c r="L107" s="626"/>
      <c r="M107" s="627"/>
    </row>
    <row r="108" spans="1:13">
      <c r="A108" s="635" t="s">
        <v>46</v>
      </c>
      <c r="B108" s="635"/>
      <c r="C108" s="44" t="s">
        <v>69</v>
      </c>
      <c r="D108" s="472">
        <f>SUM(D96,D105)</f>
        <v>0</v>
      </c>
      <c r="E108" s="472">
        <f>SUM(E96,E105)</f>
        <v>30</v>
      </c>
      <c r="F108" s="45" t="e">
        <f t="shared" si="8"/>
        <v>#DIV/0!</v>
      </c>
      <c r="G108" s="46">
        <f>SUM(G96,G105)</f>
        <v>14</v>
      </c>
      <c r="H108" s="46">
        <f>SUM(H96,H105)</f>
        <v>168.5</v>
      </c>
      <c r="I108" s="45">
        <f t="shared" si="9"/>
        <v>12.035714285714286</v>
      </c>
      <c r="J108" s="636"/>
      <c r="K108" s="637"/>
      <c r="L108" s="637"/>
      <c r="M108" s="638"/>
    </row>
    <row r="109" spans="1:13">
      <c r="A109" s="609"/>
      <c r="B109" s="609"/>
      <c r="C109" s="47" t="s">
        <v>70</v>
      </c>
      <c r="D109" s="473">
        <f>SUM(D97,D106)</f>
        <v>366</v>
      </c>
      <c r="E109" s="473">
        <f>SUM(E97,E106)</f>
        <v>279</v>
      </c>
      <c r="F109" s="32">
        <f t="shared" si="8"/>
        <v>0.76229508196721307</v>
      </c>
      <c r="G109" s="473">
        <f>SUM(G97,G106)</f>
        <v>4359</v>
      </c>
      <c r="H109" s="473">
        <f>SUM(H97,H106)</f>
        <v>3491</v>
      </c>
      <c r="I109" s="32">
        <f t="shared" si="9"/>
        <v>0.80087175957788481</v>
      </c>
      <c r="J109" s="639"/>
      <c r="K109" s="640"/>
      <c r="L109" s="640"/>
      <c r="M109" s="641"/>
    </row>
    <row r="110" spans="1:13">
      <c r="A110" s="609"/>
      <c r="B110" s="609"/>
      <c r="C110" s="48" t="s">
        <v>46</v>
      </c>
      <c r="D110" s="473">
        <f>SUM(D108:D109)</f>
        <v>366</v>
      </c>
      <c r="E110" s="473">
        <f>SUM(E108:E109)</f>
        <v>309</v>
      </c>
      <c r="F110" s="49">
        <f>E110/D110</f>
        <v>0.84426229508196726</v>
      </c>
      <c r="G110" s="472">
        <f>SUM(G108:G109)</f>
        <v>4373</v>
      </c>
      <c r="H110" s="472">
        <f>SUM(H108:H109)</f>
        <v>3659.5</v>
      </c>
      <c r="I110" s="49">
        <f>H110/G110</f>
        <v>0.83683969814772463</v>
      </c>
      <c r="J110" s="639"/>
      <c r="K110" s="640"/>
      <c r="L110" s="640"/>
      <c r="M110" s="641"/>
    </row>
    <row r="113" spans="1:13" ht="15" thickBot="1">
      <c r="A113" s="127" t="s">
        <v>78</v>
      </c>
    </row>
    <row r="114" spans="1:13">
      <c r="A114" s="642" t="s">
        <v>79</v>
      </c>
      <c r="B114" s="643"/>
      <c r="C114" s="644" t="s">
        <v>80</v>
      </c>
      <c r="D114" s="645"/>
      <c r="E114" s="644" t="s">
        <v>81</v>
      </c>
      <c r="F114" s="645"/>
      <c r="G114" s="644" t="s">
        <v>136</v>
      </c>
      <c r="H114" s="703"/>
      <c r="I114" s="769" t="s">
        <v>147</v>
      </c>
      <c r="J114" s="645"/>
      <c r="K114" s="646"/>
      <c r="L114" s="648"/>
    </row>
    <row r="115" spans="1:13" ht="15" customHeight="1">
      <c r="A115" s="628" t="s">
        <v>82</v>
      </c>
      <c r="B115" s="629"/>
      <c r="C115" s="630" t="s">
        <v>83</v>
      </c>
      <c r="D115" s="631"/>
      <c r="E115" s="630" t="s">
        <v>84</v>
      </c>
      <c r="F115" s="631"/>
      <c r="G115" s="630" t="s">
        <v>84</v>
      </c>
      <c r="H115" s="631"/>
      <c r="I115" s="630" t="s">
        <v>84</v>
      </c>
      <c r="J115" s="631"/>
      <c r="K115" s="632"/>
      <c r="L115" s="634"/>
    </row>
    <row r="116" spans="1:13" ht="15" customHeight="1">
      <c r="A116" s="628" t="s">
        <v>85</v>
      </c>
      <c r="B116" s="629"/>
      <c r="C116" s="630" t="s">
        <v>86</v>
      </c>
      <c r="D116" s="631"/>
      <c r="E116" s="630" t="s">
        <v>87</v>
      </c>
      <c r="F116" s="631"/>
      <c r="G116" s="630" t="s">
        <v>87</v>
      </c>
      <c r="H116" s="631"/>
      <c r="I116" s="630" t="s">
        <v>86</v>
      </c>
      <c r="J116" s="631"/>
      <c r="K116" s="632"/>
      <c r="L116" s="634"/>
    </row>
    <row r="117" spans="1:13" ht="15" customHeight="1">
      <c r="A117" s="628" t="s">
        <v>88</v>
      </c>
      <c r="B117" s="629"/>
      <c r="C117" s="630" t="s">
        <v>89</v>
      </c>
      <c r="D117" s="631"/>
      <c r="E117" s="630" t="s">
        <v>90</v>
      </c>
      <c r="F117" s="631"/>
      <c r="G117" s="630" t="s">
        <v>138</v>
      </c>
      <c r="H117" s="631"/>
      <c r="I117" s="630" t="s">
        <v>148</v>
      </c>
      <c r="J117" s="631"/>
      <c r="K117" s="632"/>
      <c r="L117" s="634"/>
    </row>
    <row r="118" spans="1:13">
      <c r="A118" s="628" t="s">
        <v>91</v>
      </c>
      <c r="B118" s="629"/>
      <c r="C118" s="649">
        <v>1133</v>
      </c>
      <c r="D118" s="650"/>
      <c r="E118" s="649">
        <v>13</v>
      </c>
      <c r="F118" s="650"/>
      <c r="G118" s="649">
        <v>8</v>
      </c>
      <c r="H118" s="650"/>
      <c r="I118" s="649">
        <v>2</v>
      </c>
      <c r="J118" s="650"/>
      <c r="K118" s="632"/>
      <c r="L118" s="634"/>
    </row>
    <row r="119" spans="1:13">
      <c r="A119" s="628" t="s">
        <v>92</v>
      </c>
      <c r="B119" s="629"/>
      <c r="C119" s="630" t="s">
        <v>93</v>
      </c>
      <c r="D119" s="631"/>
      <c r="E119" s="630" t="s">
        <v>94</v>
      </c>
      <c r="F119" s="631"/>
      <c r="G119" s="630" t="s">
        <v>94</v>
      </c>
      <c r="H119" s="631"/>
      <c r="I119" s="630" t="s">
        <v>94</v>
      </c>
      <c r="J119" s="631"/>
      <c r="K119" s="632"/>
      <c r="L119" s="634"/>
    </row>
    <row r="120" spans="1:13">
      <c r="A120" s="628" t="s">
        <v>311</v>
      </c>
      <c r="B120" s="471" t="s">
        <v>96</v>
      </c>
      <c r="C120" s="630">
        <v>0</v>
      </c>
      <c r="D120" s="631"/>
      <c r="E120" s="630">
        <v>0</v>
      </c>
      <c r="F120" s="631"/>
      <c r="G120" s="630">
        <v>0</v>
      </c>
      <c r="H120" s="631"/>
      <c r="I120" s="630">
        <v>0</v>
      </c>
      <c r="J120" s="631"/>
      <c r="K120" s="632"/>
      <c r="L120" s="634"/>
    </row>
    <row r="121" spans="1:13">
      <c r="A121" s="628"/>
      <c r="B121" s="471" t="s">
        <v>97</v>
      </c>
      <c r="C121" s="630">
        <v>0</v>
      </c>
      <c r="D121" s="631"/>
      <c r="E121" s="630">
        <v>0</v>
      </c>
      <c r="F121" s="631"/>
      <c r="G121" s="630">
        <v>0</v>
      </c>
      <c r="H121" s="631"/>
      <c r="I121" s="630">
        <v>0</v>
      </c>
      <c r="J121" s="631"/>
      <c r="K121" s="632"/>
      <c r="L121" s="634"/>
    </row>
    <row r="122" spans="1:13">
      <c r="A122" s="628"/>
      <c r="B122" s="471" t="s">
        <v>98</v>
      </c>
      <c r="C122" s="651">
        <v>0</v>
      </c>
      <c r="D122" s="652"/>
      <c r="E122" s="651">
        <v>0</v>
      </c>
      <c r="F122" s="652"/>
      <c r="G122" s="651">
        <v>0</v>
      </c>
      <c r="H122" s="652"/>
      <c r="I122" s="630">
        <v>0</v>
      </c>
      <c r="J122" s="631"/>
      <c r="K122" s="653"/>
      <c r="L122" s="655"/>
    </row>
    <row r="123" spans="1:13">
      <c r="A123" s="628"/>
      <c r="B123" s="471" t="s">
        <v>99</v>
      </c>
      <c r="C123" s="656">
        <v>871</v>
      </c>
      <c r="D123" s="656"/>
      <c r="E123" s="656">
        <v>181</v>
      </c>
      <c r="F123" s="656"/>
      <c r="G123" s="656">
        <v>79</v>
      </c>
      <c r="H123" s="656"/>
      <c r="I123" s="770">
        <v>28597</v>
      </c>
      <c r="J123" s="771"/>
      <c r="K123" s="653"/>
      <c r="L123" s="655"/>
    </row>
    <row r="124" spans="1:13" ht="13.5" customHeight="1" thickBot="1">
      <c r="A124" s="673" t="s">
        <v>10</v>
      </c>
      <c r="B124" s="674"/>
      <c r="C124" s="675"/>
      <c r="D124" s="676"/>
      <c r="E124" s="675"/>
      <c r="F124" s="676"/>
      <c r="G124" s="660"/>
      <c r="H124" s="677"/>
      <c r="I124" s="660"/>
      <c r="J124" s="677"/>
      <c r="K124" s="660"/>
      <c r="L124" s="661"/>
    </row>
    <row r="125" spans="1:13">
      <c r="A125" s="501"/>
      <c r="B125" s="501"/>
      <c r="C125" s="502"/>
      <c r="D125" s="503"/>
      <c r="E125" s="503"/>
      <c r="F125" s="503"/>
      <c r="G125" s="503"/>
      <c r="H125" s="503"/>
    </row>
    <row r="127" spans="1:13" ht="15" thickBot="1">
      <c r="A127" s="127" t="s">
        <v>100</v>
      </c>
    </row>
    <row r="128" spans="1:13" ht="13.5" customHeight="1">
      <c r="A128" s="531" t="s">
        <v>101</v>
      </c>
      <c r="B128" s="533"/>
      <c r="C128" s="662" t="s">
        <v>146</v>
      </c>
      <c r="D128" s="663"/>
      <c r="E128" s="664"/>
      <c r="F128" s="662" t="s">
        <v>149</v>
      </c>
      <c r="G128" s="663"/>
      <c r="H128" s="663"/>
      <c r="I128" s="664"/>
      <c r="J128" s="663" t="s">
        <v>150</v>
      </c>
      <c r="K128" s="663"/>
      <c r="L128" s="663"/>
      <c r="M128" s="665"/>
    </row>
    <row r="129" spans="1:13" ht="35.25" customHeight="1">
      <c r="A129" s="716" t="s">
        <v>103</v>
      </c>
      <c r="B129" s="717"/>
      <c r="C129" s="722" t="s">
        <v>366</v>
      </c>
      <c r="D129" s="723"/>
      <c r="E129" s="724"/>
      <c r="F129" s="744" t="s">
        <v>367</v>
      </c>
      <c r="G129" s="748"/>
      <c r="H129" s="748"/>
      <c r="I129" s="749"/>
      <c r="J129" s="745" t="s">
        <v>367</v>
      </c>
      <c r="K129" s="748"/>
      <c r="L129" s="748"/>
      <c r="M129" s="750"/>
    </row>
    <row r="130" spans="1:13" ht="35.25" customHeight="1">
      <c r="A130" s="716" t="s">
        <v>104</v>
      </c>
      <c r="B130" s="717"/>
      <c r="C130" s="722"/>
      <c r="D130" s="723"/>
      <c r="E130" s="724"/>
      <c r="F130" s="722"/>
      <c r="G130" s="723"/>
      <c r="H130" s="723"/>
      <c r="I130" s="724"/>
      <c r="J130" s="767"/>
      <c r="K130" s="731"/>
      <c r="L130" s="731"/>
      <c r="M130" s="732"/>
    </row>
    <row r="131" spans="1:13" ht="67.5" customHeight="1">
      <c r="A131" s="716" t="s">
        <v>105</v>
      </c>
      <c r="B131" s="717"/>
      <c r="C131" s="718" t="s">
        <v>365</v>
      </c>
      <c r="D131" s="719"/>
      <c r="E131" s="720"/>
      <c r="F131" s="744" t="s">
        <v>365</v>
      </c>
      <c r="G131" s="745"/>
      <c r="H131" s="745"/>
      <c r="I131" s="746"/>
      <c r="J131" s="744" t="s">
        <v>365</v>
      </c>
      <c r="K131" s="745"/>
      <c r="L131" s="745"/>
      <c r="M131" s="766"/>
    </row>
    <row r="132" spans="1:13" ht="35.25" customHeight="1" thickBot="1">
      <c r="A132" s="733" t="s">
        <v>106</v>
      </c>
      <c r="B132" s="734"/>
      <c r="C132" s="772"/>
      <c r="D132" s="736"/>
      <c r="E132" s="737"/>
      <c r="F132" s="754" t="s">
        <v>15</v>
      </c>
      <c r="G132" s="755"/>
      <c r="H132" s="755"/>
      <c r="I132" s="756"/>
      <c r="J132" s="764" t="s">
        <v>15</v>
      </c>
      <c r="K132" s="755"/>
      <c r="L132" s="755"/>
      <c r="M132" s="765"/>
    </row>
    <row r="135" spans="1:13" ht="14">
      <c r="A135" s="127" t="s">
        <v>134</v>
      </c>
    </row>
    <row r="136" spans="1:13" ht="14" thickBot="1">
      <c r="A136" s="8" t="s">
        <v>107</v>
      </c>
    </row>
    <row r="137" spans="1:13" ht="27.75" customHeight="1">
      <c r="A137" s="53" t="s">
        <v>108</v>
      </c>
      <c r="B137" s="469" t="s">
        <v>109</v>
      </c>
      <c r="C137" s="469" t="s">
        <v>110</v>
      </c>
      <c r="D137" s="469" t="s">
        <v>111</v>
      </c>
      <c r="E137" s="701" t="s">
        <v>112</v>
      </c>
      <c r="F137" s="701"/>
      <c r="G137" s="701"/>
      <c r="H137" s="54" t="s">
        <v>113</v>
      </c>
    </row>
    <row r="138" spans="1:13" ht="40.5" customHeight="1" thickBot="1">
      <c r="A138" s="62">
        <f>E42</f>
        <v>0</v>
      </c>
      <c r="B138" s="63">
        <f>'2017SEP'!H138</f>
        <v>-44201</v>
      </c>
      <c r="C138" s="63">
        <f>E43-E42</f>
        <v>151437</v>
      </c>
      <c r="D138" s="512">
        <v>48301</v>
      </c>
      <c r="E138" s="681" t="s">
        <v>114</v>
      </c>
      <c r="F138" s="681"/>
      <c r="G138" s="681"/>
      <c r="H138" s="513">
        <f>C138+A138+B138-D138</f>
        <v>58935</v>
      </c>
    </row>
    <row r="139" spans="1:13" ht="14" thickBot="1">
      <c r="A139" s="8" t="s">
        <v>115</v>
      </c>
      <c r="D139" s="126" t="s">
        <v>135</v>
      </c>
    </row>
    <row r="140" spans="1:13" ht="17.25" customHeight="1">
      <c r="A140" s="55" t="s">
        <v>116</v>
      </c>
      <c r="B140" s="679" t="s">
        <v>117</v>
      </c>
      <c r="C140" s="679"/>
      <c r="D140" s="679"/>
      <c r="E140" s="679"/>
      <c r="F140" s="679"/>
      <c r="G140" s="680"/>
    </row>
    <row r="141" spans="1:13" ht="45" customHeight="1" thickBot="1">
      <c r="A141" s="56">
        <v>17000</v>
      </c>
      <c r="B141" s="681" t="s">
        <v>114</v>
      </c>
      <c r="C141" s="681"/>
      <c r="D141" s="681"/>
      <c r="E141" s="681"/>
      <c r="F141" s="681"/>
      <c r="G141" s="682"/>
    </row>
    <row r="143" spans="1:13" ht="14">
      <c r="A143" s="127" t="s">
        <v>118</v>
      </c>
    </row>
    <row r="144" spans="1:13">
      <c r="A144" s="629" t="s">
        <v>50</v>
      </c>
      <c r="B144" s="629"/>
      <c r="C144" s="629"/>
      <c r="D144" s="629"/>
      <c r="E144" s="629"/>
      <c r="F144" s="629"/>
      <c r="G144" s="486" t="s">
        <v>119</v>
      </c>
      <c r="H144" s="683" t="s">
        <v>10</v>
      </c>
      <c r="I144" s="684"/>
      <c r="J144" s="684"/>
      <c r="K144" s="685"/>
    </row>
    <row r="145" spans="1:11">
      <c r="A145" s="574" t="s">
        <v>120</v>
      </c>
      <c r="B145" s="686" t="s">
        <v>121</v>
      </c>
      <c r="C145" s="686"/>
      <c r="D145" s="686"/>
      <c r="E145" s="686"/>
      <c r="F145" s="686"/>
      <c r="G145" s="506">
        <v>15</v>
      </c>
      <c r="H145" s="687"/>
      <c r="I145" s="688"/>
      <c r="J145" s="688"/>
      <c r="K145" s="689"/>
    </row>
    <row r="146" spans="1:11">
      <c r="A146" s="574"/>
      <c r="B146" s="686" t="s">
        <v>122</v>
      </c>
      <c r="C146" s="686"/>
      <c r="D146" s="686"/>
      <c r="E146" s="686"/>
      <c r="F146" s="686"/>
      <c r="G146" s="74">
        <v>25550</v>
      </c>
      <c r="H146" s="690"/>
      <c r="I146" s="691"/>
      <c r="J146" s="691"/>
      <c r="K146" s="692"/>
    </row>
    <row r="147" spans="1:11">
      <c r="A147" s="574" t="s">
        <v>123</v>
      </c>
      <c r="B147" s="686" t="s">
        <v>124</v>
      </c>
      <c r="C147" s="686"/>
      <c r="D147" s="686"/>
      <c r="E147" s="686"/>
      <c r="F147" s="686"/>
      <c r="G147" s="479">
        <v>10</v>
      </c>
      <c r="H147" s="670"/>
      <c r="I147" s="671"/>
      <c r="J147" s="671"/>
      <c r="K147" s="672"/>
    </row>
    <row r="148" spans="1:11">
      <c r="A148" s="574"/>
      <c r="B148" s="686" t="s">
        <v>125</v>
      </c>
      <c r="C148" s="686"/>
      <c r="D148" s="686"/>
      <c r="E148" s="686"/>
      <c r="F148" s="686"/>
      <c r="G148" s="75">
        <v>17981</v>
      </c>
      <c r="H148" s="670"/>
      <c r="I148" s="671"/>
      <c r="J148" s="671"/>
      <c r="K148" s="672"/>
    </row>
    <row r="149" spans="1:11" ht="14">
      <c r="A149" s="488" t="s">
        <v>126</v>
      </c>
      <c r="B149" s="686" t="s">
        <v>127</v>
      </c>
      <c r="C149" s="686"/>
      <c r="D149" s="686"/>
      <c r="E149" s="686"/>
      <c r="F149" s="686"/>
      <c r="G149" s="490">
        <v>1891</v>
      </c>
      <c r="H149" s="670"/>
      <c r="I149" s="671"/>
      <c r="J149" s="671"/>
      <c r="K149" s="672"/>
    </row>
    <row r="150" spans="1:11" ht="14">
      <c r="A150" s="488" t="s">
        <v>128</v>
      </c>
      <c r="B150" s="686" t="s">
        <v>129</v>
      </c>
      <c r="C150" s="686"/>
      <c r="D150" s="686"/>
      <c r="E150" s="686"/>
      <c r="F150" s="686"/>
      <c r="G150" s="479"/>
      <c r="H150" s="670"/>
      <c r="I150" s="671"/>
      <c r="J150" s="671"/>
      <c r="K150" s="672"/>
    </row>
  </sheetData>
  <mergeCells count="274">
    <mergeCell ref="B150:F150"/>
    <mergeCell ref="H150:K150"/>
    <mergeCell ref="A147:A148"/>
    <mergeCell ref="B147:F147"/>
    <mergeCell ref="H147:K147"/>
    <mergeCell ref="B148:F148"/>
    <mergeCell ref="H148:K148"/>
    <mergeCell ref="B149:F149"/>
    <mergeCell ref="H149:K149"/>
    <mergeCell ref="B140:G140"/>
    <mergeCell ref="B141:G141"/>
    <mergeCell ref="A144:F144"/>
    <mergeCell ref="H144:K144"/>
    <mergeCell ref="A145:A146"/>
    <mergeCell ref="B145:F145"/>
    <mergeCell ref="H145:K146"/>
    <mergeCell ref="B146:F146"/>
    <mergeCell ref="A132:B132"/>
    <mergeCell ref="C132:E132"/>
    <mergeCell ref="F132:I132"/>
    <mergeCell ref="J132:M132"/>
    <mergeCell ref="E137:G137"/>
    <mergeCell ref="E138:G138"/>
    <mergeCell ref="A131:B131"/>
    <mergeCell ref="C131:E131"/>
    <mergeCell ref="F131:I131"/>
    <mergeCell ref="J131:M131"/>
    <mergeCell ref="K124:L124"/>
    <mergeCell ref="A128:B128"/>
    <mergeCell ref="C128:E128"/>
    <mergeCell ref="F128:I128"/>
    <mergeCell ref="J128:M128"/>
    <mergeCell ref="A129:B129"/>
    <mergeCell ref="C129:E129"/>
    <mergeCell ref="F129:I129"/>
    <mergeCell ref="J129:M129"/>
    <mergeCell ref="A124:B124"/>
    <mergeCell ref="C124:D124"/>
    <mergeCell ref="E124:F124"/>
    <mergeCell ref="G124:H124"/>
    <mergeCell ref="I124:J124"/>
    <mergeCell ref="A130:B130"/>
    <mergeCell ref="C130:E130"/>
    <mergeCell ref="F130:I130"/>
    <mergeCell ref="J130:M130"/>
    <mergeCell ref="K121:L121"/>
    <mergeCell ref="C122:D122"/>
    <mergeCell ref="E122:F122"/>
    <mergeCell ref="G122:H122"/>
    <mergeCell ref="I122:J122"/>
    <mergeCell ref="K122:L122"/>
    <mergeCell ref="A120:A123"/>
    <mergeCell ref="C120:D120"/>
    <mergeCell ref="E120:F120"/>
    <mergeCell ref="G120:H120"/>
    <mergeCell ref="I120:J120"/>
    <mergeCell ref="K120:L120"/>
    <mergeCell ref="C121:D121"/>
    <mergeCell ref="E121:F121"/>
    <mergeCell ref="G121:H121"/>
    <mergeCell ref="I121:J121"/>
    <mergeCell ref="C123:D123"/>
    <mergeCell ref="E123:F123"/>
    <mergeCell ref="G123:H123"/>
    <mergeCell ref="I123:J123"/>
    <mergeCell ref="K123:L123"/>
    <mergeCell ref="A119:B119"/>
    <mergeCell ref="C119:D119"/>
    <mergeCell ref="E119:F119"/>
    <mergeCell ref="G119:H119"/>
    <mergeCell ref="I119:J119"/>
    <mergeCell ref="K119:L119"/>
    <mergeCell ref="A118:B118"/>
    <mergeCell ref="C118:D118"/>
    <mergeCell ref="E118:F118"/>
    <mergeCell ref="G118:H118"/>
    <mergeCell ref="I118:J118"/>
    <mergeCell ref="K118:L118"/>
    <mergeCell ref="A117:B117"/>
    <mergeCell ref="C117:D117"/>
    <mergeCell ref="E117:F117"/>
    <mergeCell ref="G117:H117"/>
    <mergeCell ref="I117:J117"/>
    <mergeCell ref="K117:L117"/>
    <mergeCell ref="A116:B116"/>
    <mergeCell ref="C116:D116"/>
    <mergeCell ref="E116:F116"/>
    <mergeCell ref="G116:H116"/>
    <mergeCell ref="I116:J116"/>
    <mergeCell ref="K116:L116"/>
    <mergeCell ref="A115:B115"/>
    <mergeCell ref="C115:D115"/>
    <mergeCell ref="E115:F115"/>
    <mergeCell ref="G115:H115"/>
    <mergeCell ref="I115:J115"/>
    <mergeCell ref="K115:L115"/>
    <mergeCell ref="A108:B110"/>
    <mergeCell ref="J108:M108"/>
    <mergeCell ref="J109:M109"/>
    <mergeCell ref="J110:M110"/>
    <mergeCell ref="A114:B114"/>
    <mergeCell ref="C114:D114"/>
    <mergeCell ref="E114:F114"/>
    <mergeCell ref="G114:H114"/>
    <mergeCell ref="I114:J114"/>
    <mergeCell ref="K114:L114"/>
    <mergeCell ref="J103:M103"/>
    <mergeCell ref="J104:M104"/>
    <mergeCell ref="B105:B107"/>
    <mergeCell ref="J105:M105"/>
    <mergeCell ref="J106:M106"/>
    <mergeCell ref="J107:M107"/>
    <mergeCell ref="B96:B98"/>
    <mergeCell ref="J96:M96"/>
    <mergeCell ref="J97:M97"/>
    <mergeCell ref="J98:M98"/>
    <mergeCell ref="A99:A107"/>
    <mergeCell ref="B99:B101"/>
    <mergeCell ref="J99:M99"/>
    <mergeCell ref="J100:M100"/>
    <mergeCell ref="J101:M101"/>
    <mergeCell ref="B102:B104"/>
    <mergeCell ref="J90:M90"/>
    <mergeCell ref="J91:M91"/>
    <mergeCell ref="J92:M92"/>
    <mergeCell ref="B93:B95"/>
    <mergeCell ref="J93:M93"/>
    <mergeCell ref="J94:M94"/>
    <mergeCell ref="J95:M95"/>
    <mergeCell ref="A84:A98"/>
    <mergeCell ref="B84:B86"/>
    <mergeCell ref="J84:M84"/>
    <mergeCell ref="J85:M85"/>
    <mergeCell ref="J86:M86"/>
    <mergeCell ref="B87:B89"/>
    <mergeCell ref="J87:M87"/>
    <mergeCell ref="J88:M88"/>
    <mergeCell ref="J89:M89"/>
    <mergeCell ref="B90:B92"/>
    <mergeCell ref="J102:M102"/>
    <mergeCell ref="A82:A83"/>
    <mergeCell ref="B82:B83"/>
    <mergeCell ref="C82:C83"/>
    <mergeCell ref="D82:F82"/>
    <mergeCell ref="G82:I82"/>
    <mergeCell ref="J82:M83"/>
    <mergeCell ref="B74:C74"/>
    <mergeCell ref="J74:M74"/>
    <mergeCell ref="A75:A77"/>
    <mergeCell ref="B75:C75"/>
    <mergeCell ref="J75:M75"/>
    <mergeCell ref="B76:C76"/>
    <mergeCell ref="J76:M76"/>
    <mergeCell ref="B77:C77"/>
    <mergeCell ref="J77:M77"/>
    <mergeCell ref="A69:A71"/>
    <mergeCell ref="B69:B71"/>
    <mergeCell ref="J69:M69"/>
    <mergeCell ref="J70:M70"/>
    <mergeCell ref="J71:M71"/>
    <mergeCell ref="A72:A74"/>
    <mergeCell ref="B72:C72"/>
    <mergeCell ref="J72:M72"/>
    <mergeCell ref="B73:C73"/>
    <mergeCell ref="J73:M73"/>
    <mergeCell ref="A63:A65"/>
    <mergeCell ref="B63:C63"/>
    <mergeCell ref="J63:M63"/>
    <mergeCell ref="B64:C64"/>
    <mergeCell ref="J64:M64"/>
    <mergeCell ref="B65:C65"/>
    <mergeCell ref="J65:M65"/>
    <mergeCell ref="A66:A68"/>
    <mergeCell ref="B66:C66"/>
    <mergeCell ref="J66:M66"/>
    <mergeCell ref="B67:C67"/>
    <mergeCell ref="J67:M67"/>
    <mergeCell ref="B68:C68"/>
    <mergeCell ref="J68:M68"/>
    <mergeCell ref="A57:A59"/>
    <mergeCell ref="B57:C57"/>
    <mergeCell ref="J57:M57"/>
    <mergeCell ref="B58:C58"/>
    <mergeCell ref="J58:M58"/>
    <mergeCell ref="B59:C59"/>
    <mergeCell ref="J59:M59"/>
    <mergeCell ref="A60:A62"/>
    <mergeCell ref="B60:B62"/>
    <mergeCell ref="J60:M60"/>
    <mergeCell ref="J61:M61"/>
    <mergeCell ref="J62:M62"/>
    <mergeCell ref="A51:A53"/>
    <mergeCell ref="B51:B53"/>
    <mergeCell ref="J51:M51"/>
    <mergeCell ref="J52:M52"/>
    <mergeCell ref="J53:M53"/>
    <mergeCell ref="A54:A56"/>
    <mergeCell ref="B54:C54"/>
    <mergeCell ref="J54:M54"/>
    <mergeCell ref="B55:C55"/>
    <mergeCell ref="J55:M55"/>
    <mergeCell ref="B56:C56"/>
    <mergeCell ref="J56:M56"/>
    <mergeCell ref="A45:C45"/>
    <mergeCell ref="J45:M45"/>
    <mergeCell ref="A49:C50"/>
    <mergeCell ref="D49:F49"/>
    <mergeCell ref="G49:I49"/>
    <mergeCell ref="J49:M50"/>
    <mergeCell ref="A42:C42"/>
    <mergeCell ref="J42:M42"/>
    <mergeCell ref="A43:C43"/>
    <mergeCell ref="J43:M43"/>
    <mergeCell ref="A44:C44"/>
    <mergeCell ref="J44:M44"/>
    <mergeCell ref="B39:C39"/>
    <mergeCell ref="J39:M39"/>
    <mergeCell ref="A40:C40"/>
    <mergeCell ref="J40:M40"/>
    <mergeCell ref="A41:C41"/>
    <mergeCell ref="J41:M41"/>
    <mergeCell ref="B32:C32"/>
    <mergeCell ref="J32:M32"/>
    <mergeCell ref="A33:A39"/>
    <mergeCell ref="B33:B35"/>
    <mergeCell ref="J33:M33"/>
    <mergeCell ref="J34:M34"/>
    <mergeCell ref="J35:M35"/>
    <mergeCell ref="B36:B38"/>
    <mergeCell ref="J36:M36"/>
    <mergeCell ref="J37:M37"/>
    <mergeCell ref="A27:M27"/>
    <mergeCell ref="A28:A32"/>
    <mergeCell ref="B28:B30"/>
    <mergeCell ref="J28:M28"/>
    <mergeCell ref="J29:M29"/>
    <mergeCell ref="J30:M30"/>
    <mergeCell ref="B31:C31"/>
    <mergeCell ref="J31:M31"/>
    <mergeCell ref="J38:M38"/>
    <mergeCell ref="A20:M20"/>
    <mergeCell ref="A21:A26"/>
    <mergeCell ref="B21:B22"/>
    <mergeCell ref="J21:M21"/>
    <mergeCell ref="J22:M22"/>
    <mergeCell ref="B23:B25"/>
    <mergeCell ref="J23:M23"/>
    <mergeCell ref="J24:M24"/>
    <mergeCell ref="J25:M25"/>
    <mergeCell ref="B26:C26"/>
    <mergeCell ref="J26:M26"/>
    <mergeCell ref="A18:A19"/>
    <mergeCell ref="B18:C19"/>
    <mergeCell ref="D18:F18"/>
    <mergeCell ref="G18:I18"/>
    <mergeCell ref="J7:K7"/>
    <mergeCell ref="L7:M7"/>
    <mergeCell ref="A9:B9"/>
    <mergeCell ref="E9:I9"/>
    <mergeCell ref="A10:A13"/>
    <mergeCell ref="E10:I10"/>
    <mergeCell ref="E11:I11"/>
    <mergeCell ref="E12:I12"/>
    <mergeCell ref="E13:I13"/>
    <mergeCell ref="J18:M19"/>
    <mergeCell ref="A1:F1"/>
    <mergeCell ref="J3:K3"/>
    <mergeCell ref="L3:M3"/>
    <mergeCell ref="J5:K5"/>
    <mergeCell ref="L5:M5"/>
    <mergeCell ref="J6:K6"/>
    <mergeCell ref="L6:M6"/>
    <mergeCell ref="A14:B14"/>
    <mergeCell ref="E14:I14"/>
  </mergeCells>
  <dataValidations count="2">
    <dataValidation type="list" allowBlank="1" showInputMessage="1" showErrorMessage="1" sqref="G1" xr:uid="{5E0CBB6C-466D-B74A-82C2-9BF880218B71}">
      <formula1>"Jan, Feb, March, April, May, June, July, Aug, Sep, Oct, Nov, Dec"</formula1>
    </dataValidation>
    <dataValidation type="list" allowBlank="1" showInputMessage="1" showErrorMessage="1" sqref="L3" xr:uid="{8167097D-F901-6E44-A5E0-7BB2D96221C5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33" max="12" man="1"/>
  </rowBreak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1:N167"/>
  <sheetViews>
    <sheetView topLeftCell="A146" zoomScale="96" zoomScaleNormal="96" zoomScaleSheetLayoutView="85" workbookViewId="0">
      <selection activeCell="B155" sqref="B155"/>
    </sheetView>
  </sheetViews>
  <sheetFormatPr baseColWidth="10" defaultColWidth="9" defaultRowHeight="13"/>
  <cols>
    <col min="1" max="1" width="15.83203125" style="4" customWidth="1"/>
    <col min="2" max="2" width="17.6640625" style="4" customWidth="1"/>
    <col min="3" max="3" width="19" style="4" customWidth="1"/>
    <col min="4" max="4" width="11.83203125" style="4" customWidth="1"/>
    <col min="5" max="5" width="12" style="4" customWidth="1"/>
    <col min="6" max="6" width="9" style="4"/>
    <col min="7" max="7" width="11" style="4" customWidth="1"/>
    <col min="8" max="8" width="12" style="4" customWidth="1"/>
    <col min="9" max="11" width="9" style="4"/>
    <col min="12" max="12" width="10.5" style="4" customWidth="1"/>
    <col min="13" max="16384" width="9" style="4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140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>
        <v>43150</v>
      </c>
      <c r="M7" s="538"/>
    </row>
    <row r="8" spans="1:13" ht="15" thickBot="1">
      <c r="A8" s="5" t="s">
        <v>154</v>
      </c>
    </row>
    <row r="9" spans="1:13" ht="28">
      <c r="A9" s="531" t="s">
        <v>8</v>
      </c>
      <c r="B9" s="533"/>
      <c r="C9" s="80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79" t="s">
        <v>176</v>
      </c>
      <c r="C10" s="61">
        <v>2</v>
      </c>
      <c r="D10" s="82">
        <v>2</v>
      </c>
      <c r="E10" s="538" t="s">
        <v>182</v>
      </c>
      <c r="F10" s="538"/>
      <c r="G10" s="538"/>
      <c r="H10" s="538"/>
      <c r="I10" s="539"/>
    </row>
    <row r="11" spans="1:13">
      <c r="A11" s="537"/>
      <c r="B11" s="100" t="s">
        <v>177</v>
      </c>
      <c r="C11" s="61">
        <v>2</v>
      </c>
      <c r="D11" s="101">
        <v>2</v>
      </c>
      <c r="E11" s="540" t="s">
        <v>183</v>
      </c>
      <c r="F11" s="541"/>
      <c r="G11" s="541"/>
      <c r="H11" s="541"/>
      <c r="I11" s="542"/>
    </row>
    <row r="12" spans="1:13">
      <c r="A12" s="537"/>
      <c r="B12" s="79" t="s">
        <v>179</v>
      </c>
      <c r="C12" s="61">
        <v>2</v>
      </c>
      <c r="D12" s="82">
        <v>0</v>
      </c>
      <c r="E12" s="768" t="s">
        <v>184</v>
      </c>
      <c r="F12" s="538"/>
      <c r="G12" s="538"/>
      <c r="H12" s="538"/>
      <c r="I12" s="539"/>
    </row>
    <row r="13" spans="1:13">
      <c r="A13" s="537"/>
      <c r="B13" s="79" t="s">
        <v>180</v>
      </c>
      <c r="C13" s="61">
        <v>3</v>
      </c>
      <c r="D13" s="82">
        <v>1</v>
      </c>
      <c r="E13" s="538" t="s">
        <v>130</v>
      </c>
      <c r="F13" s="538"/>
      <c r="G13" s="538"/>
      <c r="H13" s="538"/>
      <c r="I13" s="539"/>
    </row>
    <row r="14" spans="1:13">
      <c r="A14" s="537"/>
      <c r="B14" s="100" t="s">
        <v>178</v>
      </c>
      <c r="C14" s="61">
        <v>0</v>
      </c>
      <c r="D14" s="101">
        <v>0</v>
      </c>
      <c r="E14" s="540"/>
      <c r="F14" s="541"/>
      <c r="G14" s="541"/>
      <c r="H14" s="541"/>
      <c r="I14" s="542"/>
    </row>
    <row r="15" spans="1:13">
      <c r="A15" s="537"/>
      <c r="B15" s="79" t="s">
        <v>13</v>
      </c>
      <c r="C15" s="61">
        <v>2</v>
      </c>
      <c r="D15" s="82">
        <v>0</v>
      </c>
      <c r="E15" s="768"/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5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5" t="s">
        <v>16</v>
      </c>
      <c r="D19" s="12" t="s">
        <v>17</v>
      </c>
    </row>
    <row r="20" spans="1:13">
      <c r="A20" s="531" t="s">
        <v>155</v>
      </c>
      <c r="B20" s="533" t="s">
        <v>156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157</v>
      </c>
      <c r="K20" s="533"/>
      <c r="L20" s="533"/>
      <c r="M20" s="536"/>
    </row>
    <row r="21" spans="1:13">
      <c r="A21" s="532"/>
      <c r="B21" s="534"/>
      <c r="C21" s="534"/>
      <c r="D21" s="81" t="s">
        <v>23</v>
      </c>
      <c r="E21" s="81" t="s">
        <v>24</v>
      </c>
      <c r="F21" s="81" t="s">
        <v>25</v>
      </c>
      <c r="G21" s="81" t="s">
        <v>158</v>
      </c>
      <c r="H21" s="81" t="s">
        <v>24</v>
      </c>
      <c r="I21" s="81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159</v>
      </c>
      <c r="C23" s="13" t="s">
        <v>29</v>
      </c>
      <c r="D23" s="65">
        <v>10718</v>
      </c>
      <c r="E23" s="82">
        <v>11652</v>
      </c>
      <c r="F23" s="14">
        <f t="shared" ref="F23:F28" si="0">E23/D23</f>
        <v>1.0871431237171114</v>
      </c>
      <c r="G23" s="66">
        <f>D23</f>
        <v>10718</v>
      </c>
      <c r="H23" s="66">
        <f>E23</f>
        <v>11652</v>
      </c>
      <c r="I23" s="14">
        <f t="shared" ref="I23:I28" si="1">H23/G23</f>
        <v>1.0871431237171114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83">
        <f>SUM(D23:D23)</f>
        <v>10718</v>
      </c>
      <c r="E24" s="83">
        <f>SUM(E23:E23)</f>
        <v>11652</v>
      </c>
      <c r="F24" s="16">
        <f t="shared" si="0"/>
        <v>1.0871431237171114</v>
      </c>
      <c r="G24" s="83">
        <f>SUM(G23:G23)</f>
        <v>10718</v>
      </c>
      <c r="H24" s="83">
        <f>SUM(H23:H23)</f>
        <v>11652</v>
      </c>
      <c r="I24" s="16">
        <f t="shared" si="1"/>
        <v>1.0871431237171114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3" t="s">
        <v>29</v>
      </c>
      <c r="D25" s="65">
        <v>10240</v>
      </c>
      <c r="E25" s="82">
        <v>11323</v>
      </c>
      <c r="F25" s="14">
        <f t="shared" si="0"/>
        <v>1.10576171875</v>
      </c>
      <c r="G25" s="66">
        <f>D25</f>
        <v>10240</v>
      </c>
      <c r="H25" s="66">
        <f>E25</f>
        <v>11323</v>
      </c>
      <c r="I25" s="14">
        <f t="shared" si="1"/>
        <v>1.10576171875</v>
      </c>
      <c r="J25" s="525"/>
      <c r="K25" s="525"/>
      <c r="L25" s="525"/>
      <c r="M25" s="552"/>
    </row>
    <row r="26" spans="1:13" ht="13.5" customHeight="1">
      <c r="A26" s="548"/>
      <c r="B26" s="555"/>
      <c r="C26" s="13" t="s">
        <v>32</v>
      </c>
      <c r="D26" s="65">
        <v>0</v>
      </c>
      <c r="E26" s="82">
        <v>0</v>
      </c>
      <c r="F26" s="14" t="e">
        <f t="shared" si="0"/>
        <v>#DIV/0!</v>
      </c>
      <c r="G26" s="79">
        <f>D26</f>
        <v>0</v>
      </c>
      <c r="H26" s="79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83">
        <f>SUM(D25:D26)</f>
        <v>10240</v>
      </c>
      <c r="E27" s="83">
        <f>SUM(E25:E26)</f>
        <v>11323</v>
      </c>
      <c r="F27" s="16">
        <f t="shared" si="0"/>
        <v>1.10576171875</v>
      </c>
      <c r="G27" s="83">
        <f>SUM(G25:G26)</f>
        <v>10240</v>
      </c>
      <c r="H27" s="83">
        <f>SUM(H25:H26)</f>
        <v>11323</v>
      </c>
      <c r="I27" s="16">
        <f t="shared" si="1"/>
        <v>1.10576171875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84">
        <f>SUM(D24,D27)</f>
        <v>20958</v>
      </c>
      <c r="E28" s="84">
        <f>SUM(E24,E27)</f>
        <v>22975</v>
      </c>
      <c r="F28" s="17">
        <f t="shared" si="0"/>
        <v>1.0962400992461112</v>
      </c>
      <c r="G28" s="84">
        <f>SUM(G24,G27)</f>
        <v>20958</v>
      </c>
      <c r="H28" s="84">
        <f>SUM(H24,H27)</f>
        <v>22975</v>
      </c>
      <c r="I28" s="17">
        <f t="shared" si="1"/>
        <v>1.0962400992461112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160</v>
      </c>
      <c r="B30" s="564" t="s">
        <v>161</v>
      </c>
      <c r="C30" s="13" t="s">
        <v>162</v>
      </c>
      <c r="D30" s="65">
        <v>1000</v>
      </c>
      <c r="E30" s="82">
        <v>2424</v>
      </c>
      <c r="F30" s="14">
        <f>E30/D30</f>
        <v>2.4239999999999999</v>
      </c>
      <c r="G30" s="66">
        <f>D30</f>
        <v>1000</v>
      </c>
      <c r="H30" s="66">
        <f>E30</f>
        <v>2424</v>
      </c>
      <c r="I30" s="14">
        <f>H30/G30</f>
        <v>2.4239999999999999</v>
      </c>
      <c r="J30" s="525"/>
      <c r="K30" s="525"/>
      <c r="L30" s="525"/>
      <c r="M30" s="552"/>
    </row>
    <row r="31" spans="1:13">
      <c r="A31" s="562"/>
      <c r="B31" s="565"/>
      <c r="C31" s="13" t="s">
        <v>32</v>
      </c>
      <c r="D31" s="65">
        <v>0</v>
      </c>
      <c r="E31" s="82">
        <v>9939</v>
      </c>
      <c r="F31" s="14" t="e">
        <f t="shared" ref="F31:F47" si="2">E31/D31</f>
        <v>#DIV/0!</v>
      </c>
      <c r="G31" s="66">
        <f>D31</f>
        <v>0</v>
      </c>
      <c r="H31" s="66">
        <f>E31</f>
        <v>9939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83">
        <f>SUM(D30:D31)</f>
        <v>1000</v>
      </c>
      <c r="E32" s="83">
        <f>SUM(E30:E31)</f>
        <v>12363</v>
      </c>
      <c r="F32" s="14">
        <f t="shared" si="2"/>
        <v>12.363</v>
      </c>
      <c r="G32" s="83">
        <f>SUM(G30:G31)</f>
        <v>1000</v>
      </c>
      <c r="H32" s="83">
        <f>SUM(H30:H31)</f>
        <v>12363</v>
      </c>
      <c r="I32" s="14">
        <f t="shared" si="3"/>
        <v>12.363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65">
        <v>650</v>
      </c>
      <c r="E33" s="82">
        <v>652</v>
      </c>
      <c r="F33" s="14">
        <f t="shared" si="2"/>
        <v>1.003076923076923</v>
      </c>
      <c r="G33" s="66">
        <f>D33</f>
        <v>650</v>
      </c>
      <c r="H33" s="66">
        <f>E33</f>
        <v>652</v>
      </c>
      <c r="I33" s="14">
        <f t="shared" si="3"/>
        <v>1.003076923076923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81">
        <f>SUM(D32,D33)</f>
        <v>1650</v>
      </c>
      <c r="E34" s="81">
        <f>SUM(E32,E33)</f>
        <v>13015</v>
      </c>
      <c r="F34" s="14">
        <f t="shared" si="2"/>
        <v>7.8878787878787877</v>
      </c>
      <c r="G34" s="81">
        <f>SUM(G32,G33)</f>
        <v>1650</v>
      </c>
      <c r="H34" s="81">
        <f>SUM(H32,H33)</f>
        <v>13015</v>
      </c>
      <c r="I34" s="14">
        <f t="shared" si="3"/>
        <v>7.8878787878787877</v>
      </c>
      <c r="J34" s="534"/>
      <c r="K34" s="534"/>
      <c r="L34" s="534"/>
      <c r="M34" s="543"/>
    </row>
    <row r="35" spans="1:13">
      <c r="A35" s="573" t="s">
        <v>37</v>
      </c>
      <c r="B35" s="555" t="s">
        <v>38</v>
      </c>
      <c r="C35" s="18" t="s">
        <v>39</v>
      </c>
      <c r="D35" s="65">
        <v>36232</v>
      </c>
      <c r="E35" s="79">
        <v>0</v>
      </c>
      <c r="F35" s="14">
        <f t="shared" si="2"/>
        <v>0</v>
      </c>
      <c r="G35" s="66">
        <f>D35</f>
        <v>36232</v>
      </c>
      <c r="H35" s="66">
        <f>E35</f>
        <v>0</v>
      </c>
      <c r="I35" s="14">
        <f t="shared" si="3"/>
        <v>0</v>
      </c>
      <c r="J35" s="525"/>
      <c r="K35" s="525"/>
      <c r="L35" s="525"/>
      <c r="M35" s="552"/>
    </row>
    <row r="36" spans="1:13">
      <c r="A36" s="573"/>
      <c r="B36" s="555"/>
      <c r="C36" s="13" t="s">
        <v>40</v>
      </c>
      <c r="D36" s="79"/>
      <c r="E36" s="79"/>
      <c r="F36" s="14" t="e">
        <f t="shared" si="2"/>
        <v>#DIV/0!</v>
      </c>
      <c r="G36" s="79"/>
      <c r="H36" s="79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83">
        <f>SUM(D35:D36)</f>
        <v>36232</v>
      </c>
      <c r="E37" s="83">
        <f>SUM(E35:E36)</f>
        <v>0</v>
      </c>
      <c r="F37" s="16">
        <f t="shared" si="2"/>
        <v>0</v>
      </c>
      <c r="G37" s="99">
        <f>SUM(G35:G36)</f>
        <v>36232</v>
      </c>
      <c r="H37" s="99">
        <f>SUM(H35:H36)</f>
        <v>0</v>
      </c>
      <c r="I37" s="16">
        <f t="shared" si="3"/>
        <v>0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3" t="s">
        <v>40</v>
      </c>
      <c r="D38" s="65">
        <v>1100</v>
      </c>
      <c r="E38" s="82">
        <v>0</v>
      </c>
      <c r="F38" s="14">
        <f t="shared" si="2"/>
        <v>0</v>
      </c>
      <c r="G38" s="66">
        <f>D38</f>
        <v>1100</v>
      </c>
      <c r="H38" s="66">
        <f>E38</f>
        <v>0</v>
      </c>
      <c r="I38" s="14">
        <f t="shared" si="3"/>
        <v>0</v>
      </c>
      <c r="J38" s="525"/>
      <c r="K38" s="525"/>
      <c r="L38" s="525"/>
      <c r="M38" s="552"/>
    </row>
    <row r="39" spans="1:13" ht="12" customHeight="1">
      <c r="A39" s="573"/>
      <c r="B39" s="574"/>
      <c r="C39" s="13" t="s">
        <v>40</v>
      </c>
      <c r="D39" s="79"/>
      <c r="E39" s="79"/>
      <c r="F39" s="14" t="e">
        <f t="shared" si="2"/>
        <v>#DIV/0!</v>
      </c>
      <c r="G39" s="79"/>
      <c r="H39" s="79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83">
        <f>SUM(D38:D39)</f>
        <v>1100</v>
      </c>
      <c r="E40" s="83">
        <f>SUM(E38:E39)</f>
        <v>0</v>
      </c>
      <c r="F40" s="16">
        <f t="shared" si="2"/>
        <v>0</v>
      </c>
      <c r="G40" s="83">
        <f>SUM(G38:G39)</f>
        <v>1100</v>
      </c>
      <c r="H40" s="83">
        <f>SUM(H38:H39)</f>
        <v>0</v>
      </c>
      <c r="I40" s="16">
        <f t="shared" si="3"/>
        <v>0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81">
        <f>SUM(D37,D40)</f>
        <v>37332</v>
      </c>
      <c r="E41" s="81">
        <f>SUM(E37,E40)</f>
        <v>0</v>
      </c>
      <c r="F41" s="19">
        <f t="shared" si="2"/>
        <v>0</v>
      </c>
      <c r="G41" s="81">
        <f>SUM(G37,G40)</f>
        <v>37332</v>
      </c>
      <c r="H41" s="81">
        <f>SUM(H37,H40)</f>
        <v>0</v>
      </c>
      <c r="I41" s="19">
        <f t="shared" si="3"/>
        <v>0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67">
        <v>11000</v>
      </c>
      <c r="E42" s="76">
        <f>C140+E140+G140+I140</f>
        <v>34798</v>
      </c>
      <c r="F42" s="21">
        <f t="shared" si="2"/>
        <v>3.1634545454545453</v>
      </c>
      <c r="G42" s="68">
        <f t="shared" ref="G42:H44" si="4">D42</f>
        <v>11000</v>
      </c>
      <c r="H42" s="77">
        <f t="shared" si="4"/>
        <v>34798</v>
      </c>
      <c r="I42" s="21">
        <f t="shared" si="3"/>
        <v>3.1634545454545453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67">
        <v>0</v>
      </c>
      <c r="E43" s="20">
        <v>0</v>
      </c>
      <c r="F43" s="21" t="e">
        <f t="shared" si="2"/>
        <v>#DIV/0!</v>
      </c>
      <c r="G43" s="68">
        <f t="shared" si="4"/>
        <v>0</v>
      </c>
      <c r="H43" s="68">
        <f t="shared" si="4"/>
        <v>0</v>
      </c>
      <c r="I43" s="21" t="e">
        <f t="shared" si="3"/>
        <v>#DIV/0!</v>
      </c>
      <c r="J43" s="572" t="s">
        <v>44</v>
      </c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67">
        <v>33500</v>
      </c>
      <c r="E44" s="20">
        <v>0</v>
      </c>
      <c r="F44" s="21">
        <f t="shared" si="2"/>
        <v>0</v>
      </c>
      <c r="G44" s="68">
        <f t="shared" si="4"/>
        <v>33500</v>
      </c>
      <c r="H44" s="68">
        <f t="shared" si="4"/>
        <v>0</v>
      </c>
      <c r="I44" s="21">
        <f t="shared" si="3"/>
        <v>0</v>
      </c>
      <c r="J44" s="570"/>
      <c r="K44" s="570"/>
      <c r="L44" s="570"/>
      <c r="M44" s="571"/>
    </row>
    <row r="45" spans="1:13" s="8" customFormat="1">
      <c r="A45" s="587" t="s">
        <v>46</v>
      </c>
      <c r="B45" s="588"/>
      <c r="C45" s="589"/>
      <c r="D45" s="87">
        <f>SUM(D28,D34,D41,D42:D44)</f>
        <v>104440</v>
      </c>
      <c r="E45" s="78">
        <f>SUM(E28,E34,E41,E42:E44)</f>
        <v>70788</v>
      </c>
      <c r="F45" s="22">
        <f t="shared" si="2"/>
        <v>0.67778628877824587</v>
      </c>
      <c r="G45" s="87">
        <f>SUM(G28,G34,G41,G42:G44)</f>
        <v>104440</v>
      </c>
      <c r="H45" s="87">
        <f>SUM(H28,H34,H41,H42:H44)</f>
        <v>70788</v>
      </c>
      <c r="I45" s="22">
        <f t="shared" si="3"/>
        <v>0.67778628877824587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87">
        <f>D45-D42</f>
        <v>93440</v>
      </c>
      <c r="E46" s="87">
        <f>E45-E42</f>
        <v>35990</v>
      </c>
      <c r="F46" s="22">
        <f t="shared" si="2"/>
        <v>0.38516695205479451</v>
      </c>
      <c r="G46" s="87">
        <f>G45-G42</f>
        <v>93440</v>
      </c>
      <c r="H46" s="87">
        <f>H45-H42</f>
        <v>35990</v>
      </c>
      <c r="I46" s="22">
        <f t="shared" si="3"/>
        <v>0.38516695205479451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85">
        <f>D46-D44</f>
        <v>59940</v>
      </c>
      <c r="E47" s="85">
        <f>E46-E44</f>
        <v>35990</v>
      </c>
      <c r="F47" s="23">
        <f t="shared" si="2"/>
        <v>0.60043376710043372</v>
      </c>
      <c r="G47" s="85">
        <f>G46-G44</f>
        <v>59940</v>
      </c>
      <c r="H47" s="85">
        <f>H46-H44</f>
        <v>35990</v>
      </c>
      <c r="I47" s="23">
        <f t="shared" si="3"/>
        <v>0.60043376710043372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5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86" t="s">
        <v>23</v>
      </c>
      <c r="E52" s="86" t="s">
        <v>24</v>
      </c>
      <c r="F52" s="86" t="s">
        <v>25</v>
      </c>
      <c r="G52" s="86" t="s">
        <v>23</v>
      </c>
      <c r="H52" s="86" t="s">
        <v>24</v>
      </c>
      <c r="I52" s="86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8</v>
      </c>
      <c r="E53" s="82">
        <v>24</v>
      </c>
      <c r="F53" s="28">
        <f t="shared" ref="F53:F79" si="5">E53/D53</f>
        <v>3</v>
      </c>
      <c r="G53" s="66">
        <f>D53</f>
        <v>8</v>
      </c>
      <c r="H53" s="66">
        <f>E53</f>
        <v>24</v>
      </c>
      <c r="I53" s="28">
        <f t="shared" ref="I53:I79" si="6">H53/G53</f>
        <v>3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300</v>
      </c>
      <c r="E54" s="82">
        <v>311</v>
      </c>
      <c r="F54" s="28">
        <f t="shared" si="5"/>
        <v>1.0366666666666666</v>
      </c>
      <c r="G54" s="66">
        <f>D54</f>
        <v>300</v>
      </c>
      <c r="H54" s="66">
        <f>E54</f>
        <v>311</v>
      </c>
      <c r="I54" s="28">
        <f t="shared" si="6"/>
        <v>1.0366666666666666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83">
        <f>SUM(D53:D54)</f>
        <v>308</v>
      </c>
      <c r="E55" s="83">
        <f>SUM(E53:E54)</f>
        <v>335</v>
      </c>
      <c r="F55" s="30">
        <f t="shared" si="5"/>
        <v>1.0876623376623376</v>
      </c>
      <c r="G55" s="83">
        <f>SUM(G53:G54)</f>
        <v>308</v>
      </c>
      <c r="H55" s="83">
        <f>SUM(H53:H54)</f>
        <v>335</v>
      </c>
      <c r="I55" s="30">
        <f t="shared" si="6"/>
        <v>1.0876623376623376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40</v>
      </c>
      <c r="E56" s="82">
        <v>46</v>
      </c>
      <c r="F56" s="28">
        <f t="shared" si="5"/>
        <v>1.1499999999999999</v>
      </c>
      <c r="G56" s="66">
        <f>D56</f>
        <v>40</v>
      </c>
      <c r="H56" s="66">
        <f>E56</f>
        <v>46</v>
      </c>
      <c r="I56" s="28">
        <f t="shared" si="6"/>
        <v>1.1499999999999999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600</v>
      </c>
      <c r="E57" s="82">
        <v>666</v>
      </c>
      <c r="F57" s="28">
        <f t="shared" si="5"/>
        <v>1.1100000000000001</v>
      </c>
      <c r="G57" s="66">
        <f>D57</f>
        <v>600</v>
      </c>
      <c r="H57" s="66">
        <f>E57</f>
        <v>666</v>
      </c>
      <c r="I57" s="28">
        <f t="shared" si="6"/>
        <v>1.1100000000000001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91">
        <f>SUM(D56:D57)</f>
        <v>640</v>
      </c>
      <c r="E58" s="91">
        <f>SUM(E56:E57)</f>
        <v>712</v>
      </c>
      <c r="F58" s="28">
        <f t="shared" si="5"/>
        <v>1.1125</v>
      </c>
      <c r="G58" s="91">
        <f>SUM(G56:G57)</f>
        <v>640</v>
      </c>
      <c r="H58" s="91">
        <f>SUM(H56:H57)</f>
        <v>712</v>
      </c>
      <c r="I58" s="31">
        <f t="shared" si="6"/>
        <v>1.1125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92">
        <f>SUM(D53,D56)</f>
        <v>48</v>
      </c>
      <c r="E59" s="92">
        <f>SUM(E53,E56)</f>
        <v>70</v>
      </c>
      <c r="F59" s="32">
        <f t="shared" si="5"/>
        <v>1.4583333333333333</v>
      </c>
      <c r="G59" s="92">
        <f>SUM(G53,G56)</f>
        <v>48</v>
      </c>
      <c r="H59" s="92">
        <f>SUM(H53,H56)</f>
        <v>70</v>
      </c>
      <c r="I59" s="32">
        <f t="shared" si="6"/>
        <v>1.4583333333333333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92">
        <f>SUM(D54,D57)</f>
        <v>900</v>
      </c>
      <c r="E60" s="92">
        <f>SUM(E54,E57)</f>
        <v>977</v>
      </c>
      <c r="F60" s="32">
        <f t="shared" si="5"/>
        <v>1.0855555555555556</v>
      </c>
      <c r="G60" s="92">
        <f>SUM(G54,G57)</f>
        <v>900</v>
      </c>
      <c r="H60" s="92">
        <f>SUM(H54,H57)</f>
        <v>977</v>
      </c>
      <c r="I60" s="32">
        <f t="shared" si="6"/>
        <v>1.0855555555555556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93">
        <f>SUM(D59:D60)</f>
        <v>948</v>
      </c>
      <c r="E61" s="93">
        <f>SUM(E59:E60)</f>
        <v>1047</v>
      </c>
      <c r="F61" s="33">
        <f t="shared" si="5"/>
        <v>1.1044303797468353</v>
      </c>
      <c r="G61" s="93">
        <f>SUM(G59:G60)</f>
        <v>948</v>
      </c>
      <c r="H61" s="93">
        <f>SUM(H59:H60)</f>
        <v>1047</v>
      </c>
      <c r="I61" s="33">
        <f t="shared" si="6"/>
        <v>1.1044303797468353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28</v>
      </c>
      <c r="E62" s="79">
        <f>E71/10</f>
        <v>83.5</v>
      </c>
      <c r="F62" s="28">
        <f t="shared" si="5"/>
        <v>2.9821428571428572</v>
      </c>
      <c r="G62" s="66">
        <f>D62</f>
        <v>28</v>
      </c>
      <c r="H62" s="66">
        <f>E62</f>
        <v>83.5</v>
      </c>
      <c r="I62" s="28">
        <f t="shared" si="6"/>
        <v>2.9821428571428572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65">
        <v>1044</v>
      </c>
      <c r="E63" s="79">
        <f>E72/10</f>
        <v>1081.7</v>
      </c>
      <c r="F63" s="28">
        <f t="shared" si="5"/>
        <v>1.0361111111111112</v>
      </c>
      <c r="G63" s="66">
        <f>D63</f>
        <v>1044</v>
      </c>
      <c r="H63" s="66">
        <f>E63</f>
        <v>1081.7</v>
      </c>
      <c r="I63" s="28">
        <f t="shared" si="6"/>
        <v>1.0361111111111112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1072</v>
      </c>
      <c r="E64" s="83">
        <f>SUM(E62:E63)</f>
        <v>1165.2</v>
      </c>
      <c r="F64" s="30">
        <f t="shared" si="5"/>
        <v>1.0869402985074628</v>
      </c>
      <c r="G64" s="83">
        <f>SUM(G62:G63)</f>
        <v>1072</v>
      </c>
      <c r="H64" s="83">
        <f>SUM(H62:H63)</f>
        <v>1165.2</v>
      </c>
      <c r="I64" s="30">
        <f t="shared" si="6"/>
        <v>1.0869402985074628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64</v>
      </c>
      <c r="E65" s="79">
        <f>E74/10</f>
        <v>56.5</v>
      </c>
      <c r="F65" s="28">
        <f t="shared" si="5"/>
        <v>0.8828125</v>
      </c>
      <c r="G65" s="66">
        <f>D65</f>
        <v>64</v>
      </c>
      <c r="H65" s="66">
        <f>E65</f>
        <v>56.5</v>
      </c>
      <c r="I65" s="28">
        <f t="shared" si="6"/>
        <v>0.8828125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960</v>
      </c>
      <c r="E66" s="79">
        <f>E75/10</f>
        <v>1075.8</v>
      </c>
      <c r="F66" s="28">
        <f t="shared" si="5"/>
        <v>1.120625</v>
      </c>
      <c r="G66" s="66">
        <f>D66</f>
        <v>960</v>
      </c>
      <c r="H66" s="66">
        <f>E66</f>
        <v>1075.8</v>
      </c>
      <c r="I66" s="28">
        <f t="shared" si="6"/>
        <v>1.120625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91">
        <f>SUM(D65:D66)</f>
        <v>1024</v>
      </c>
      <c r="E67" s="91">
        <f>SUM(E65:E66)</f>
        <v>1132.3</v>
      </c>
      <c r="F67" s="31">
        <f t="shared" si="5"/>
        <v>1.10576171875</v>
      </c>
      <c r="G67" s="91">
        <f>SUM(G65:G66)</f>
        <v>1024</v>
      </c>
      <c r="H67" s="91">
        <f>SUM(H65:H66)</f>
        <v>1132.3</v>
      </c>
      <c r="I67" s="31">
        <f t="shared" si="6"/>
        <v>1.10576171875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92">
        <f>SUM(D62,D65)</f>
        <v>92</v>
      </c>
      <c r="E68" s="92">
        <f>SUM(E62,E65)</f>
        <v>140</v>
      </c>
      <c r="F68" s="32">
        <f t="shared" si="5"/>
        <v>1.5217391304347827</v>
      </c>
      <c r="G68" s="92">
        <f>SUM(G62,G65)</f>
        <v>92</v>
      </c>
      <c r="H68" s="92">
        <f>SUM(H62,H65)</f>
        <v>140</v>
      </c>
      <c r="I68" s="32">
        <f t="shared" si="6"/>
        <v>1.5217391304347827</v>
      </c>
      <c r="J68" s="610"/>
      <c r="K68" s="611"/>
      <c r="L68" s="611"/>
      <c r="M68" s="612"/>
    </row>
    <row r="69" spans="1:14" s="8" customFormat="1">
      <c r="A69" s="607"/>
      <c r="B69" s="609" t="s">
        <v>163</v>
      </c>
      <c r="C69" s="609"/>
      <c r="D69" s="92">
        <f>SUM(D63,D66)</f>
        <v>2004</v>
      </c>
      <c r="E69" s="92">
        <f>SUM(E63,E66)</f>
        <v>2157.5</v>
      </c>
      <c r="F69" s="32">
        <f t="shared" si="5"/>
        <v>1.0765968063872255</v>
      </c>
      <c r="G69" s="92">
        <f>SUM(G63,G66)</f>
        <v>2004</v>
      </c>
      <c r="H69" s="92">
        <f>SUM(H63,H66)</f>
        <v>2157.5</v>
      </c>
      <c r="I69" s="32">
        <f t="shared" si="6"/>
        <v>1.0765968063872255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93">
        <f>SUM(D68:D69)</f>
        <v>2096</v>
      </c>
      <c r="E70" s="93">
        <f>SUM(E68:E69)</f>
        <v>2297.5</v>
      </c>
      <c r="F70" s="34">
        <f t="shared" si="5"/>
        <v>1.0961354961832062</v>
      </c>
      <c r="G70" s="93">
        <f>SUM(G68:G69)</f>
        <v>2096</v>
      </c>
      <c r="H70" s="93">
        <f>SUM(H68:H69)</f>
        <v>2297.5</v>
      </c>
      <c r="I70" s="34">
        <f t="shared" si="6"/>
        <v>1.0961354961832062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65">
        <v>278</v>
      </c>
      <c r="E71" s="82">
        <v>835</v>
      </c>
      <c r="F71" s="28">
        <f t="shared" si="5"/>
        <v>3.0035971223021583</v>
      </c>
      <c r="G71" s="66">
        <f>D71</f>
        <v>278</v>
      </c>
      <c r="H71" s="66">
        <f>E71</f>
        <v>835</v>
      </c>
      <c r="I71" s="28">
        <f t="shared" si="6"/>
        <v>3.0035971223021583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65">
        <v>10440</v>
      </c>
      <c r="E72" s="99">
        <f>E23-E71</f>
        <v>10817</v>
      </c>
      <c r="F72" s="28">
        <f t="shared" si="5"/>
        <v>1.0361111111111112</v>
      </c>
      <c r="G72" s="66">
        <f>D72</f>
        <v>10440</v>
      </c>
      <c r="H72" s="66">
        <f>E72</f>
        <v>10817</v>
      </c>
      <c r="I72" s="28">
        <f t="shared" si="6"/>
        <v>1.0361111111111112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83">
        <f>SUM(D71:D72)</f>
        <v>10718</v>
      </c>
      <c r="E73" s="83">
        <f>SUM(E71:E72)</f>
        <v>11652</v>
      </c>
      <c r="F73" s="30">
        <f t="shared" si="5"/>
        <v>1.0871431237171114</v>
      </c>
      <c r="G73" s="83">
        <f>SUM(G71:G72)</f>
        <v>10718</v>
      </c>
      <c r="H73" s="83">
        <f>SUM(H71:H72)</f>
        <v>11652</v>
      </c>
      <c r="I73" s="30">
        <f t="shared" si="6"/>
        <v>1.0871431237171114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65">
        <v>640</v>
      </c>
      <c r="E74" s="82">
        <v>565</v>
      </c>
      <c r="F74" s="28">
        <f t="shared" si="5"/>
        <v>0.8828125</v>
      </c>
      <c r="G74" s="66">
        <f>D74</f>
        <v>640</v>
      </c>
      <c r="H74" s="66">
        <f>E74</f>
        <v>565</v>
      </c>
      <c r="I74" s="28">
        <f t="shared" si="6"/>
        <v>0.8828125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65">
        <v>9600</v>
      </c>
      <c r="E75" s="99">
        <f>E25-E74</f>
        <v>10758</v>
      </c>
      <c r="F75" s="28">
        <f t="shared" si="5"/>
        <v>1.120625</v>
      </c>
      <c r="G75" s="66">
        <f>D75</f>
        <v>9600</v>
      </c>
      <c r="H75" s="66">
        <f>E75</f>
        <v>10758</v>
      </c>
      <c r="I75" s="28">
        <f t="shared" si="6"/>
        <v>1.120625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91">
        <f>SUM(D74:D75)</f>
        <v>10240</v>
      </c>
      <c r="E76" s="91">
        <f>SUM(E74:E75)</f>
        <v>11323</v>
      </c>
      <c r="F76" s="31">
        <f t="shared" si="5"/>
        <v>1.10576171875</v>
      </c>
      <c r="G76" s="91">
        <f>SUM(G74:G75)</f>
        <v>10240</v>
      </c>
      <c r="H76" s="91">
        <f>SUM(H74:H75)</f>
        <v>11323</v>
      </c>
      <c r="I76" s="31">
        <f t="shared" si="6"/>
        <v>1.10576171875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92">
        <f>SUM(D71,D74)</f>
        <v>918</v>
      </c>
      <c r="E77" s="92">
        <f>SUM(E71,E74)</f>
        <v>1400</v>
      </c>
      <c r="F77" s="32">
        <f t="shared" si="5"/>
        <v>1.5250544662309369</v>
      </c>
      <c r="G77" s="92">
        <f>SUM(G71,G74)</f>
        <v>918</v>
      </c>
      <c r="H77" s="92">
        <f>SUM(H71,H74)</f>
        <v>1400</v>
      </c>
      <c r="I77" s="32">
        <f t="shared" si="6"/>
        <v>1.5250544662309369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92">
        <f>SUM(D72,D75)</f>
        <v>20040</v>
      </c>
      <c r="E78" s="92">
        <f>SUM(E72,E75)</f>
        <v>21575</v>
      </c>
      <c r="F78" s="32">
        <f t="shared" si="5"/>
        <v>1.0765968063872255</v>
      </c>
      <c r="G78" s="92">
        <f>SUM(G72,G75)</f>
        <v>20040</v>
      </c>
      <c r="H78" s="92">
        <f>SUM(H72,H75)</f>
        <v>21575</v>
      </c>
      <c r="I78" s="32">
        <f t="shared" si="6"/>
        <v>1.0765968063872255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93">
        <f>SUM(D77:D78)</f>
        <v>20958</v>
      </c>
      <c r="E79" s="93">
        <f>SUM(E77:E78)</f>
        <v>22975</v>
      </c>
      <c r="F79" s="34">
        <f t="shared" si="5"/>
        <v>1.0962400992461112</v>
      </c>
      <c r="G79" s="93">
        <f>SUM(G77:G78)</f>
        <v>20958</v>
      </c>
      <c r="H79" s="93">
        <f>SUM(H77:H78)</f>
        <v>22975</v>
      </c>
      <c r="I79" s="34">
        <f t="shared" si="6"/>
        <v>1.0962400992461112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5" t="s">
        <v>64</v>
      </c>
    </row>
    <row r="83" spans="1:13" s="126" customFormat="1" ht="14">
      <c r="A83" s="125" t="s">
        <v>188</v>
      </c>
    </row>
    <row r="84" spans="1:13" s="126" customFormat="1" ht="12.75" customHeight="1">
      <c r="A84" s="774" t="s">
        <v>189</v>
      </c>
      <c r="B84" s="774"/>
      <c r="C84" s="774"/>
      <c r="D84" s="775" t="s">
        <v>205</v>
      </c>
      <c r="E84" s="775"/>
      <c r="F84" s="775" t="s">
        <v>190</v>
      </c>
      <c r="G84" s="775"/>
      <c r="H84" s="775" t="s">
        <v>191</v>
      </c>
    </row>
    <row r="85" spans="1:13" s="126" customFormat="1" ht="12.7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s="126" customFormat="1">
      <c r="A86" s="774" t="s">
        <v>194</v>
      </c>
      <c r="B86" s="775" t="s">
        <v>195</v>
      </c>
      <c r="C86" s="775"/>
      <c r="D86" s="128">
        <v>311</v>
      </c>
      <c r="E86" s="130"/>
      <c r="F86" s="128">
        <v>311</v>
      </c>
      <c r="G86" s="130"/>
      <c r="H86" s="128" t="s">
        <v>196</v>
      </c>
    </row>
    <row r="87" spans="1:13" s="126" customFormat="1">
      <c r="A87" s="774"/>
      <c r="B87" s="775" t="s">
        <v>197</v>
      </c>
      <c r="C87" s="775"/>
      <c r="D87" s="128">
        <v>335</v>
      </c>
      <c r="E87" s="130"/>
      <c r="F87" s="128">
        <v>335</v>
      </c>
      <c r="G87" s="130"/>
      <c r="H87" s="128"/>
    </row>
    <row r="88" spans="1:13" s="126" customFormat="1">
      <c r="A88" s="774"/>
      <c r="B88" s="775" t="s">
        <v>198</v>
      </c>
      <c r="C88" s="775"/>
      <c r="D88" s="128">
        <v>24</v>
      </c>
      <c r="E88" s="128"/>
      <c r="F88" s="128">
        <v>24</v>
      </c>
      <c r="G88" s="128"/>
      <c r="H88" s="128"/>
    </row>
    <row r="89" spans="1:13" s="126" customFormat="1">
      <c r="A89" s="774"/>
      <c r="B89" s="775" t="s">
        <v>199</v>
      </c>
      <c r="C89" s="775"/>
      <c r="D89" s="128">
        <v>0</v>
      </c>
      <c r="E89" s="128">
        <f>D89/D87</f>
        <v>0</v>
      </c>
      <c r="F89" s="128">
        <v>0</v>
      </c>
      <c r="G89" s="128">
        <f>F89/F87</f>
        <v>0</v>
      </c>
      <c r="H89" s="128"/>
    </row>
    <row r="90" spans="1:13" s="126" customFormat="1">
      <c r="A90" s="774" t="s">
        <v>200</v>
      </c>
      <c r="B90" s="775" t="s">
        <v>201</v>
      </c>
      <c r="C90" s="775"/>
      <c r="D90" s="128">
        <v>6</v>
      </c>
      <c r="E90" s="128">
        <f>D90/D92</f>
        <v>3.7037037037037035E-2</v>
      </c>
      <c r="F90" s="128">
        <v>6</v>
      </c>
      <c r="G90" s="128">
        <f>F90/F92</f>
        <v>3.7037037037037035E-2</v>
      </c>
      <c r="H90" s="128"/>
    </row>
    <row r="91" spans="1:13" s="126" customFormat="1">
      <c r="A91" s="774"/>
      <c r="B91" s="775" t="s">
        <v>202</v>
      </c>
      <c r="C91" s="775"/>
      <c r="D91" s="128">
        <v>183</v>
      </c>
      <c r="E91" s="128">
        <f>D91/D92</f>
        <v>1.1296296296296295</v>
      </c>
      <c r="F91" s="128">
        <v>183</v>
      </c>
      <c r="G91" s="128">
        <f>F91/F92</f>
        <v>1.1296296296296295</v>
      </c>
      <c r="H91" s="128"/>
    </row>
    <row r="92" spans="1:13" s="126" customFormat="1">
      <c r="A92" s="774"/>
      <c r="B92" s="775" t="s">
        <v>203</v>
      </c>
      <c r="C92" s="775"/>
      <c r="D92" s="128">
        <v>162</v>
      </c>
      <c r="E92" s="130"/>
      <c r="F92" s="128">
        <v>162</v>
      </c>
      <c r="G92" s="130"/>
      <c r="H92" s="128"/>
    </row>
    <row r="93" spans="1:13" s="126" customFormat="1" ht="14">
      <c r="A93" s="127"/>
      <c r="C93" s="126" t="s">
        <v>210</v>
      </c>
      <c r="D93" s="126">
        <v>497</v>
      </c>
      <c r="F93" s="126">
        <v>497</v>
      </c>
    </row>
    <row r="94" spans="1:13" s="126" customFormat="1" ht="14">
      <c r="A94" s="127"/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86" t="s">
        <v>23</v>
      </c>
      <c r="E97" s="86" t="s">
        <v>24</v>
      </c>
      <c r="F97" s="86" t="s">
        <v>25</v>
      </c>
      <c r="G97" s="86" t="s">
        <v>23</v>
      </c>
      <c r="H97" s="86" t="s">
        <v>24</v>
      </c>
      <c r="I97" s="86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164</v>
      </c>
      <c r="C98" s="27" t="s">
        <v>69</v>
      </c>
      <c r="D98" s="65">
        <v>0</v>
      </c>
      <c r="E98" s="82">
        <v>1</v>
      </c>
      <c r="F98" s="37" t="e">
        <f>E98/D98</f>
        <v>#DIV/0!</v>
      </c>
      <c r="G98" s="66">
        <f>D98</f>
        <v>0</v>
      </c>
      <c r="H98" s="66">
        <f>E98</f>
        <v>1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41</v>
      </c>
      <c r="E99" s="82">
        <v>41</v>
      </c>
      <c r="F99" s="28">
        <f t="shared" ref="F99:F115" si="7">E99/D99</f>
        <v>1</v>
      </c>
      <c r="G99" s="66">
        <f>D99</f>
        <v>41</v>
      </c>
      <c r="H99" s="66">
        <f>E99</f>
        <v>41</v>
      </c>
      <c r="I99" s="28">
        <f t="shared" ref="I99:I115" si="8">H99/G99</f>
        <v>1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83">
        <f>SUM(D98:D99)</f>
        <v>41</v>
      </c>
      <c r="E100" s="83">
        <f>SUM(E98:E99)</f>
        <v>42</v>
      </c>
      <c r="F100" s="30">
        <f t="shared" si="7"/>
        <v>1.024390243902439</v>
      </c>
      <c r="G100" s="83">
        <f>SUM(G98:G99)</f>
        <v>41</v>
      </c>
      <c r="H100" s="83">
        <f>SUM(H98:H99)</f>
        <v>42</v>
      </c>
      <c r="I100" s="30">
        <f t="shared" si="8"/>
        <v>1.024390243902439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82">
        <v>0</v>
      </c>
      <c r="F101" s="28" t="e">
        <f t="shared" si="7"/>
        <v>#DIV/0!</v>
      </c>
      <c r="G101" s="66">
        <f>D101</f>
        <v>0</v>
      </c>
      <c r="H101" s="66">
        <f>E101</f>
        <v>0</v>
      </c>
      <c r="I101" s="28" t="e">
        <f t="shared" si="8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11</v>
      </c>
      <c r="E102" s="82">
        <v>11</v>
      </c>
      <c r="F102" s="28">
        <f t="shared" si="7"/>
        <v>1</v>
      </c>
      <c r="G102" s="66">
        <f>D102</f>
        <v>11</v>
      </c>
      <c r="H102" s="66">
        <f>E102</f>
        <v>11</v>
      </c>
      <c r="I102" s="28">
        <f t="shared" si="8"/>
        <v>1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83">
        <f>SUM(D101:D102)</f>
        <v>11</v>
      </c>
      <c r="E103" s="83">
        <f>SUM(E101:E102)</f>
        <v>11</v>
      </c>
      <c r="F103" s="30">
        <f t="shared" si="7"/>
        <v>1</v>
      </c>
      <c r="G103" s="83">
        <f>SUM(G101:G102)</f>
        <v>11</v>
      </c>
      <c r="H103" s="83">
        <f>SUM(H101:H102)</f>
        <v>11</v>
      </c>
      <c r="I103" s="30">
        <f t="shared" si="8"/>
        <v>1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0</v>
      </c>
      <c r="E104" s="82">
        <v>0</v>
      </c>
      <c r="F104" s="28" t="e">
        <f t="shared" si="7"/>
        <v>#DIV/0!</v>
      </c>
      <c r="G104" s="66">
        <f>D104</f>
        <v>0</v>
      </c>
      <c r="H104" s="66">
        <f>E104</f>
        <v>0</v>
      </c>
      <c r="I104" s="28" t="e">
        <f t="shared" si="8"/>
        <v>#DIV/0!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63</v>
      </c>
      <c r="E105" s="82">
        <v>60</v>
      </c>
      <c r="F105" s="28">
        <f t="shared" si="7"/>
        <v>0.95238095238095233</v>
      </c>
      <c r="G105" s="66">
        <f>D105</f>
        <v>63</v>
      </c>
      <c r="H105" s="66">
        <f>E105</f>
        <v>60</v>
      </c>
      <c r="I105" s="28">
        <f t="shared" si="8"/>
        <v>0.95238095238095233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83">
        <f>SUM(D104:D105)</f>
        <v>63</v>
      </c>
      <c r="E106" s="83">
        <f>SUM(E104:E105)</f>
        <v>60</v>
      </c>
      <c r="F106" s="30">
        <f t="shared" si="7"/>
        <v>0.95238095238095233</v>
      </c>
      <c r="G106" s="83">
        <f>SUM(G104:G105)</f>
        <v>63</v>
      </c>
      <c r="H106" s="83">
        <f>SUM(H104:H105)</f>
        <v>60</v>
      </c>
      <c r="I106" s="30">
        <f t="shared" si="8"/>
        <v>0.95238095238095233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0</v>
      </c>
      <c r="E107" s="82">
        <v>0</v>
      </c>
      <c r="F107" s="28" t="e">
        <f>E107/D107</f>
        <v>#DIV/0!</v>
      </c>
      <c r="G107" s="66">
        <f>D107</f>
        <v>0</v>
      </c>
      <c r="H107" s="66">
        <f>E107</f>
        <v>0</v>
      </c>
      <c r="I107" s="28" t="e">
        <f>H107/G107</f>
        <v>#DIV/0!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100</v>
      </c>
      <c r="E108" s="82">
        <v>101</v>
      </c>
      <c r="F108" s="28">
        <f>E108/D108</f>
        <v>1.01</v>
      </c>
      <c r="G108" s="66">
        <f>D108</f>
        <v>100</v>
      </c>
      <c r="H108" s="66">
        <f>E108</f>
        <v>101</v>
      </c>
      <c r="I108" s="28">
        <f t="shared" si="8"/>
        <v>1.01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83">
        <f>SUM(D107:D108)</f>
        <v>100</v>
      </c>
      <c r="E109" s="83">
        <f>SUM(E107:E108)</f>
        <v>101</v>
      </c>
      <c r="F109" s="30">
        <f t="shared" si="7"/>
        <v>1.01</v>
      </c>
      <c r="G109" s="83">
        <f>SUM(G107:G108)</f>
        <v>100</v>
      </c>
      <c r="H109" s="83">
        <f>SUM(H107:H108)</f>
        <v>101</v>
      </c>
      <c r="I109" s="30">
        <f t="shared" si="8"/>
        <v>1.01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8</v>
      </c>
      <c r="E110" s="82">
        <v>13</v>
      </c>
      <c r="F110" s="30">
        <f>E110/D110</f>
        <v>1.625</v>
      </c>
      <c r="G110" s="66">
        <f>D110</f>
        <v>8</v>
      </c>
      <c r="H110" s="66">
        <f>E110</f>
        <v>13</v>
      </c>
      <c r="I110" s="30">
        <f>H110/G110</f>
        <v>1.625</v>
      </c>
      <c r="J110" s="88"/>
      <c r="K110" s="89"/>
      <c r="L110" s="89"/>
      <c r="M110" s="90"/>
    </row>
    <row r="111" spans="1:13">
      <c r="A111" s="573"/>
      <c r="B111" s="777"/>
      <c r="C111" s="27" t="s">
        <v>70</v>
      </c>
      <c r="D111" s="65">
        <v>0</v>
      </c>
      <c r="E111" s="82">
        <v>5</v>
      </c>
      <c r="F111" s="30" t="e">
        <f t="shared" ref="F111:F112" si="9">E111/D111</f>
        <v>#DIV/0!</v>
      </c>
      <c r="G111" s="66">
        <f>D111</f>
        <v>0</v>
      </c>
      <c r="H111" s="66">
        <f>E111</f>
        <v>5</v>
      </c>
      <c r="I111" s="30" t="e">
        <f t="shared" ref="I111:I112" si="10">H111/G111</f>
        <v>#DIV/0!</v>
      </c>
      <c r="J111" s="88"/>
      <c r="K111" s="89"/>
      <c r="L111" s="89"/>
      <c r="M111" s="90"/>
    </row>
    <row r="112" spans="1:13">
      <c r="A112" s="573"/>
      <c r="B112" s="778"/>
      <c r="C112" s="38" t="s">
        <v>166</v>
      </c>
      <c r="D112" s="83">
        <f>SUM(D110:D111)</f>
        <v>8</v>
      </c>
      <c r="E112" s="83">
        <f>SUM(E110:E111)</f>
        <v>18</v>
      </c>
      <c r="F112" s="30">
        <f t="shared" si="9"/>
        <v>2.25</v>
      </c>
      <c r="G112" s="83">
        <f>SUM(G110:G111)</f>
        <v>8</v>
      </c>
      <c r="H112" s="83">
        <f>SUM(H110:H111)</f>
        <v>18</v>
      </c>
      <c r="I112" s="30">
        <f t="shared" si="10"/>
        <v>2.25</v>
      </c>
      <c r="J112" s="88"/>
      <c r="K112" s="89"/>
      <c r="L112" s="89"/>
      <c r="M112" s="90"/>
    </row>
    <row r="113" spans="1:13">
      <c r="A113" s="573"/>
      <c r="B113" s="603" t="s">
        <v>46</v>
      </c>
      <c r="C113" s="39" t="s">
        <v>69</v>
      </c>
      <c r="D113" s="91">
        <f>SUM(D98,D101,D104,D107,D110)</f>
        <v>8</v>
      </c>
      <c r="E113" s="91">
        <f>SUM(E98,E101,E104,E107,E110)</f>
        <v>14</v>
      </c>
      <c r="F113" s="31">
        <f t="shared" si="7"/>
        <v>1.75</v>
      </c>
      <c r="G113" s="91">
        <f>SUM(G98,G101,G104,G107,G110)</f>
        <v>8</v>
      </c>
      <c r="H113" s="91">
        <f>SUM(H98,H101,H104,H107,H110)</f>
        <v>14</v>
      </c>
      <c r="I113" s="31">
        <f t="shared" si="8"/>
        <v>1.75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91">
        <f>SUM(D99,D102,D105,D108,D111)</f>
        <v>215</v>
      </c>
      <c r="E114" s="91">
        <f>SUM(E99,E102,E105,E108,E111)</f>
        <v>218</v>
      </c>
      <c r="F114" s="31">
        <f t="shared" si="7"/>
        <v>1.0139534883720931</v>
      </c>
      <c r="G114" s="91">
        <f>SUM(G99,G102,G105,G108,G111)</f>
        <v>215</v>
      </c>
      <c r="H114" s="91">
        <f>SUM(H99,H102,H105,H108,H111)</f>
        <v>218</v>
      </c>
      <c r="I114" s="31">
        <f t="shared" si="8"/>
        <v>1.0139534883720931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94">
        <f>SUM(D113:D114)</f>
        <v>223</v>
      </c>
      <c r="E115" s="94">
        <f>SUM(E113:E114)</f>
        <v>232</v>
      </c>
      <c r="F115" s="41">
        <f t="shared" si="7"/>
        <v>1.0403587443946187</v>
      </c>
      <c r="G115" s="94">
        <f>SUM(G113:G114)</f>
        <v>223</v>
      </c>
      <c r="H115" s="94">
        <f>SUM(H113:H114)</f>
        <v>232</v>
      </c>
      <c r="I115" s="41">
        <f t="shared" si="8"/>
        <v>1.0403587443946187</v>
      </c>
      <c r="J115" s="625"/>
      <c r="K115" s="626"/>
      <c r="L115" s="626"/>
      <c r="M115" s="627"/>
    </row>
    <row r="116" spans="1:13" ht="14" thickBot="1">
      <c r="A116" s="617" t="s">
        <v>75</v>
      </c>
      <c r="B116" s="619" t="s">
        <v>76</v>
      </c>
      <c r="C116" s="42" t="s">
        <v>69</v>
      </c>
      <c r="D116" s="69">
        <v>0</v>
      </c>
      <c r="E116" s="64">
        <v>10</v>
      </c>
      <c r="F116" s="43" t="e">
        <f>E116/D116</f>
        <v>#DIV/0!</v>
      </c>
      <c r="G116" s="70">
        <f>D116</f>
        <v>0</v>
      </c>
      <c r="H116" s="70">
        <f>E116</f>
        <v>10</v>
      </c>
      <c r="I116" s="43" t="e">
        <f>H116/G116</f>
        <v>#DIV/0!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48</v>
      </c>
      <c r="E117" s="82">
        <v>49</v>
      </c>
      <c r="F117" s="28">
        <f t="shared" ref="F117:F126" si="11">E117/D117</f>
        <v>1.0208333333333333</v>
      </c>
      <c r="G117" s="70">
        <f>D117</f>
        <v>48</v>
      </c>
      <c r="H117" s="71">
        <f>E117</f>
        <v>49</v>
      </c>
      <c r="I117" s="28">
        <f t="shared" ref="I117:I126" si="12">H117/G117</f>
        <v>1.0208333333333333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83">
        <f>SUM(D116:D117)</f>
        <v>48</v>
      </c>
      <c r="E118" s="83">
        <f>SUM(E116:E117)</f>
        <v>59</v>
      </c>
      <c r="F118" s="30">
        <f t="shared" si="11"/>
        <v>1.2291666666666667</v>
      </c>
      <c r="G118" s="83">
        <f>SUM(G116:G117)</f>
        <v>48</v>
      </c>
      <c r="H118" s="83">
        <f>SUM(H116:H117)</f>
        <v>59</v>
      </c>
      <c r="I118" s="30">
        <f t="shared" si="12"/>
        <v>1.2291666666666667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82">
        <v>0</v>
      </c>
      <c r="F119" s="28" t="e">
        <f t="shared" si="11"/>
        <v>#DIV/0!</v>
      </c>
      <c r="G119" s="66">
        <f>D119</f>
        <v>0</v>
      </c>
      <c r="H119" s="66">
        <f>E119</f>
        <v>0</v>
      </c>
      <c r="I119" s="28" t="e">
        <f t="shared" si="12"/>
        <v>#DIV/0!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167</v>
      </c>
      <c r="D120" s="65">
        <v>37</v>
      </c>
      <c r="E120" s="82">
        <v>44</v>
      </c>
      <c r="F120" s="28">
        <f t="shared" si="11"/>
        <v>1.1891891891891893</v>
      </c>
      <c r="G120" s="66">
        <f>D120</f>
        <v>37</v>
      </c>
      <c r="H120" s="66">
        <f>E120</f>
        <v>44</v>
      </c>
      <c r="I120" s="28">
        <f t="shared" si="12"/>
        <v>1.1891891891891893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168</v>
      </c>
      <c r="D121" s="83">
        <f>SUM(D119:D120)</f>
        <v>37</v>
      </c>
      <c r="E121" s="83">
        <f>SUM(E119:E120)</f>
        <v>44</v>
      </c>
      <c r="F121" s="30">
        <f t="shared" si="11"/>
        <v>1.1891891891891893</v>
      </c>
      <c r="G121" s="83">
        <f>SUM(G119:G120)</f>
        <v>37</v>
      </c>
      <c r="H121" s="83">
        <f>SUM(H119:H120)</f>
        <v>44</v>
      </c>
      <c r="I121" s="30">
        <f t="shared" si="12"/>
        <v>1.1891891891891893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91">
        <f>SUM(D116,D119)</f>
        <v>0</v>
      </c>
      <c r="E122" s="91">
        <f>SUM(E116,E119)</f>
        <v>10</v>
      </c>
      <c r="F122" s="30" t="e">
        <f t="shared" si="11"/>
        <v>#DIV/0!</v>
      </c>
      <c r="G122" s="91">
        <f>SUM(G116,G119)</f>
        <v>0</v>
      </c>
      <c r="H122" s="91">
        <f>SUM(H116,H119)</f>
        <v>10</v>
      </c>
      <c r="I122" s="30" t="e">
        <f t="shared" si="12"/>
        <v>#DIV/0!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167</v>
      </c>
      <c r="D123" s="91">
        <f>SUM(D117,D120)</f>
        <v>85</v>
      </c>
      <c r="E123" s="91">
        <f>SUM(E117,E120)</f>
        <v>93</v>
      </c>
      <c r="F123" s="30">
        <f t="shared" si="11"/>
        <v>1.0941176470588236</v>
      </c>
      <c r="G123" s="91">
        <f>SUM(G117,G120)</f>
        <v>85</v>
      </c>
      <c r="H123" s="91">
        <f>SUM(H117,H120)</f>
        <v>93</v>
      </c>
      <c r="I123" s="30">
        <f t="shared" si="12"/>
        <v>1.0941176470588236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94">
        <f>SUM(D122:D123)</f>
        <v>85</v>
      </c>
      <c r="E124" s="94">
        <f>SUM(E122:E123)</f>
        <v>103</v>
      </c>
      <c r="F124" s="41">
        <f t="shared" si="11"/>
        <v>1.2117647058823529</v>
      </c>
      <c r="G124" s="94">
        <f>SUM(G122:G123)</f>
        <v>85</v>
      </c>
      <c r="H124" s="94">
        <f>SUM(H122:H123)</f>
        <v>103</v>
      </c>
      <c r="I124" s="41">
        <f t="shared" si="12"/>
        <v>1.2117647058823529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96">
        <f>SUM(D113,D122)</f>
        <v>8</v>
      </c>
      <c r="E125" s="96">
        <f>SUM(E113,E122)</f>
        <v>24</v>
      </c>
      <c r="F125" s="45">
        <f t="shared" si="11"/>
        <v>3</v>
      </c>
      <c r="G125" s="46">
        <f>SUM(G113,G122)</f>
        <v>8</v>
      </c>
      <c r="H125" s="46">
        <f>SUM(H113,H122)</f>
        <v>24</v>
      </c>
      <c r="I125" s="45">
        <f t="shared" si="12"/>
        <v>3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92">
        <f>SUM(D114,D123)</f>
        <v>300</v>
      </c>
      <c r="E126" s="92">
        <f>SUM(E114,E123)</f>
        <v>311</v>
      </c>
      <c r="F126" s="32">
        <f t="shared" si="11"/>
        <v>1.0366666666666666</v>
      </c>
      <c r="G126" s="92">
        <f>SUM(G114,G123)</f>
        <v>300</v>
      </c>
      <c r="H126" s="92">
        <f>SUM(H114,H123)</f>
        <v>311</v>
      </c>
      <c r="I126" s="32">
        <f t="shared" si="12"/>
        <v>1.0366666666666666</v>
      </c>
      <c r="J126" s="639"/>
      <c r="K126" s="640"/>
      <c r="L126" s="640"/>
      <c r="M126" s="641"/>
    </row>
    <row r="127" spans="1:13">
      <c r="A127" s="609"/>
      <c r="B127" s="609"/>
      <c r="C127" s="48" t="s">
        <v>169</v>
      </c>
      <c r="D127" s="92">
        <f>SUM(D125:D126)</f>
        <v>308</v>
      </c>
      <c r="E127" s="92">
        <f>SUM(E125:E126)</f>
        <v>335</v>
      </c>
      <c r="F127" s="49">
        <f>E127/D127</f>
        <v>1.0876623376623376</v>
      </c>
      <c r="G127" s="96">
        <f>SUM(G125:G126)</f>
        <v>308</v>
      </c>
      <c r="H127" s="96">
        <f>SUM(H125:H126)</f>
        <v>335</v>
      </c>
      <c r="I127" s="49">
        <f>H127/G127</f>
        <v>1.0876623376623376</v>
      </c>
      <c r="J127" s="639"/>
      <c r="K127" s="640"/>
      <c r="L127" s="640"/>
      <c r="M127" s="641"/>
    </row>
    <row r="130" spans="1:12" ht="15" thickBot="1">
      <c r="A130" s="5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170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148</v>
      </c>
      <c r="J134" s="631"/>
      <c r="K134" s="632"/>
      <c r="L134" s="634"/>
    </row>
    <row r="135" spans="1:12">
      <c r="A135" s="628" t="s">
        <v>91</v>
      </c>
      <c r="B135" s="629"/>
      <c r="C135" s="649">
        <v>924</v>
      </c>
      <c r="D135" s="650"/>
      <c r="E135" s="649">
        <v>7</v>
      </c>
      <c r="F135" s="650"/>
      <c r="G135" s="649">
        <v>6</v>
      </c>
      <c r="H135" s="650"/>
      <c r="I135" s="649">
        <v>8</v>
      </c>
      <c r="J135" s="650"/>
      <c r="K135" s="632"/>
      <c r="L135" s="634"/>
    </row>
    <row r="136" spans="1:12">
      <c r="A136" s="628" t="s">
        <v>92</v>
      </c>
      <c r="B136" s="629"/>
      <c r="C136" s="779" t="s">
        <v>171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95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95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95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95" t="s">
        <v>99</v>
      </c>
      <c r="C140" s="656">
        <v>876</v>
      </c>
      <c r="D140" s="656"/>
      <c r="E140" s="656">
        <v>233</v>
      </c>
      <c r="F140" s="656"/>
      <c r="G140" s="656">
        <v>138</v>
      </c>
      <c r="H140" s="656"/>
      <c r="I140" s="770">
        <v>33551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5" t="s">
        <v>100</v>
      </c>
    </row>
    <row r="145" spans="1:13" ht="13.5" customHeight="1">
      <c r="A145" s="531" t="s">
        <v>101</v>
      </c>
      <c r="B145" s="533"/>
      <c r="C145" s="662" t="s">
        <v>185</v>
      </c>
      <c r="D145" s="663"/>
      <c r="E145" s="664"/>
      <c r="F145" s="662" t="s">
        <v>133</v>
      </c>
      <c r="G145" s="663"/>
      <c r="H145" s="663"/>
      <c r="I145" s="664"/>
      <c r="J145" s="663" t="s">
        <v>186</v>
      </c>
      <c r="K145" s="663"/>
      <c r="L145" s="663"/>
      <c r="M145" s="665"/>
    </row>
    <row r="146" spans="1:13" ht="35.25" customHeight="1">
      <c r="A146" s="716" t="s">
        <v>103</v>
      </c>
      <c r="B146" s="717"/>
      <c r="C146" s="722"/>
      <c r="D146" s="723"/>
      <c r="E146" s="724"/>
      <c r="F146" s="744"/>
      <c r="G146" s="748"/>
      <c r="H146" s="748"/>
      <c r="I146" s="749"/>
      <c r="J146" s="745" t="s">
        <v>187</v>
      </c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151</v>
      </c>
      <c r="D148" s="719"/>
      <c r="E148" s="720"/>
      <c r="F148" s="744" t="s">
        <v>151</v>
      </c>
      <c r="G148" s="745"/>
      <c r="H148" s="745"/>
      <c r="I148" s="746"/>
      <c r="J148" s="744" t="s">
        <v>151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5" t="s">
        <v>134</v>
      </c>
    </row>
    <row r="153" spans="1:13" ht="14" thickBot="1">
      <c r="A153" s="8" t="s">
        <v>107</v>
      </c>
    </row>
    <row r="154" spans="1:13" ht="27.75" customHeight="1">
      <c r="A154" s="53" t="s">
        <v>174</v>
      </c>
      <c r="B154" s="98" t="s">
        <v>442</v>
      </c>
      <c r="C154" s="98" t="s">
        <v>110</v>
      </c>
      <c r="D154" s="98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>
        <f>E44</f>
        <v>0</v>
      </c>
      <c r="B155" s="102">
        <v>0</v>
      </c>
      <c r="C155" s="63">
        <f>E45-E44</f>
        <v>70788</v>
      </c>
      <c r="D155" s="73">
        <f>I140+30000</f>
        <v>63551</v>
      </c>
      <c r="E155" s="681" t="s">
        <v>114</v>
      </c>
      <c r="F155" s="681"/>
      <c r="G155" s="681"/>
      <c r="H155" s="72">
        <f>C155+A155+B155-D155</f>
        <v>7237</v>
      </c>
    </row>
    <row r="156" spans="1:13" ht="14" thickBot="1">
      <c r="A156" s="8" t="s">
        <v>115</v>
      </c>
      <c r="D156" s="4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23597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99">
        <v>10</v>
      </c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18117</v>
      </c>
      <c r="H165" s="790"/>
      <c r="I165" s="791"/>
      <c r="J165" s="791"/>
      <c r="K165" s="792"/>
    </row>
    <row r="166" spans="1:11" ht="14">
      <c r="A166" s="97" t="s">
        <v>126</v>
      </c>
      <c r="B166" s="789" t="s">
        <v>127</v>
      </c>
      <c r="C166" s="789"/>
      <c r="D166" s="789"/>
      <c r="E166" s="789"/>
      <c r="F166" s="789"/>
      <c r="G166" s="82">
        <v>1895</v>
      </c>
      <c r="H166" s="790"/>
      <c r="I166" s="791"/>
      <c r="J166" s="791"/>
      <c r="K166" s="792"/>
    </row>
    <row r="167" spans="1:11" ht="14">
      <c r="A167" s="97" t="s">
        <v>128</v>
      </c>
      <c r="B167" s="789" t="s">
        <v>129</v>
      </c>
      <c r="C167" s="789"/>
      <c r="D167" s="789"/>
      <c r="E167" s="789"/>
      <c r="F167" s="789"/>
      <c r="G167" s="99"/>
      <c r="H167" s="790"/>
      <c r="I167" s="791"/>
      <c r="J167" s="791"/>
      <c r="K167" s="792"/>
    </row>
  </sheetData>
  <mergeCells count="290">
    <mergeCell ref="A90:A92"/>
    <mergeCell ref="B90:C90"/>
    <mergeCell ref="B91:C91"/>
    <mergeCell ref="B92:C92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25:B127"/>
    <mergeCell ref="J125:M125"/>
    <mergeCell ref="J126:M126"/>
    <mergeCell ref="J127:M127"/>
    <mergeCell ref="A131:B131"/>
    <mergeCell ref="C131:D131"/>
    <mergeCell ref="E131:F131"/>
    <mergeCell ref="G131:H131"/>
    <mergeCell ref="I131:J131"/>
    <mergeCell ref="K131:L131"/>
    <mergeCell ref="J120:M120"/>
    <mergeCell ref="J121:M121"/>
    <mergeCell ref="B122:B124"/>
    <mergeCell ref="J122:M122"/>
    <mergeCell ref="J123:M123"/>
    <mergeCell ref="J124:M124"/>
    <mergeCell ref="B110:B112"/>
    <mergeCell ref="B113:B115"/>
    <mergeCell ref="J113:M113"/>
    <mergeCell ref="J114:M114"/>
    <mergeCell ref="J115:M115"/>
    <mergeCell ref="A116:A124"/>
    <mergeCell ref="B116:B118"/>
    <mergeCell ref="J116:M116"/>
    <mergeCell ref="J117:M117"/>
    <mergeCell ref="J118:M118"/>
    <mergeCell ref="J104:M104"/>
    <mergeCell ref="J105:M105"/>
    <mergeCell ref="J106:M106"/>
    <mergeCell ref="B107:B109"/>
    <mergeCell ref="J107:M107"/>
    <mergeCell ref="J108:M108"/>
    <mergeCell ref="J109:M109"/>
    <mergeCell ref="A98:A115"/>
    <mergeCell ref="B98:B100"/>
    <mergeCell ref="J98:M98"/>
    <mergeCell ref="J99:M99"/>
    <mergeCell ref="J100:M100"/>
    <mergeCell ref="B101:B103"/>
    <mergeCell ref="J101:M101"/>
    <mergeCell ref="J102:M102"/>
    <mergeCell ref="J103:M103"/>
    <mergeCell ref="B104:B106"/>
    <mergeCell ref="B119:B121"/>
    <mergeCell ref="J119:M119"/>
    <mergeCell ref="A96:A97"/>
    <mergeCell ref="B96:B97"/>
    <mergeCell ref="C96:C97"/>
    <mergeCell ref="D96:F96"/>
    <mergeCell ref="G96:I96"/>
    <mergeCell ref="J96:M97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2:I12"/>
    <mergeCell ref="E13:I13"/>
    <mergeCell ref="E15:I15"/>
    <mergeCell ref="J20:M21"/>
    <mergeCell ref="A1:F1"/>
    <mergeCell ref="J3:K3"/>
    <mergeCell ref="L3:M3"/>
    <mergeCell ref="J5:K5"/>
    <mergeCell ref="L5:M5"/>
    <mergeCell ref="J6:K6"/>
    <mergeCell ref="L6:M6"/>
    <mergeCell ref="A16:B16"/>
    <mergeCell ref="E16:I16"/>
    <mergeCell ref="E11:I11"/>
    <mergeCell ref="E14:I14"/>
  </mergeCells>
  <phoneticPr fontId="20"/>
  <dataValidations count="2">
    <dataValidation type="list" allowBlank="1" showInputMessage="1" showErrorMessage="1" sqref="L3" xr:uid="{00000000-0002-0000-0D00-000000000000}">
      <formula1>"USA, JAPAN"</formula1>
    </dataValidation>
    <dataValidation type="list" allowBlank="1" showInputMessage="1" showErrorMessage="1" sqref="G1" xr:uid="{00000000-0002-0000-0D00-000001000000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pageSetUpPr fitToPage="1"/>
  </sheetPr>
  <dimension ref="A1:N167"/>
  <sheetViews>
    <sheetView topLeftCell="A144" zoomScale="125" zoomScaleNormal="70" zoomScaleSheetLayoutView="85" workbookViewId="0">
      <selection activeCell="A44" sqref="A44:C44"/>
    </sheetView>
  </sheetViews>
  <sheetFormatPr baseColWidth="10" defaultColWidth="9" defaultRowHeight="13"/>
  <cols>
    <col min="1" max="1" width="15.83203125" style="4" customWidth="1"/>
    <col min="2" max="2" width="17.6640625" style="4" customWidth="1"/>
    <col min="3" max="3" width="27.6640625" style="4" customWidth="1"/>
    <col min="4" max="4" width="11.83203125" style="4" customWidth="1"/>
    <col min="5" max="5" width="12" style="4" customWidth="1"/>
    <col min="6" max="6" width="9" style="4"/>
    <col min="7" max="7" width="11" style="4" customWidth="1"/>
    <col min="8" max="8" width="12" style="4" customWidth="1"/>
    <col min="9" max="11" width="9" style="4"/>
    <col min="12" max="12" width="10.5" style="4" customWidth="1"/>
    <col min="13" max="16384" width="9" style="4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131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>
        <v>43174</v>
      </c>
      <c r="M7" s="538"/>
    </row>
    <row r="8" spans="1:13" ht="15" thickBot="1">
      <c r="A8" s="5" t="s">
        <v>7</v>
      </c>
    </row>
    <row r="9" spans="1:13" ht="28">
      <c r="A9" s="531" t="s">
        <v>8</v>
      </c>
      <c r="B9" s="533"/>
      <c r="C9" s="104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103" t="s">
        <v>176</v>
      </c>
      <c r="C10" s="61">
        <v>2</v>
      </c>
      <c r="D10" s="106">
        <v>2</v>
      </c>
      <c r="E10" s="538" t="s">
        <v>182</v>
      </c>
      <c r="F10" s="538"/>
      <c r="G10" s="538"/>
      <c r="H10" s="538"/>
      <c r="I10" s="539"/>
    </row>
    <row r="11" spans="1:13">
      <c r="A11" s="537"/>
      <c r="B11" s="103" t="s">
        <v>177</v>
      </c>
      <c r="C11" s="61">
        <v>2</v>
      </c>
      <c r="D11" s="106">
        <v>2</v>
      </c>
      <c r="E11" s="540" t="s">
        <v>183</v>
      </c>
      <c r="F11" s="541"/>
      <c r="G11" s="541"/>
      <c r="H11" s="541"/>
      <c r="I11" s="542"/>
    </row>
    <row r="12" spans="1:13">
      <c r="A12" s="537"/>
      <c r="B12" s="103" t="s">
        <v>179</v>
      </c>
      <c r="C12" s="61">
        <v>2</v>
      </c>
      <c r="D12" s="106">
        <v>1</v>
      </c>
      <c r="E12" s="768" t="s">
        <v>184</v>
      </c>
      <c r="F12" s="538"/>
      <c r="G12" s="538"/>
      <c r="H12" s="538"/>
      <c r="I12" s="539"/>
    </row>
    <row r="13" spans="1:13">
      <c r="A13" s="537"/>
      <c r="B13" s="103" t="s">
        <v>180</v>
      </c>
      <c r="C13" s="61">
        <v>3</v>
      </c>
      <c r="D13" s="106">
        <v>1</v>
      </c>
      <c r="E13" s="538" t="s">
        <v>130</v>
      </c>
      <c r="F13" s="538"/>
      <c r="G13" s="538"/>
      <c r="H13" s="538"/>
      <c r="I13" s="539"/>
    </row>
    <row r="14" spans="1:13">
      <c r="A14" s="537"/>
      <c r="B14" s="103" t="s">
        <v>12</v>
      </c>
      <c r="C14" s="61">
        <v>0</v>
      </c>
      <c r="D14" s="106">
        <v>0</v>
      </c>
      <c r="E14" s="540"/>
      <c r="F14" s="541"/>
      <c r="G14" s="541"/>
      <c r="H14" s="541"/>
      <c r="I14" s="542"/>
    </row>
    <row r="15" spans="1:13">
      <c r="A15" s="537"/>
      <c r="B15" s="103" t="s">
        <v>13</v>
      </c>
      <c r="C15" s="61">
        <v>2</v>
      </c>
      <c r="D15" s="106">
        <v>0</v>
      </c>
      <c r="E15" s="768"/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6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5" t="s">
        <v>16</v>
      </c>
      <c r="D19" s="12" t="s">
        <v>17</v>
      </c>
    </row>
    <row r="20" spans="1:13">
      <c r="A20" s="531" t="s">
        <v>18</v>
      </c>
      <c r="B20" s="533" t="s">
        <v>132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105" t="s">
        <v>23</v>
      </c>
      <c r="E21" s="105" t="s">
        <v>24</v>
      </c>
      <c r="F21" s="105" t="s">
        <v>25</v>
      </c>
      <c r="G21" s="105" t="s">
        <v>23</v>
      </c>
      <c r="H21" s="105" t="s">
        <v>24</v>
      </c>
      <c r="I21" s="105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159</v>
      </c>
      <c r="C23" s="13" t="s">
        <v>29</v>
      </c>
      <c r="D23" s="65">
        <v>11136</v>
      </c>
      <c r="E23" s="106">
        <v>12209</v>
      </c>
      <c r="F23" s="14">
        <f t="shared" ref="F23:F28" si="0">E23/D23</f>
        <v>1.0963541666666667</v>
      </c>
      <c r="G23" s="66">
        <f>D23+'2018JAN'!G23</f>
        <v>21854</v>
      </c>
      <c r="H23" s="66">
        <f>E23+'2018JAN'!H23</f>
        <v>23861</v>
      </c>
      <c r="I23" s="14">
        <f t="shared" ref="I23:I28" si="1">H23/G23</f>
        <v>1.0918367346938775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107">
        <f>SUM(D23:D23)</f>
        <v>11136</v>
      </c>
      <c r="E24" s="107">
        <f>SUM(E23:E23)</f>
        <v>12209</v>
      </c>
      <c r="F24" s="16">
        <f t="shared" si="0"/>
        <v>1.0963541666666667</v>
      </c>
      <c r="G24" s="107">
        <f>SUM(G23:G23)</f>
        <v>21854</v>
      </c>
      <c r="H24" s="107">
        <f>SUM(H23:H23)</f>
        <v>23861</v>
      </c>
      <c r="I24" s="16">
        <f t="shared" si="1"/>
        <v>1.0918367346938775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3" t="s">
        <v>29</v>
      </c>
      <c r="D25" s="65">
        <v>10880</v>
      </c>
      <c r="E25" s="106">
        <v>12053</v>
      </c>
      <c r="F25" s="14">
        <f t="shared" si="0"/>
        <v>1.1078125000000001</v>
      </c>
      <c r="G25" s="66">
        <f>D25+'2018JAN'!G25</f>
        <v>21120</v>
      </c>
      <c r="H25" s="66">
        <f>E25+'2018JAN'!H25</f>
        <v>23376</v>
      </c>
      <c r="I25" s="14">
        <f t="shared" si="1"/>
        <v>1.1068181818181819</v>
      </c>
      <c r="J25" s="525"/>
      <c r="K25" s="525"/>
      <c r="L25" s="525"/>
      <c r="M25" s="552"/>
    </row>
    <row r="26" spans="1:13" ht="13.5" customHeight="1">
      <c r="A26" s="548"/>
      <c r="B26" s="555"/>
      <c r="C26" s="13" t="s">
        <v>32</v>
      </c>
      <c r="D26" s="65">
        <v>0</v>
      </c>
      <c r="E26" s="106">
        <v>0</v>
      </c>
      <c r="F26" s="14" t="e">
        <f t="shared" si="0"/>
        <v>#DIV/0!</v>
      </c>
      <c r="G26" s="103">
        <f>D26</f>
        <v>0</v>
      </c>
      <c r="H26" s="103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107">
        <f>SUM(D25:D26)</f>
        <v>10880</v>
      </c>
      <c r="E27" s="107">
        <f>SUM(E25:E26)</f>
        <v>12053</v>
      </c>
      <c r="F27" s="16">
        <f t="shared" si="0"/>
        <v>1.1078125000000001</v>
      </c>
      <c r="G27" s="107">
        <f>SUM(G25:G26)</f>
        <v>21120</v>
      </c>
      <c r="H27" s="107">
        <f>SUM(H25:H26)</f>
        <v>23376</v>
      </c>
      <c r="I27" s="16">
        <f t="shared" si="1"/>
        <v>1.1068181818181819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108">
        <f>SUM(D24,D27)</f>
        <v>22016</v>
      </c>
      <c r="E28" s="108">
        <f>SUM(E24,E27)</f>
        <v>24262</v>
      </c>
      <c r="F28" s="17">
        <f t="shared" si="0"/>
        <v>1.102016715116279</v>
      </c>
      <c r="G28" s="108">
        <f>SUM(G24,G27)</f>
        <v>42974</v>
      </c>
      <c r="H28" s="108">
        <f>SUM(H24,H27)</f>
        <v>47237</v>
      </c>
      <c r="I28" s="17">
        <f t="shared" si="1"/>
        <v>1.0991995159864103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161</v>
      </c>
      <c r="C30" s="13" t="s">
        <v>29</v>
      </c>
      <c r="D30" s="65">
        <v>1000</v>
      </c>
      <c r="E30" s="106">
        <v>1734</v>
      </c>
      <c r="F30" s="14">
        <f>E30/D30</f>
        <v>1.734</v>
      </c>
      <c r="G30" s="66">
        <f>D30+'2018JAN'!G30</f>
        <v>2000</v>
      </c>
      <c r="H30" s="66">
        <f>E30+'2018JAN'!H30</f>
        <v>4158</v>
      </c>
      <c r="I30" s="14">
        <f>H30/G30</f>
        <v>2.0790000000000002</v>
      </c>
      <c r="J30" s="525"/>
      <c r="K30" s="525"/>
      <c r="L30" s="525"/>
      <c r="M30" s="552"/>
    </row>
    <row r="31" spans="1:13">
      <c r="A31" s="562"/>
      <c r="B31" s="565"/>
      <c r="C31" s="13" t="s">
        <v>32</v>
      </c>
      <c r="D31" s="65">
        <v>0</v>
      </c>
      <c r="E31" s="106">
        <v>1116</v>
      </c>
      <c r="F31" s="14" t="e">
        <f t="shared" ref="F31:F47" si="2">E31/D31</f>
        <v>#DIV/0!</v>
      </c>
      <c r="G31" s="66">
        <f>D31+'2018JAN'!G31</f>
        <v>0</v>
      </c>
      <c r="H31" s="66">
        <f>E31+'2018JAN'!H31</f>
        <v>11055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107">
        <f>SUM(D30:D31)</f>
        <v>1000</v>
      </c>
      <c r="E32" s="107">
        <f>SUM(E30:E31)</f>
        <v>2850</v>
      </c>
      <c r="F32" s="14">
        <f t="shared" si="2"/>
        <v>2.85</v>
      </c>
      <c r="G32" s="107">
        <f>SUM(G30:G31)</f>
        <v>2000</v>
      </c>
      <c r="H32" s="107">
        <f>SUM(H30:H31)</f>
        <v>15213</v>
      </c>
      <c r="I32" s="14">
        <f t="shared" si="3"/>
        <v>7.6064999999999996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65">
        <v>650</v>
      </c>
      <c r="E33" s="106">
        <v>632</v>
      </c>
      <c r="F33" s="14">
        <f t="shared" si="2"/>
        <v>0.97230769230769232</v>
      </c>
      <c r="G33" s="66">
        <f>D33+'2018JAN'!G33</f>
        <v>1300</v>
      </c>
      <c r="H33" s="66">
        <f>E33+'2018JAN'!H33</f>
        <v>1284</v>
      </c>
      <c r="I33" s="14">
        <f t="shared" si="3"/>
        <v>0.98769230769230765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105">
        <f>SUM(D32,D33)</f>
        <v>1650</v>
      </c>
      <c r="E34" s="105">
        <f>SUM(E32,E33)</f>
        <v>3482</v>
      </c>
      <c r="F34" s="14">
        <f t="shared" si="2"/>
        <v>2.1103030303030303</v>
      </c>
      <c r="G34" s="105">
        <f>SUM(G32,G33)</f>
        <v>3300</v>
      </c>
      <c r="H34" s="105">
        <f>SUM(H32,H33)</f>
        <v>16497</v>
      </c>
      <c r="I34" s="14">
        <f t="shared" si="3"/>
        <v>4.999090909090909</v>
      </c>
      <c r="J34" s="534"/>
      <c r="K34" s="534"/>
      <c r="L34" s="534"/>
      <c r="M34" s="543"/>
    </row>
    <row r="35" spans="1:13">
      <c r="A35" s="573" t="s">
        <v>37</v>
      </c>
      <c r="B35" s="555" t="s">
        <v>38</v>
      </c>
      <c r="C35" s="18" t="s">
        <v>39</v>
      </c>
      <c r="D35" s="65">
        <v>36232</v>
      </c>
      <c r="E35" s="103">
        <v>0</v>
      </c>
      <c r="F35" s="14">
        <f t="shared" si="2"/>
        <v>0</v>
      </c>
      <c r="G35" s="66">
        <f>D35+'2018JAN'!G35</f>
        <v>72464</v>
      </c>
      <c r="H35" s="66">
        <f>E35+'2018JAN'!H35</f>
        <v>0</v>
      </c>
      <c r="I35" s="14">
        <f t="shared" si="3"/>
        <v>0</v>
      </c>
      <c r="J35" s="525"/>
      <c r="K35" s="525"/>
      <c r="L35" s="525"/>
      <c r="M35" s="552"/>
    </row>
    <row r="36" spans="1:13">
      <c r="A36" s="573"/>
      <c r="B36" s="555"/>
      <c r="C36" s="13" t="s">
        <v>40</v>
      </c>
      <c r="D36" s="103"/>
      <c r="E36" s="103"/>
      <c r="F36" s="14" t="e">
        <f t="shared" si="2"/>
        <v>#DIV/0!</v>
      </c>
      <c r="G36" s="103"/>
      <c r="H36" s="103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107">
        <f>SUM(D35:D36)</f>
        <v>36232</v>
      </c>
      <c r="E37" s="107">
        <f>SUM(E35:E36)</f>
        <v>0</v>
      </c>
      <c r="F37" s="16">
        <f t="shared" si="2"/>
        <v>0</v>
      </c>
      <c r="G37" s="123">
        <f>SUM(G35:G36)</f>
        <v>72464</v>
      </c>
      <c r="H37" s="123">
        <f>SUM(H35:H36)</f>
        <v>0</v>
      </c>
      <c r="I37" s="16">
        <f t="shared" si="3"/>
        <v>0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3" t="s">
        <v>40</v>
      </c>
      <c r="D38" s="65">
        <v>1100</v>
      </c>
      <c r="E38" s="106">
        <v>0</v>
      </c>
      <c r="F38" s="14">
        <f t="shared" si="2"/>
        <v>0</v>
      </c>
      <c r="G38" s="66">
        <f>D38+'2018JAN'!G38</f>
        <v>2200</v>
      </c>
      <c r="H38" s="66">
        <f>E38+'2018JAN'!H38</f>
        <v>0</v>
      </c>
      <c r="I38" s="14">
        <f t="shared" si="3"/>
        <v>0</v>
      </c>
      <c r="J38" s="525"/>
      <c r="K38" s="525"/>
      <c r="L38" s="525"/>
      <c r="M38" s="552"/>
    </row>
    <row r="39" spans="1:13" ht="12" customHeight="1">
      <c r="A39" s="573"/>
      <c r="B39" s="574"/>
      <c r="C39" s="13" t="s">
        <v>40</v>
      </c>
      <c r="D39" s="103"/>
      <c r="E39" s="103"/>
      <c r="F39" s="14" t="e">
        <f t="shared" si="2"/>
        <v>#DIV/0!</v>
      </c>
      <c r="G39" s="103"/>
      <c r="H39" s="103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107">
        <f>SUM(D38:D39)</f>
        <v>1100</v>
      </c>
      <c r="E40" s="107">
        <f>SUM(E38:E39)</f>
        <v>0</v>
      </c>
      <c r="F40" s="16">
        <f t="shared" si="2"/>
        <v>0</v>
      </c>
      <c r="G40" s="107">
        <f>SUM(G38:G39)</f>
        <v>2200</v>
      </c>
      <c r="H40" s="107">
        <f>SUM(H38:H39)</f>
        <v>0</v>
      </c>
      <c r="I40" s="16">
        <f t="shared" si="3"/>
        <v>0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105">
        <f>SUM(D37,D40)</f>
        <v>37332</v>
      </c>
      <c r="E41" s="105">
        <f>SUM(E37,E40)</f>
        <v>0</v>
      </c>
      <c r="F41" s="19">
        <f t="shared" si="2"/>
        <v>0</v>
      </c>
      <c r="G41" s="105">
        <f>SUM(G37,G40)</f>
        <v>74664</v>
      </c>
      <c r="H41" s="105">
        <f>SUM(H37,H40)</f>
        <v>0</v>
      </c>
      <c r="I41" s="19">
        <f t="shared" si="3"/>
        <v>0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67">
        <v>11000</v>
      </c>
      <c r="E42" s="76">
        <f>C140+E140+G140+I140</f>
        <v>5121</v>
      </c>
      <c r="F42" s="21">
        <f t="shared" si="2"/>
        <v>0.46554545454545454</v>
      </c>
      <c r="G42" s="68">
        <f>D42+'2018JAN'!G42</f>
        <v>22000</v>
      </c>
      <c r="H42" s="77">
        <f>E42+'2018JAN'!H42</f>
        <v>39919</v>
      </c>
      <c r="I42" s="21">
        <f t="shared" si="3"/>
        <v>1.8145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67">
        <v>0</v>
      </c>
      <c r="E43" s="20">
        <v>0</v>
      </c>
      <c r="F43" s="21" t="e">
        <f t="shared" si="2"/>
        <v>#DIV/0!</v>
      </c>
      <c r="G43" s="68">
        <f>D43+'2018JAN'!G43</f>
        <v>0</v>
      </c>
      <c r="H43" s="68">
        <f>E43+'2018JAN'!H43</f>
        <v>0</v>
      </c>
      <c r="I43" s="21" t="e">
        <f t="shared" si="3"/>
        <v>#DIV/0!</v>
      </c>
      <c r="J43" s="572" t="s">
        <v>44</v>
      </c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67">
        <v>33500</v>
      </c>
      <c r="E44" s="20">
        <v>99970</v>
      </c>
      <c r="F44" s="21">
        <f t="shared" si="2"/>
        <v>2.984179104477612</v>
      </c>
      <c r="G44" s="68">
        <f>D44+'2018JAN'!G44</f>
        <v>67000</v>
      </c>
      <c r="H44" s="68">
        <f>E44+'2018JAN'!H44</f>
        <v>99970</v>
      </c>
      <c r="I44" s="21">
        <f t="shared" si="3"/>
        <v>1.492089552238806</v>
      </c>
      <c r="J44" s="570"/>
      <c r="K44" s="570"/>
      <c r="L44" s="570"/>
      <c r="M44" s="571"/>
    </row>
    <row r="45" spans="1:13" s="8" customFormat="1">
      <c r="A45" s="587" t="s">
        <v>46</v>
      </c>
      <c r="B45" s="588"/>
      <c r="C45" s="589"/>
      <c r="D45" s="111">
        <f>SUM(D28,D34,D41,D42:D44)</f>
        <v>105498</v>
      </c>
      <c r="E45" s="78">
        <f>SUM(E28,E34,E41,E42:E44)</f>
        <v>132835</v>
      </c>
      <c r="F45" s="22">
        <f t="shared" si="2"/>
        <v>1.2591233957041839</v>
      </c>
      <c r="G45" s="111">
        <f>SUM(G28,G34,G41,G42:G44)</f>
        <v>209938</v>
      </c>
      <c r="H45" s="111">
        <f>SUM(H28,H34,H41,H42:H44)</f>
        <v>203623</v>
      </c>
      <c r="I45" s="22">
        <f t="shared" si="3"/>
        <v>0.96991969057531269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111">
        <f>D45-D42</f>
        <v>94498</v>
      </c>
      <c r="E46" s="111">
        <f>E45-E42</f>
        <v>127714</v>
      </c>
      <c r="F46" s="22">
        <f t="shared" si="2"/>
        <v>1.3514995026349763</v>
      </c>
      <c r="G46" s="111">
        <f>G45-G42</f>
        <v>187938</v>
      </c>
      <c r="H46" s="111">
        <f>H45-H42</f>
        <v>163704</v>
      </c>
      <c r="I46" s="22">
        <f t="shared" si="3"/>
        <v>0.8710532196788302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109">
        <f>D46-D44</f>
        <v>60998</v>
      </c>
      <c r="E47" s="109">
        <f>E46-E44</f>
        <v>27744</v>
      </c>
      <c r="F47" s="23">
        <f t="shared" si="2"/>
        <v>0.45483458474048327</v>
      </c>
      <c r="G47" s="109">
        <f>G46-G44</f>
        <v>120938</v>
      </c>
      <c r="H47" s="109">
        <f>H46-H44</f>
        <v>63734</v>
      </c>
      <c r="I47" s="23">
        <f t="shared" si="3"/>
        <v>0.52699730440390946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5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110" t="s">
        <v>23</v>
      </c>
      <c r="E52" s="110" t="s">
        <v>24</v>
      </c>
      <c r="F52" s="110" t="s">
        <v>25</v>
      </c>
      <c r="G52" s="110" t="s">
        <v>23</v>
      </c>
      <c r="H52" s="110" t="s">
        <v>24</v>
      </c>
      <c r="I52" s="110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12</v>
      </c>
      <c r="E53" s="106">
        <v>21</v>
      </c>
      <c r="F53" s="28">
        <f t="shared" ref="F53:F79" si="4">E53/D53</f>
        <v>1.75</v>
      </c>
      <c r="G53" s="66">
        <f>D53+'2018JAN'!G53</f>
        <v>20</v>
      </c>
      <c r="H53" s="66">
        <f>E53+'2018JAN'!H53</f>
        <v>45</v>
      </c>
      <c r="I53" s="28">
        <f t="shared" ref="I53:I79" si="5">H53/G53</f>
        <v>2.25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300</v>
      </c>
      <c r="E54" s="106">
        <v>330</v>
      </c>
      <c r="F54" s="28">
        <f t="shared" si="4"/>
        <v>1.1000000000000001</v>
      </c>
      <c r="G54" s="66">
        <f>D54+'2018JAN'!G54</f>
        <v>600</v>
      </c>
      <c r="H54" s="66">
        <f>E54+'2018JAN'!H54</f>
        <v>641</v>
      </c>
      <c r="I54" s="28">
        <f t="shared" si="5"/>
        <v>1.0683333333333334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107">
        <f>SUM(D53:D54)</f>
        <v>312</v>
      </c>
      <c r="E55" s="107">
        <f>SUM(E53:E54)</f>
        <v>351</v>
      </c>
      <c r="F55" s="30">
        <f t="shared" si="4"/>
        <v>1.125</v>
      </c>
      <c r="G55" s="107">
        <f>SUM(G53:G54)</f>
        <v>620</v>
      </c>
      <c r="H55" s="107">
        <f>SUM(H53:H54)</f>
        <v>686</v>
      </c>
      <c r="I55" s="30">
        <f t="shared" si="5"/>
        <v>1.1064516129032258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40</v>
      </c>
      <c r="E56" s="106">
        <v>58</v>
      </c>
      <c r="F56" s="28">
        <f t="shared" si="4"/>
        <v>1.45</v>
      </c>
      <c r="G56" s="66">
        <f>D56+'2018JAN'!G56</f>
        <v>80</v>
      </c>
      <c r="H56" s="66">
        <f>E56+'2018JAN'!H56</f>
        <v>104</v>
      </c>
      <c r="I56" s="28">
        <f t="shared" si="5"/>
        <v>1.3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600</v>
      </c>
      <c r="E57" s="106">
        <v>704</v>
      </c>
      <c r="F57" s="28">
        <f t="shared" si="4"/>
        <v>1.1733333333333333</v>
      </c>
      <c r="G57" s="66">
        <f>D57+'2018JAN'!G57</f>
        <v>1200</v>
      </c>
      <c r="H57" s="66">
        <f>E57+'2018JAN'!H57</f>
        <v>1370</v>
      </c>
      <c r="I57" s="28">
        <f t="shared" si="5"/>
        <v>1.1416666666666666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115">
        <f>SUM(D56:D57)</f>
        <v>640</v>
      </c>
      <c r="E58" s="115">
        <f>SUM(E56:E57)</f>
        <v>762</v>
      </c>
      <c r="F58" s="28">
        <f t="shared" si="4"/>
        <v>1.190625</v>
      </c>
      <c r="G58" s="115">
        <f>SUM(G56:G57)</f>
        <v>1280</v>
      </c>
      <c r="H58" s="115">
        <f>SUM(H56:H57)</f>
        <v>1474</v>
      </c>
      <c r="I58" s="31">
        <f t="shared" si="5"/>
        <v>1.1515625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116">
        <f>SUM(D53,D56)</f>
        <v>52</v>
      </c>
      <c r="E59" s="116">
        <f>SUM(E53,E56)</f>
        <v>79</v>
      </c>
      <c r="F59" s="32">
        <f t="shared" si="4"/>
        <v>1.5192307692307692</v>
      </c>
      <c r="G59" s="116">
        <f>SUM(G53,G56)</f>
        <v>100</v>
      </c>
      <c r="H59" s="116">
        <f>SUM(H53,H56)</f>
        <v>149</v>
      </c>
      <c r="I59" s="32">
        <f t="shared" si="5"/>
        <v>1.49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116">
        <f>SUM(D54,D57)</f>
        <v>900</v>
      </c>
      <c r="E60" s="116">
        <f>SUM(E54,E57)</f>
        <v>1034</v>
      </c>
      <c r="F60" s="32">
        <f t="shared" si="4"/>
        <v>1.1488888888888888</v>
      </c>
      <c r="G60" s="116">
        <f>SUM(G54,G57)</f>
        <v>1800</v>
      </c>
      <c r="H60" s="116">
        <f>SUM(H54,H57)</f>
        <v>2011</v>
      </c>
      <c r="I60" s="32">
        <f t="shared" si="5"/>
        <v>1.1172222222222221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117">
        <f>SUM(D59:D60)</f>
        <v>952</v>
      </c>
      <c r="E61" s="117">
        <f>SUM(E59:E60)</f>
        <v>1113</v>
      </c>
      <c r="F61" s="33">
        <f t="shared" si="4"/>
        <v>1.1691176470588236</v>
      </c>
      <c r="G61" s="117">
        <f>SUM(G59:G60)</f>
        <v>1900</v>
      </c>
      <c r="H61" s="117">
        <f>SUM(H59:H60)</f>
        <v>2160</v>
      </c>
      <c r="I61" s="33">
        <f t="shared" si="5"/>
        <v>1.1368421052631579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42</v>
      </c>
      <c r="E62" s="103">
        <f>E71/10</f>
        <v>73</v>
      </c>
      <c r="F62" s="28">
        <f t="shared" si="4"/>
        <v>1.7380952380952381</v>
      </c>
      <c r="G62" s="66">
        <f>D62+'2018JAN'!G62</f>
        <v>70</v>
      </c>
      <c r="H62" s="66">
        <f>E62+'2018JAN'!H62</f>
        <v>156.5</v>
      </c>
      <c r="I62" s="28">
        <f t="shared" si="5"/>
        <v>2.2357142857142858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65">
        <v>1044</v>
      </c>
      <c r="E63" s="103">
        <f>E72/10</f>
        <v>1147.9000000000001</v>
      </c>
      <c r="F63" s="28">
        <f t="shared" si="4"/>
        <v>1.0995210727969349</v>
      </c>
      <c r="G63" s="66">
        <f>D63+'2018JAN'!G63</f>
        <v>2088</v>
      </c>
      <c r="H63" s="66">
        <f>E63+'2018JAN'!H63</f>
        <v>2229.6000000000004</v>
      </c>
      <c r="I63" s="28">
        <f t="shared" si="5"/>
        <v>1.0678160919540232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1086</v>
      </c>
      <c r="E64" s="107">
        <f>SUM(E62:E63)</f>
        <v>1220.9000000000001</v>
      </c>
      <c r="F64" s="30">
        <f t="shared" si="4"/>
        <v>1.1242173112338858</v>
      </c>
      <c r="G64" s="107">
        <f>SUM(G62:G63)</f>
        <v>2158</v>
      </c>
      <c r="H64" s="107">
        <f>SUM(H62:H63)</f>
        <v>2386.1000000000004</v>
      </c>
      <c r="I64" s="30">
        <f t="shared" si="5"/>
        <v>1.1056997219647824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64</v>
      </c>
      <c r="E65" s="103">
        <f>E74/10</f>
        <v>83</v>
      </c>
      <c r="F65" s="28">
        <f t="shared" si="4"/>
        <v>1.296875</v>
      </c>
      <c r="G65" s="66">
        <f>D65+'2018JAN'!G65</f>
        <v>128</v>
      </c>
      <c r="H65" s="66">
        <f>E65+'2018JAN'!H65</f>
        <v>139.5</v>
      </c>
      <c r="I65" s="28">
        <f t="shared" si="5"/>
        <v>1.08984375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960</v>
      </c>
      <c r="E66" s="103">
        <f>E75/10</f>
        <v>1122.3</v>
      </c>
      <c r="F66" s="28">
        <f t="shared" si="4"/>
        <v>1.1690624999999999</v>
      </c>
      <c r="G66" s="66">
        <f>D66+'2018JAN'!G66</f>
        <v>1920</v>
      </c>
      <c r="H66" s="66">
        <f>E66+'2018JAN'!H66</f>
        <v>2198.1</v>
      </c>
      <c r="I66" s="28">
        <f t="shared" si="5"/>
        <v>1.1448437499999999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115">
        <f>SUM(D65:D66)</f>
        <v>1024</v>
      </c>
      <c r="E67" s="115">
        <f>SUM(E65:E66)</f>
        <v>1205.3</v>
      </c>
      <c r="F67" s="31">
        <f t="shared" si="4"/>
        <v>1.17705078125</v>
      </c>
      <c r="G67" s="115">
        <f>SUM(G65:G66)</f>
        <v>2048</v>
      </c>
      <c r="H67" s="115">
        <f>SUM(H65:H66)</f>
        <v>2337.6</v>
      </c>
      <c r="I67" s="31">
        <f t="shared" si="5"/>
        <v>1.14140625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116">
        <f>SUM(D62,D65)</f>
        <v>106</v>
      </c>
      <c r="E68" s="116">
        <f>SUM(E62,E65)</f>
        <v>156</v>
      </c>
      <c r="F68" s="32">
        <f t="shared" si="4"/>
        <v>1.4716981132075471</v>
      </c>
      <c r="G68" s="116">
        <f>SUM(G62,G65)</f>
        <v>198</v>
      </c>
      <c r="H68" s="116">
        <f>SUM(H62,H65)</f>
        <v>296</v>
      </c>
      <c r="I68" s="32">
        <f t="shared" si="5"/>
        <v>1.494949494949495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116">
        <f>SUM(D63,D66)</f>
        <v>2004</v>
      </c>
      <c r="E69" s="116">
        <f>SUM(E63,E66)</f>
        <v>2270.1999999999998</v>
      </c>
      <c r="F69" s="32">
        <f t="shared" si="4"/>
        <v>1.1328343313373253</v>
      </c>
      <c r="G69" s="116">
        <f>SUM(G63,G66)</f>
        <v>4008</v>
      </c>
      <c r="H69" s="116">
        <f>SUM(H63,H66)</f>
        <v>4427.7000000000007</v>
      </c>
      <c r="I69" s="32">
        <f t="shared" si="5"/>
        <v>1.1047155688622756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117">
        <f>SUM(D68:D69)</f>
        <v>2110</v>
      </c>
      <c r="E70" s="117">
        <f>SUM(E68:E69)</f>
        <v>2426.1999999999998</v>
      </c>
      <c r="F70" s="34">
        <f t="shared" si="4"/>
        <v>1.1498578199052132</v>
      </c>
      <c r="G70" s="117">
        <f>SUM(G68:G69)</f>
        <v>4206</v>
      </c>
      <c r="H70" s="117">
        <f>SUM(H68:H69)</f>
        <v>4723.7000000000007</v>
      </c>
      <c r="I70" s="34">
        <f t="shared" si="5"/>
        <v>1.1230860675225869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65">
        <v>696</v>
      </c>
      <c r="E71" s="106">
        <v>730</v>
      </c>
      <c r="F71" s="28">
        <f t="shared" si="4"/>
        <v>1.0488505747126438</v>
      </c>
      <c r="G71" s="66">
        <f>D71+'2018JAN'!G71</f>
        <v>974</v>
      </c>
      <c r="H71" s="66">
        <f>E71+'2018JAN'!H71</f>
        <v>1565</v>
      </c>
      <c r="I71" s="28">
        <f t="shared" si="5"/>
        <v>1.606776180698152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65">
        <v>10440</v>
      </c>
      <c r="E72" s="123">
        <f>E23-E71</f>
        <v>11479</v>
      </c>
      <c r="F72" s="28">
        <f t="shared" si="4"/>
        <v>1.0995210727969349</v>
      </c>
      <c r="G72" s="66">
        <f>D72+'2018JAN'!G72</f>
        <v>20880</v>
      </c>
      <c r="H72" s="66">
        <f>E72+'2018JAN'!H72</f>
        <v>22296</v>
      </c>
      <c r="I72" s="28">
        <f t="shared" si="5"/>
        <v>1.0678160919540229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107">
        <f>SUM(D71:D72)</f>
        <v>11136</v>
      </c>
      <c r="E73" s="107">
        <f>SUM(E71:E72)</f>
        <v>12209</v>
      </c>
      <c r="F73" s="30">
        <f t="shared" si="4"/>
        <v>1.0963541666666667</v>
      </c>
      <c r="G73" s="107">
        <f>SUM(G71:G72)</f>
        <v>21854</v>
      </c>
      <c r="H73" s="107">
        <f>SUM(H71:H72)</f>
        <v>23861</v>
      </c>
      <c r="I73" s="30">
        <f t="shared" si="5"/>
        <v>1.0918367346938775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65">
        <v>1280</v>
      </c>
      <c r="E74" s="106">
        <v>830</v>
      </c>
      <c r="F74" s="28">
        <f t="shared" si="4"/>
        <v>0.6484375</v>
      </c>
      <c r="G74" s="66">
        <f>D74+'2018JAN'!G74</f>
        <v>1920</v>
      </c>
      <c r="H74" s="66">
        <f>E74+'2018JAN'!H74</f>
        <v>1395</v>
      </c>
      <c r="I74" s="28">
        <f t="shared" si="5"/>
        <v>0.7265625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65">
        <v>9600</v>
      </c>
      <c r="E75" s="123">
        <f>E25-E74</f>
        <v>11223</v>
      </c>
      <c r="F75" s="28">
        <f t="shared" si="4"/>
        <v>1.1690624999999999</v>
      </c>
      <c r="G75" s="66">
        <f>D75+'2018JAN'!G75</f>
        <v>19200</v>
      </c>
      <c r="H75" s="66">
        <f>E75+'2018JAN'!H75</f>
        <v>21981</v>
      </c>
      <c r="I75" s="28">
        <f t="shared" si="5"/>
        <v>1.1448437499999999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115">
        <f>SUM(D74:D75)</f>
        <v>10880</v>
      </c>
      <c r="E76" s="115">
        <f>SUM(E74:E75)</f>
        <v>12053</v>
      </c>
      <c r="F76" s="31">
        <f t="shared" si="4"/>
        <v>1.1078125000000001</v>
      </c>
      <c r="G76" s="115">
        <f>SUM(G74:G75)</f>
        <v>21120</v>
      </c>
      <c r="H76" s="115">
        <f>SUM(H74:H75)</f>
        <v>23376</v>
      </c>
      <c r="I76" s="31">
        <f t="shared" si="5"/>
        <v>1.1068181818181819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116">
        <f>SUM(D71,D74)</f>
        <v>1976</v>
      </c>
      <c r="E77" s="116">
        <f>SUM(E71,E74)</f>
        <v>1560</v>
      </c>
      <c r="F77" s="32">
        <f t="shared" si="4"/>
        <v>0.78947368421052633</v>
      </c>
      <c r="G77" s="116">
        <f>SUM(G71,G74)</f>
        <v>2894</v>
      </c>
      <c r="H77" s="116">
        <f>SUM(H71,H74)</f>
        <v>2960</v>
      </c>
      <c r="I77" s="32">
        <f t="shared" si="5"/>
        <v>1.022805805114029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116">
        <f>SUM(D72,D75)</f>
        <v>20040</v>
      </c>
      <c r="E78" s="116">
        <f>SUM(E72,E75)</f>
        <v>22702</v>
      </c>
      <c r="F78" s="32">
        <f t="shared" si="4"/>
        <v>1.1328343313373253</v>
      </c>
      <c r="G78" s="116">
        <f>SUM(G72,G75)</f>
        <v>40080</v>
      </c>
      <c r="H78" s="116">
        <f>SUM(H72,H75)</f>
        <v>44277</v>
      </c>
      <c r="I78" s="32">
        <f t="shared" si="5"/>
        <v>1.1047155688622754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117">
        <f>SUM(D77:D78)</f>
        <v>22016</v>
      </c>
      <c r="E79" s="117">
        <f>SUM(E77:E78)</f>
        <v>24262</v>
      </c>
      <c r="F79" s="34">
        <f t="shared" si="4"/>
        <v>1.102016715116279</v>
      </c>
      <c r="G79" s="117">
        <f>SUM(G77:G78)</f>
        <v>42974</v>
      </c>
      <c r="H79" s="117">
        <f>SUM(H77:H78)</f>
        <v>47237</v>
      </c>
      <c r="I79" s="34">
        <f t="shared" si="5"/>
        <v>1.0991995159864103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4" ht="14">
      <c r="A82" s="5" t="s">
        <v>64</v>
      </c>
    </row>
    <row r="83" spans="1:14" ht="14">
      <c r="A83" s="125" t="s">
        <v>188</v>
      </c>
      <c r="B83" s="126"/>
      <c r="C83" s="126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</row>
    <row r="84" spans="1:14" ht="15" customHeight="1">
      <c r="A84" s="774" t="s">
        <v>189</v>
      </c>
      <c r="B84" s="774"/>
      <c r="C84" s="774"/>
      <c r="D84" s="775" t="s">
        <v>204</v>
      </c>
      <c r="E84" s="775"/>
      <c r="F84" s="775" t="s">
        <v>190</v>
      </c>
      <c r="G84" s="775"/>
      <c r="H84" s="775" t="s">
        <v>191</v>
      </c>
      <c r="I84" s="126"/>
      <c r="J84" s="126"/>
      <c r="K84" s="126"/>
      <c r="L84" s="126"/>
      <c r="M84" s="126"/>
      <c r="N84" s="126"/>
    </row>
    <row r="85" spans="1:14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  <c r="I85" s="126"/>
      <c r="J85" s="126"/>
      <c r="K85" s="126"/>
      <c r="L85" s="126"/>
      <c r="M85" s="126"/>
      <c r="N85" s="126"/>
    </row>
    <row r="86" spans="1:14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  <c r="I86" s="126"/>
      <c r="J86" s="126"/>
      <c r="K86" s="126"/>
      <c r="L86" s="126"/>
      <c r="M86" s="126"/>
      <c r="N86" s="126"/>
    </row>
    <row r="87" spans="1:14" ht="15" customHeight="1">
      <c r="A87" s="774"/>
      <c r="B87" s="775" t="s">
        <v>197</v>
      </c>
      <c r="C87" s="775"/>
      <c r="D87" s="131">
        <v>351</v>
      </c>
      <c r="E87" s="130"/>
      <c r="F87" s="134">
        <f>D87+'2018JAN'!F87</f>
        <v>686</v>
      </c>
      <c r="G87" s="130"/>
      <c r="H87" s="128"/>
      <c r="I87" s="126"/>
      <c r="J87" s="126"/>
      <c r="K87" s="126"/>
      <c r="L87" s="126"/>
      <c r="M87" s="126"/>
      <c r="N87" s="126"/>
    </row>
    <row r="88" spans="1:14" ht="15" customHeight="1">
      <c r="A88" s="774"/>
      <c r="B88" s="775" t="s">
        <v>198</v>
      </c>
      <c r="C88" s="775"/>
      <c r="D88" s="131">
        <v>21</v>
      </c>
      <c r="E88" s="128"/>
      <c r="F88" s="134">
        <f>D88+'2018JAN'!F88</f>
        <v>45</v>
      </c>
      <c r="G88" s="128"/>
      <c r="H88" s="128"/>
      <c r="I88" s="126"/>
      <c r="J88" s="126"/>
      <c r="K88" s="126"/>
      <c r="L88" s="126"/>
      <c r="M88" s="126"/>
      <c r="N88" s="126"/>
    </row>
    <row r="89" spans="1:14" ht="15" customHeight="1">
      <c r="A89" s="774"/>
      <c r="B89" s="775" t="s">
        <v>199</v>
      </c>
      <c r="C89" s="775"/>
      <c r="D89" s="131">
        <v>0</v>
      </c>
      <c r="E89" s="128">
        <f>D89/D87</f>
        <v>0</v>
      </c>
      <c r="F89" s="134">
        <f>D89+'2018JAN'!F89</f>
        <v>0</v>
      </c>
      <c r="G89" s="128">
        <f>F89/F87</f>
        <v>0</v>
      </c>
      <c r="H89" s="128"/>
      <c r="I89" s="126"/>
      <c r="J89" s="126"/>
      <c r="K89" s="126"/>
      <c r="L89" s="126"/>
      <c r="M89" s="126"/>
      <c r="N89" s="126"/>
    </row>
    <row r="90" spans="1:14" ht="15" customHeight="1">
      <c r="A90" s="774" t="s">
        <v>200</v>
      </c>
      <c r="B90" s="775" t="s">
        <v>201</v>
      </c>
      <c r="C90" s="775"/>
      <c r="D90" s="131">
        <v>4</v>
      </c>
      <c r="E90" s="128">
        <f>D90/D92</f>
        <v>2.7777777777777776E-2</v>
      </c>
      <c r="F90" s="134">
        <f>D90+'2018JAN'!F90</f>
        <v>10</v>
      </c>
      <c r="G90" s="128">
        <f>F90/F92</f>
        <v>3.2679738562091505E-2</v>
      </c>
      <c r="H90" s="128"/>
      <c r="I90" s="126"/>
      <c r="J90" s="126"/>
      <c r="K90" s="126"/>
      <c r="L90" s="126"/>
      <c r="M90" s="126"/>
      <c r="N90" s="126"/>
    </row>
    <row r="91" spans="1:14" ht="15" customHeight="1">
      <c r="A91" s="774"/>
      <c r="B91" s="775" t="s">
        <v>202</v>
      </c>
      <c r="C91" s="775"/>
      <c r="D91" s="131">
        <v>162</v>
      </c>
      <c r="E91" s="128">
        <f>D91/D92</f>
        <v>1.125</v>
      </c>
      <c r="F91" s="134">
        <f>D91+'2018JAN'!F91</f>
        <v>345</v>
      </c>
      <c r="G91" s="128">
        <f>F91/F92</f>
        <v>1.1274509803921569</v>
      </c>
      <c r="H91" s="128"/>
      <c r="I91" s="126"/>
      <c r="J91" s="126"/>
      <c r="K91" s="126"/>
      <c r="L91" s="126"/>
      <c r="M91" s="126"/>
      <c r="N91" s="126"/>
    </row>
    <row r="92" spans="1:14" ht="15" customHeight="1">
      <c r="A92" s="774"/>
      <c r="B92" s="775" t="s">
        <v>203</v>
      </c>
      <c r="C92" s="775"/>
      <c r="D92" s="131">
        <v>144</v>
      </c>
      <c r="E92" s="130"/>
      <c r="F92" s="134">
        <f>D92+'2018JAN'!F92</f>
        <v>306</v>
      </c>
      <c r="G92" s="130"/>
      <c r="H92" s="128"/>
      <c r="I92" s="126"/>
      <c r="J92" s="126"/>
      <c r="K92" s="126"/>
      <c r="L92" s="126"/>
      <c r="M92" s="126"/>
      <c r="N92" s="126"/>
    </row>
    <row r="93" spans="1:14">
      <c r="B93" s="126"/>
      <c r="C93" s="126" t="s">
        <v>210</v>
      </c>
      <c r="D93" s="132">
        <v>497</v>
      </c>
      <c r="E93" s="126"/>
      <c r="F93" s="126"/>
      <c r="G93" s="126"/>
      <c r="H93" s="126"/>
      <c r="I93" s="126"/>
      <c r="J93" s="126"/>
      <c r="K93" s="126"/>
      <c r="L93" s="126"/>
      <c r="M93" s="126"/>
      <c r="N93" s="126"/>
    </row>
    <row r="94" spans="1:14" ht="14">
      <c r="A94" s="129" t="s">
        <v>211</v>
      </c>
    </row>
    <row r="95" spans="1:14" ht="14" thickBot="1"/>
    <row r="96" spans="1:14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110" t="s">
        <v>23</v>
      </c>
      <c r="E97" s="110" t="s">
        <v>24</v>
      </c>
      <c r="F97" s="110" t="s">
        <v>25</v>
      </c>
      <c r="G97" s="110" t="s">
        <v>23</v>
      </c>
      <c r="H97" s="110" t="s">
        <v>24</v>
      </c>
      <c r="I97" s="110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106">
        <v>0</v>
      </c>
      <c r="F98" s="37" t="e">
        <f>E98/D98</f>
        <v>#DIV/0!</v>
      </c>
      <c r="G98" s="66">
        <f>D98+'2018JAN'!G98</f>
        <v>0</v>
      </c>
      <c r="H98" s="66">
        <f>E98+'2018JAN'!H98</f>
        <v>1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41</v>
      </c>
      <c r="E99" s="106">
        <v>42</v>
      </c>
      <c r="F99" s="28">
        <f t="shared" ref="F99:F115" si="6">E99/D99</f>
        <v>1.024390243902439</v>
      </c>
      <c r="G99" s="66">
        <f>D99+'2018JAN'!G99</f>
        <v>82</v>
      </c>
      <c r="H99" s="66">
        <f>E99+'2018JAN'!H99</f>
        <v>83</v>
      </c>
      <c r="I99" s="28">
        <f t="shared" ref="I99:I115" si="7">H99/G99</f>
        <v>1.0121951219512195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107">
        <f>SUM(D98:D99)</f>
        <v>41</v>
      </c>
      <c r="E100" s="107">
        <f>SUM(E98:E99)</f>
        <v>42</v>
      </c>
      <c r="F100" s="30">
        <f t="shared" si="6"/>
        <v>1.024390243902439</v>
      </c>
      <c r="G100" s="107">
        <f>SUM(G98:G99)</f>
        <v>82</v>
      </c>
      <c r="H100" s="107">
        <f>SUM(H98:H99)</f>
        <v>84</v>
      </c>
      <c r="I100" s="30">
        <f t="shared" si="7"/>
        <v>1.024390243902439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106">
        <v>0</v>
      </c>
      <c r="F101" s="28" t="e">
        <f t="shared" si="6"/>
        <v>#DIV/0!</v>
      </c>
      <c r="G101" s="66">
        <f>D101+'2018JAN'!G101</f>
        <v>0</v>
      </c>
      <c r="H101" s="66">
        <f>E101+'2018JAN'!H101</f>
        <v>0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11</v>
      </c>
      <c r="E102" s="106">
        <v>10</v>
      </c>
      <c r="F102" s="28">
        <f t="shared" si="6"/>
        <v>0.90909090909090906</v>
      </c>
      <c r="G102" s="66">
        <f>D102+'2018JAN'!G102</f>
        <v>22</v>
      </c>
      <c r="H102" s="66">
        <f>E102+'2018JAN'!H102</f>
        <v>21</v>
      </c>
      <c r="I102" s="28">
        <f t="shared" si="7"/>
        <v>0.95454545454545459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107">
        <f>SUM(D101:D102)</f>
        <v>11</v>
      </c>
      <c r="E103" s="107">
        <f>SUM(E101:E102)</f>
        <v>10</v>
      </c>
      <c r="F103" s="30">
        <f t="shared" si="6"/>
        <v>0.90909090909090906</v>
      </c>
      <c r="G103" s="107">
        <f>SUM(G101:G102)</f>
        <v>22</v>
      </c>
      <c r="H103" s="107">
        <f>SUM(H101:H102)</f>
        <v>21</v>
      </c>
      <c r="I103" s="30">
        <f t="shared" si="7"/>
        <v>0.95454545454545459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0</v>
      </c>
      <c r="E104" s="106">
        <v>0</v>
      </c>
      <c r="F104" s="28" t="e">
        <f t="shared" si="6"/>
        <v>#DIV/0!</v>
      </c>
      <c r="G104" s="66">
        <f>D104+'2018JAN'!G104</f>
        <v>0</v>
      </c>
      <c r="H104" s="66">
        <f>E104+'2018JAN'!H104</f>
        <v>0</v>
      </c>
      <c r="I104" s="28" t="e">
        <f t="shared" si="7"/>
        <v>#DIV/0!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63</v>
      </c>
      <c r="E105" s="106">
        <v>60</v>
      </c>
      <c r="F105" s="28">
        <f t="shared" si="6"/>
        <v>0.95238095238095233</v>
      </c>
      <c r="G105" s="66">
        <f>D105+'2018JAN'!G105</f>
        <v>126</v>
      </c>
      <c r="H105" s="66">
        <f>E105+'2018JAN'!H105</f>
        <v>120</v>
      </c>
      <c r="I105" s="28">
        <f t="shared" si="7"/>
        <v>0.95238095238095233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107">
        <f>SUM(D104:D105)</f>
        <v>63</v>
      </c>
      <c r="E106" s="107">
        <f>SUM(E104:E105)</f>
        <v>60</v>
      </c>
      <c r="F106" s="30">
        <f t="shared" si="6"/>
        <v>0.95238095238095233</v>
      </c>
      <c r="G106" s="107">
        <f>SUM(G104:G105)</f>
        <v>126</v>
      </c>
      <c r="H106" s="107">
        <f>SUM(H104:H105)</f>
        <v>120</v>
      </c>
      <c r="I106" s="30">
        <f t="shared" si="7"/>
        <v>0.95238095238095233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2</v>
      </c>
      <c r="E107" s="106">
        <v>0</v>
      </c>
      <c r="F107" s="28">
        <f>E107/D107</f>
        <v>0</v>
      </c>
      <c r="G107" s="66">
        <f>D107+'2018JAN'!G107</f>
        <v>2</v>
      </c>
      <c r="H107" s="66">
        <f>E107+'2018JAN'!H107</f>
        <v>0</v>
      </c>
      <c r="I107" s="28">
        <f>H107/G107</f>
        <v>0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100</v>
      </c>
      <c r="E108" s="106">
        <v>100</v>
      </c>
      <c r="F108" s="28">
        <f>E108/D108</f>
        <v>1</v>
      </c>
      <c r="G108" s="66">
        <f>D108+'2018JAN'!G108</f>
        <v>200</v>
      </c>
      <c r="H108" s="66">
        <f>E108+'2018JAN'!H108</f>
        <v>201</v>
      </c>
      <c r="I108" s="28">
        <f t="shared" si="7"/>
        <v>1.0049999999999999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107">
        <f>SUM(D107:D108)</f>
        <v>102</v>
      </c>
      <c r="E109" s="107">
        <f>SUM(E107:E108)</f>
        <v>100</v>
      </c>
      <c r="F109" s="30">
        <f t="shared" si="6"/>
        <v>0.98039215686274506</v>
      </c>
      <c r="G109" s="107">
        <f>SUM(G107:G108)</f>
        <v>202</v>
      </c>
      <c r="H109" s="107">
        <f>SUM(H107:H108)</f>
        <v>201</v>
      </c>
      <c r="I109" s="30">
        <f t="shared" si="7"/>
        <v>0.99504950495049505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8</v>
      </c>
      <c r="E110" s="106">
        <v>17</v>
      </c>
      <c r="F110" s="30">
        <f>E110/D110</f>
        <v>2.125</v>
      </c>
      <c r="G110" s="66">
        <f>D110+'2018JAN'!G110</f>
        <v>16</v>
      </c>
      <c r="H110" s="66">
        <f>E110+'2018JAN'!H110</f>
        <v>30</v>
      </c>
      <c r="I110" s="30">
        <f>H110/G110</f>
        <v>1.875</v>
      </c>
      <c r="J110" s="112"/>
      <c r="K110" s="113"/>
      <c r="L110" s="113"/>
      <c r="M110" s="114"/>
    </row>
    <row r="111" spans="1:13">
      <c r="A111" s="573"/>
      <c r="B111" s="777"/>
      <c r="C111" s="27" t="s">
        <v>70</v>
      </c>
      <c r="D111" s="65">
        <v>8</v>
      </c>
      <c r="E111" s="106">
        <v>17</v>
      </c>
      <c r="F111" s="30">
        <f t="shared" ref="F111:F112" si="8">E111/D111</f>
        <v>2.125</v>
      </c>
      <c r="G111" s="66">
        <f>D111+'2018JAN'!G111</f>
        <v>8</v>
      </c>
      <c r="H111" s="66">
        <f>E111+'2018JAN'!H111</f>
        <v>22</v>
      </c>
      <c r="I111" s="30">
        <f t="shared" ref="I111:I112" si="9">H111/G111</f>
        <v>2.75</v>
      </c>
      <c r="J111" s="112"/>
      <c r="K111" s="113"/>
      <c r="L111" s="113"/>
      <c r="M111" s="114"/>
    </row>
    <row r="112" spans="1:13">
      <c r="A112" s="573"/>
      <c r="B112" s="778"/>
      <c r="C112" s="38" t="s">
        <v>166</v>
      </c>
      <c r="D112" s="107">
        <f>SUM(D110:D111)</f>
        <v>16</v>
      </c>
      <c r="E112" s="107">
        <f>SUM(E110:E111)</f>
        <v>34</v>
      </c>
      <c r="F112" s="30">
        <f t="shared" si="8"/>
        <v>2.125</v>
      </c>
      <c r="G112" s="107">
        <f>SUM(G110:G111)</f>
        <v>24</v>
      </c>
      <c r="H112" s="107">
        <f>SUM(H110:H111)</f>
        <v>52</v>
      </c>
      <c r="I112" s="30">
        <f t="shared" si="9"/>
        <v>2.1666666666666665</v>
      </c>
      <c r="J112" s="112"/>
      <c r="K112" s="113"/>
      <c r="L112" s="113"/>
      <c r="M112" s="114"/>
    </row>
    <row r="113" spans="1:13">
      <c r="A113" s="573"/>
      <c r="B113" s="603" t="s">
        <v>46</v>
      </c>
      <c r="C113" s="39" t="s">
        <v>69</v>
      </c>
      <c r="D113" s="115">
        <f>SUM(D98,D101,D104,D107,D110)</f>
        <v>10</v>
      </c>
      <c r="E113" s="115">
        <f>SUM(E98,E101,E104,E107,E110)</f>
        <v>17</v>
      </c>
      <c r="F113" s="31">
        <f t="shared" si="6"/>
        <v>1.7</v>
      </c>
      <c r="G113" s="115">
        <f>SUM(G98,G101,G104,G107,G110)</f>
        <v>18</v>
      </c>
      <c r="H113" s="115">
        <f>SUM(H98,H101,H104,H107,H110)</f>
        <v>31</v>
      </c>
      <c r="I113" s="31">
        <f t="shared" si="7"/>
        <v>1.7222222222222223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115">
        <f>SUM(D99,D102,D105,D108,D111)</f>
        <v>223</v>
      </c>
      <c r="E114" s="115">
        <f>SUM(E99,E102,E105,E108,E111)</f>
        <v>229</v>
      </c>
      <c r="F114" s="31">
        <f t="shared" si="6"/>
        <v>1.0269058295964126</v>
      </c>
      <c r="G114" s="115">
        <f>SUM(G99,G102,G105,G108,G111)</f>
        <v>438</v>
      </c>
      <c r="H114" s="115">
        <f>SUM(H99,H102,H105,H108,H111)</f>
        <v>447</v>
      </c>
      <c r="I114" s="31">
        <f t="shared" si="7"/>
        <v>1.0205479452054795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118">
        <f>SUM(D113:D114)</f>
        <v>233</v>
      </c>
      <c r="E115" s="118">
        <f>SUM(E113:E114)</f>
        <v>246</v>
      </c>
      <c r="F115" s="41">
        <f t="shared" si="6"/>
        <v>1.055793991416309</v>
      </c>
      <c r="G115" s="118">
        <f>SUM(G113:G114)</f>
        <v>456</v>
      </c>
      <c r="H115" s="118">
        <f>SUM(H113:H114)</f>
        <v>478</v>
      </c>
      <c r="I115" s="41">
        <f t="shared" si="7"/>
        <v>1.0482456140350878</v>
      </c>
      <c r="J115" s="625"/>
      <c r="K115" s="626"/>
      <c r="L115" s="626"/>
      <c r="M115" s="627"/>
    </row>
    <row r="116" spans="1:13" ht="14" thickBot="1">
      <c r="A116" s="617" t="s">
        <v>75</v>
      </c>
      <c r="B116" s="619" t="s">
        <v>76</v>
      </c>
      <c r="C116" s="42" t="s">
        <v>69</v>
      </c>
      <c r="D116" s="69">
        <v>2</v>
      </c>
      <c r="E116" s="64">
        <v>0</v>
      </c>
      <c r="F116" s="43">
        <f>E116/D116</f>
        <v>0</v>
      </c>
      <c r="G116" s="70">
        <f>D116+'2018JAN'!G116</f>
        <v>2</v>
      </c>
      <c r="H116" s="70">
        <f>E116+'2018JAN'!H116</f>
        <v>10</v>
      </c>
      <c r="I116" s="43">
        <f>H116/G116</f>
        <v>5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48</v>
      </c>
      <c r="E117" s="106">
        <v>58</v>
      </c>
      <c r="F117" s="28">
        <f t="shared" ref="F117:F126" si="10">E117/D117</f>
        <v>1.2083333333333333</v>
      </c>
      <c r="G117" s="70">
        <f>D117+'2018JAN'!G117</f>
        <v>96</v>
      </c>
      <c r="H117" s="71">
        <f>E117+'2018JAN'!H117</f>
        <v>107</v>
      </c>
      <c r="I117" s="28">
        <f t="shared" ref="I117:I126" si="11">H117/G117</f>
        <v>1.1145833333333333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107">
        <f>SUM(D116:D117)</f>
        <v>50</v>
      </c>
      <c r="E118" s="107">
        <f>SUM(E116:E117)</f>
        <v>58</v>
      </c>
      <c r="F118" s="30">
        <f t="shared" si="10"/>
        <v>1.1599999999999999</v>
      </c>
      <c r="G118" s="107">
        <f>SUM(G116:G117)</f>
        <v>98</v>
      </c>
      <c r="H118" s="107">
        <f>SUM(H116:H117)</f>
        <v>117</v>
      </c>
      <c r="I118" s="30">
        <f t="shared" si="11"/>
        <v>1.1938775510204083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106">
        <v>4</v>
      </c>
      <c r="F119" s="28" t="e">
        <f t="shared" si="10"/>
        <v>#DIV/0!</v>
      </c>
      <c r="G119" s="66">
        <f>D119+'2018JAN'!G119</f>
        <v>0</v>
      </c>
      <c r="H119" s="66">
        <f>E119+'2018JAN'!H119</f>
        <v>4</v>
      </c>
      <c r="I119" s="28" t="e">
        <f t="shared" si="11"/>
        <v>#DIV/0!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37</v>
      </c>
      <c r="E120" s="106">
        <v>43</v>
      </c>
      <c r="F120" s="28">
        <f t="shared" si="10"/>
        <v>1.1621621621621621</v>
      </c>
      <c r="G120" s="66">
        <f>D120+'2018JAN'!G120</f>
        <v>74</v>
      </c>
      <c r="H120" s="66">
        <f>E120+'2018JAN'!H120</f>
        <v>87</v>
      </c>
      <c r="I120" s="28">
        <f t="shared" si="11"/>
        <v>1.1756756756756757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107">
        <f>SUM(D119:D120)</f>
        <v>37</v>
      </c>
      <c r="E121" s="107">
        <f>SUM(E119:E120)</f>
        <v>47</v>
      </c>
      <c r="F121" s="30">
        <f t="shared" si="10"/>
        <v>1.2702702702702702</v>
      </c>
      <c r="G121" s="107">
        <f>SUM(G119:G120)</f>
        <v>74</v>
      </c>
      <c r="H121" s="107">
        <f>SUM(H119:H120)</f>
        <v>91</v>
      </c>
      <c r="I121" s="30">
        <f t="shared" si="11"/>
        <v>1.2297297297297298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115">
        <f>SUM(D116,D119)</f>
        <v>2</v>
      </c>
      <c r="E122" s="115">
        <f>SUM(E116,E119)</f>
        <v>4</v>
      </c>
      <c r="F122" s="30">
        <f t="shared" si="10"/>
        <v>2</v>
      </c>
      <c r="G122" s="115">
        <f>SUM(G116,G119)</f>
        <v>2</v>
      </c>
      <c r="H122" s="115">
        <f>SUM(H116,H119)</f>
        <v>14</v>
      </c>
      <c r="I122" s="30">
        <f t="shared" si="11"/>
        <v>7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115">
        <f>SUM(D117,D120)</f>
        <v>85</v>
      </c>
      <c r="E123" s="115">
        <f>SUM(E117,E120)</f>
        <v>101</v>
      </c>
      <c r="F123" s="30">
        <f t="shared" si="10"/>
        <v>1.1882352941176471</v>
      </c>
      <c r="G123" s="115">
        <f>SUM(G117,G120)</f>
        <v>170</v>
      </c>
      <c r="H123" s="115">
        <f>SUM(H117,H120)</f>
        <v>194</v>
      </c>
      <c r="I123" s="30">
        <f t="shared" si="11"/>
        <v>1.1411764705882352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118">
        <f>SUM(D122:D123)</f>
        <v>87</v>
      </c>
      <c r="E124" s="118">
        <f>SUM(E122:E123)</f>
        <v>105</v>
      </c>
      <c r="F124" s="41">
        <f t="shared" si="10"/>
        <v>1.2068965517241379</v>
      </c>
      <c r="G124" s="118">
        <f>SUM(G122:G123)</f>
        <v>172</v>
      </c>
      <c r="H124" s="118">
        <f>SUM(H122:H123)</f>
        <v>208</v>
      </c>
      <c r="I124" s="41">
        <f t="shared" si="11"/>
        <v>1.2093023255813953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120">
        <f>SUM(D113,D122)</f>
        <v>12</v>
      </c>
      <c r="E125" s="120">
        <f>SUM(E113,E122)</f>
        <v>21</v>
      </c>
      <c r="F125" s="45">
        <f t="shared" si="10"/>
        <v>1.75</v>
      </c>
      <c r="G125" s="46">
        <f>SUM(G113,G122)</f>
        <v>20</v>
      </c>
      <c r="H125" s="46">
        <f>SUM(H113,H122)</f>
        <v>45</v>
      </c>
      <c r="I125" s="45">
        <f t="shared" si="11"/>
        <v>2.25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116">
        <f>SUM(D114,D123)</f>
        <v>308</v>
      </c>
      <c r="E126" s="116">
        <f>SUM(E114,E123)</f>
        <v>330</v>
      </c>
      <c r="F126" s="32">
        <f t="shared" si="10"/>
        <v>1.0714285714285714</v>
      </c>
      <c r="G126" s="116">
        <f>SUM(G114,G123)</f>
        <v>608</v>
      </c>
      <c r="H126" s="116">
        <f>SUM(H114,H123)</f>
        <v>641</v>
      </c>
      <c r="I126" s="32">
        <f t="shared" si="11"/>
        <v>1.0542763157894737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116">
        <f>SUM(D125:D126)</f>
        <v>320</v>
      </c>
      <c r="E127" s="116">
        <f>SUM(E125:E126)</f>
        <v>351</v>
      </c>
      <c r="F127" s="49">
        <f>E127/D127</f>
        <v>1.096875</v>
      </c>
      <c r="G127" s="120">
        <f>SUM(G125:G126)</f>
        <v>628</v>
      </c>
      <c r="H127" s="120">
        <f>SUM(H125:H126)</f>
        <v>686</v>
      </c>
      <c r="I127" s="49">
        <f>H127/G127</f>
        <v>1.0923566878980893</v>
      </c>
      <c r="J127" s="639"/>
      <c r="K127" s="640"/>
      <c r="L127" s="640"/>
      <c r="M127" s="641"/>
    </row>
    <row r="130" spans="1:12" ht="15" thickBot="1">
      <c r="A130" s="5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148</v>
      </c>
      <c r="J134" s="631"/>
      <c r="K134" s="632"/>
      <c r="L134" s="634"/>
    </row>
    <row r="135" spans="1:12">
      <c r="A135" s="628" t="s">
        <v>91</v>
      </c>
      <c r="B135" s="629"/>
      <c r="C135" s="649">
        <v>281</v>
      </c>
      <c r="D135" s="650"/>
      <c r="E135" s="649">
        <v>11</v>
      </c>
      <c r="F135" s="650"/>
      <c r="G135" s="649">
        <v>2</v>
      </c>
      <c r="H135" s="650"/>
      <c r="I135" s="649">
        <v>6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119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119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119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119" t="s">
        <v>99</v>
      </c>
      <c r="C140" s="656">
        <v>184</v>
      </c>
      <c r="D140" s="656"/>
      <c r="E140" s="656">
        <v>79</v>
      </c>
      <c r="F140" s="656"/>
      <c r="G140" s="656">
        <v>7</v>
      </c>
      <c r="H140" s="656"/>
      <c r="I140" s="770">
        <v>4851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5" t="s">
        <v>100</v>
      </c>
    </row>
    <row r="145" spans="1:13" ht="13.5" customHeight="1">
      <c r="A145" s="531" t="s">
        <v>101</v>
      </c>
      <c r="B145" s="533"/>
      <c r="C145" s="662" t="s">
        <v>206</v>
      </c>
      <c r="D145" s="663"/>
      <c r="E145" s="664"/>
      <c r="F145" s="662" t="s">
        <v>137</v>
      </c>
      <c r="G145" s="663"/>
      <c r="H145" s="663"/>
      <c r="I145" s="664"/>
      <c r="J145" s="663" t="s">
        <v>207</v>
      </c>
      <c r="K145" s="663"/>
      <c r="L145" s="663"/>
      <c r="M145" s="665"/>
    </row>
    <row r="146" spans="1:13" ht="35.25" customHeight="1">
      <c r="A146" s="716" t="s">
        <v>103</v>
      </c>
      <c r="B146" s="717"/>
      <c r="C146" s="722"/>
      <c r="D146" s="723"/>
      <c r="E146" s="724"/>
      <c r="F146" s="744" t="s">
        <v>208</v>
      </c>
      <c r="G146" s="748"/>
      <c r="H146" s="748"/>
      <c r="I146" s="749"/>
      <c r="J146" s="745"/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151</v>
      </c>
      <c r="D148" s="719"/>
      <c r="E148" s="720"/>
      <c r="F148" s="744" t="s">
        <v>151</v>
      </c>
      <c r="G148" s="745"/>
      <c r="H148" s="745"/>
      <c r="I148" s="746"/>
      <c r="J148" s="744" t="s">
        <v>151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 t="s">
        <v>209</v>
      </c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5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122" t="s">
        <v>109</v>
      </c>
      <c r="C154" s="122" t="s">
        <v>110</v>
      </c>
      <c r="D154" s="122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>
        <f>E44</f>
        <v>99970</v>
      </c>
      <c r="B155" s="124">
        <f>'2018JAN'!H155</f>
        <v>7237</v>
      </c>
      <c r="C155" s="63">
        <f>E45-E44</f>
        <v>32865</v>
      </c>
      <c r="D155" s="73">
        <v>75267</v>
      </c>
      <c r="E155" s="681" t="s">
        <v>114</v>
      </c>
      <c r="F155" s="681"/>
      <c r="G155" s="681"/>
      <c r="H155" s="72">
        <f>C155+A155+B155-D155</f>
        <v>64805</v>
      </c>
    </row>
    <row r="156" spans="1:13" ht="14" thickBot="1">
      <c r="A156" s="8" t="s">
        <v>115</v>
      </c>
      <c r="D156" s="4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17276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123">
        <v>10</v>
      </c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18209</v>
      </c>
      <c r="H165" s="790"/>
      <c r="I165" s="791"/>
      <c r="J165" s="791"/>
      <c r="K165" s="792"/>
    </row>
    <row r="166" spans="1:11" ht="14">
      <c r="A166" s="121" t="s">
        <v>126</v>
      </c>
      <c r="B166" s="789" t="s">
        <v>127</v>
      </c>
      <c r="C166" s="789"/>
      <c r="D166" s="789"/>
      <c r="E166" s="789"/>
      <c r="F166" s="789"/>
      <c r="G166" s="106">
        <v>1900</v>
      </c>
      <c r="H166" s="790"/>
      <c r="I166" s="791"/>
      <c r="J166" s="791"/>
      <c r="K166" s="792"/>
    </row>
    <row r="167" spans="1:11" ht="14">
      <c r="A167" s="121" t="s">
        <v>128</v>
      </c>
      <c r="B167" s="789" t="s">
        <v>129</v>
      </c>
      <c r="C167" s="789"/>
      <c r="D167" s="789"/>
      <c r="E167" s="789"/>
      <c r="F167" s="789"/>
      <c r="G167" s="123"/>
      <c r="H167" s="790"/>
      <c r="I167" s="791"/>
      <c r="J167" s="791"/>
      <c r="K167" s="792"/>
    </row>
  </sheetData>
  <mergeCells count="290">
    <mergeCell ref="B86:C86"/>
    <mergeCell ref="B87:C87"/>
    <mergeCell ref="B88:C88"/>
    <mergeCell ref="B89:C89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25:B127"/>
    <mergeCell ref="J125:M125"/>
    <mergeCell ref="J126:M126"/>
    <mergeCell ref="J127:M127"/>
    <mergeCell ref="A131:B131"/>
    <mergeCell ref="C131:D131"/>
    <mergeCell ref="E131:F131"/>
    <mergeCell ref="G131:H131"/>
    <mergeCell ref="I131:J131"/>
    <mergeCell ref="K131:L131"/>
    <mergeCell ref="J120:M120"/>
    <mergeCell ref="J121:M121"/>
    <mergeCell ref="B122:B124"/>
    <mergeCell ref="J122:M122"/>
    <mergeCell ref="J123:M123"/>
    <mergeCell ref="J124:M124"/>
    <mergeCell ref="B110:B112"/>
    <mergeCell ref="B113:B115"/>
    <mergeCell ref="J113:M113"/>
    <mergeCell ref="J114:M114"/>
    <mergeCell ref="J115:M115"/>
    <mergeCell ref="A116:A124"/>
    <mergeCell ref="B116:B118"/>
    <mergeCell ref="J116:M116"/>
    <mergeCell ref="J117:M117"/>
    <mergeCell ref="J118:M118"/>
    <mergeCell ref="J104:M104"/>
    <mergeCell ref="J105:M105"/>
    <mergeCell ref="J106:M106"/>
    <mergeCell ref="B107:B109"/>
    <mergeCell ref="J107:M107"/>
    <mergeCell ref="J108:M108"/>
    <mergeCell ref="J109:M109"/>
    <mergeCell ref="A98:A115"/>
    <mergeCell ref="B98:B100"/>
    <mergeCell ref="J98:M98"/>
    <mergeCell ref="J99:M99"/>
    <mergeCell ref="J100:M100"/>
    <mergeCell ref="B101:B103"/>
    <mergeCell ref="J101:M101"/>
    <mergeCell ref="J102:M102"/>
    <mergeCell ref="J103:M103"/>
    <mergeCell ref="B104:B106"/>
    <mergeCell ref="B119:B121"/>
    <mergeCell ref="J119:M119"/>
    <mergeCell ref="A96:A97"/>
    <mergeCell ref="B96:B97"/>
    <mergeCell ref="C96:C97"/>
    <mergeCell ref="D96:F96"/>
    <mergeCell ref="G96:I96"/>
    <mergeCell ref="J96:M97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90:A92"/>
    <mergeCell ref="B90:C90"/>
    <mergeCell ref="B91:C91"/>
    <mergeCell ref="B92:C92"/>
    <mergeCell ref="A84:C85"/>
    <mergeCell ref="D84:E84"/>
    <mergeCell ref="F84:G84"/>
    <mergeCell ref="H84:H85"/>
    <mergeCell ref="A86:A89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G1" xr:uid="{00000000-0002-0000-0E00-000000000000}">
      <formula1>"Jan, Feb, March, April, May, June, July, Aug, Sep, Oct, Nov, Dec"</formula1>
    </dataValidation>
    <dataValidation type="list" allowBlank="1" showInputMessage="1" showErrorMessage="1" sqref="L3" xr:uid="{00000000-0002-0000-0E00-000001000000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pageSetUpPr fitToPage="1"/>
  </sheetPr>
  <dimension ref="A1:N167"/>
  <sheetViews>
    <sheetView topLeftCell="A125" zoomScale="89" zoomScaleNormal="89" zoomScaleSheetLayoutView="85" workbookViewId="0">
      <selection activeCell="B155" sqref="B15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139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>
        <v>43205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137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146" t="s">
        <v>176</v>
      </c>
      <c r="C10" s="61">
        <v>2</v>
      </c>
      <c r="D10" s="154">
        <v>2</v>
      </c>
      <c r="E10" s="538" t="s">
        <v>182</v>
      </c>
      <c r="F10" s="538"/>
      <c r="G10" s="538"/>
      <c r="H10" s="538"/>
      <c r="I10" s="539"/>
    </row>
    <row r="11" spans="1:13">
      <c r="A11" s="537"/>
      <c r="B11" s="146" t="s">
        <v>177</v>
      </c>
      <c r="C11" s="61">
        <v>2</v>
      </c>
      <c r="D11" s="154">
        <v>2</v>
      </c>
      <c r="E11" s="540" t="s">
        <v>183</v>
      </c>
      <c r="F11" s="541"/>
      <c r="G11" s="541"/>
      <c r="H11" s="541"/>
      <c r="I11" s="542"/>
    </row>
    <row r="12" spans="1:13">
      <c r="A12" s="537"/>
      <c r="B12" s="146" t="s">
        <v>179</v>
      </c>
      <c r="C12" s="61">
        <v>2</v>
      </c>
      <c r="D12" s="154">
        <v>1</v>
      </c>
      <c r="E12" s="768" t="s">
        <v>184</v>
      </c>
      <c r="F12" s="538"/>
      <c r="G12" s="538"/>
      <c r="H12" s="538"/>
      <c r="I12" s="539"/>
    </row>
    <row r="13" spans="1:13">
      <c r="A13" s="537"/>
      <c r="B13" s="146" t="s">
        <v>180</v>
      </c>
      <c r="C13" s="61">
        <v>3</v>
      </c>
      <c r="D13" s="154">
        <v>1</v>
      </c>
      <c r="E13" s="538" t="s">
        <v>212</v>
      </c>
      <c r="F13" s="538"/>
      <c r="G13" s="538"/>
      <c r="H13" s="538"/>
      <c r="I13" s="539"/>
    </row>
    <row r="14" spans="1:13">
      <c r="A14" s="537"/>
      <c r="B14" s="146" t="s">
        <v>12</v>
      </c>
      <c r="C14" s="61">
        <v>0</v>
      </c>
      <c r="D14" s="154">
        <v>0</v>
      </c>
      <c r="E14" s="540"/>
      <c r="F14" s="541"/>
      <c r="G14" s="541"/>
      <c r="H14" s="541"/>
      <c r="I14" s="542"/>
    </row>
    <row r="15" spans="1:13">
      <c r="A15" s="537"/>
      <c r="B15" s="146" t="s">
        <v>13</v>
      </c>
      <c r="C15" s="61">
        <v>2</v>
      </c>
      <c r="D15" s="154">
        <v>0</v>
      </c>
      <c r="E15" s="768"/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6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132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151" t="s">
        <v>23</v>
      </c>
      <c r="E21" s="151" t="s">
        <v>24</v>
      </c>
      <c r="F21" s="151" t="s">
        <v>25</v>
      </c>
      <c r="G21" s="151" t="s">
        <v>23</v>
      </c>
      <c r="H21" s="151" t="s">
        <v>24</v>
      </c>
      <c r="I21" s="151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65">
        <v>11554</v>
      </c>
      <c r="E23" s="154">
        <v>12313</v>
      </c>
      <c r="F23" s="14">
        <f t="shared" ref="F23:F28" si="0">E23/D23</f>
        <v>1.065691535398996</v>
      </c>
      <c r="G23" s="66">
        <f>D23+'2018FEB'!G23</f>
        <v>33408</v>
      </c>
      <c r="H23" s="66">
        <f>E23+'2018FEB'!H23</f>
        <v>36174</v>
      </c>
      <c r="I23" s="14">
        <f t="shared" ref="I23:I28" si="1">H23/G23</f>
        <v>1.0827945402298851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152">
        <f>SUM(D23:D23)</f>
        <v>11554</v>
      </c>
      <c r="E24" s="152">
        <f>SUM(E23:E23)</f>
        <v>12313</v>
      </c>
      <c r="F24" s="16">
        <f t="shared" si="0"/>
        <v>1.065691535398996</v>
      </c>
      <c r="G24" s="152">
        <f>SUM(G23:G23)</f>
        <v>33408</v>
      </c>
      <c r="H24" s="152">
        <f>SUM(H23:H23)</f>
        <v>36174</v>
      </c>
      <c r="I24" s="16">
        <f t="shared" si="1"/>
        <v>1.0827945402298851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65">
        <v>11520</v>
      </c>
      <c r="E25" s="154">
        <v>12601</v>
      </c>
      <c r="F25" s="14">
        <f t="shared" si="0"/>
        <v>1.0938368055555556</v>
      </c>
      <c r="G25" s="66">
        <f>D25+'2018FEB'!G25</f>
        <v>32640</v>
      </c>
      <c r="H25" s="66">
        <f>E25+'2018FEB'!H25</f>
        <v>35977</v>
      </c>
      <c r="I25" s="14">
        <f t="shared" si="1"/>
        <v>1.1022365196078432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65">
        <v>0</v>
      </c>
      <c r="E26" s="154">
        <v>0</v>
      </c>
      <c r="F26" s="14" t="e">
        <f t="shared" si="0"/>
        <v>#DIV/0!</v>
      </c>
      <c r="G26" s="146">
        <f>D26</f>
        <v>0</v>
      </c>
      <c r="H26" s="146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152">
        <f>SUM(D25:D26)</f>
        <v>11520</v>
      </c>
      <c r="E27" s="152">
        <f>SUM(E25:E26)</f>
        <v>12601</v>
      </c>
      <c r="F27" s="16">
        <f t="shared" si="0"/>
        <v>1.0938368055555556</v>
      </c>
      <c r="G27" s="152">
        <f>SUM(G25:G26)</f>
        <v>32640</v>
      </c>
      <c r="H27" s="152">
        <f>SUM(H25:H26)</f>
        <v>35977</v>
      </c>
      <c r="I27" s="16">
        <f t="shared" si="1"/>
        <v>1.1022365196078432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153">
        <f>SUM(D24,D27)</f>
        <v>23074</v>
      </c>
      <c r="E28" s="153">
        <f>SUM(E24,E27)</f>
        <v>24914</v>
      </c>
      <c r="F28" s="17">
        <f t="shared" si="0"/>
        <v>1.0797434341683281</v>
      </c>
      <c r="G28" s="153">
        <f>SUM(G24,G27)</f>
        <v>66048</v>
      </c>
      <c r="H28" s="153">
        <f>SUM(H24,H27)</f>
        <v>72151</v>
      </c>
      <c r="I28" s="17">
        <f t="shared" si="1"/>
        <v>1.0924024951550388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161</v>
      </c>
      <c r="C30" s="128" t="s">
        <v>29</v>
      </c>
      <c r="D30" s="65">
        <v>1000</v>
      </c>
      <c r="E30" s="154">
        <v>1081</v>
      </c>
      <c r="F30" s="14">
        <f>E30/D30</f>
        <v>1.081</v>
      </c>
      <c r="G30" s="66">
        <f>D30+'2018FEB'!G30</f>
        <v>3000</v>
      </c>
      <c r="H30" s="66">
        <f>E30+'2018FEB'!H30</f>
        <v>5239</v>
      </c>
      <c r="I30" s="14">
        <f>H30/G30</f>
        <v>1.7463333333333333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65">
        <v>0</v>
      </c>
      <c r="E31" s="154">
        <v>1053</v>
      </c>
      <c r="F31" s="14" t="e">
        <f t="shared" ref="F31:F47" si="2">E31/D31</f>
        <v>#DIV/0!</v>
      </c>
      <c r="G31" s="66">
        <f>D31+'2018FEB'!G31</f>
        <v>0</v>
      </c>
      <c r="H31" s="66">
        <f>E31+'2018FEB'!H31</f>
        <v>12108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152">
        <f>SUM(D30:D31)</f>
        <v>1000</v>
      </c>
      <c r="E32" s="152">
        <f>SUM(E30:E31)</f>
        <v>2134</v>
      </c>
      <c r="F32" s="14">
        <f t="shared" si="2"/>
        <v>2.1339999999999999</v>
      </c>
      <c r="G32" s="152">
        <f>SUM(G30:G31)</f>
        <v>3000</v>
      </c>
      <c r="H32" s="152">
        <f>SUM(H30:H31)</f>
        <v>17347</v>
      </c>
      <c r="I32" s="14">
        <f t="shared" si="3"/>
        <v>5.7823333333333338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65">
        <v>650</v>
      </c>
      <c r="E33" s="154">
        <v>1165</v>
      </c>
      <c r="F33" s="14">
        <f t="shared" si="2"/>
        <v>1.7923076923076924</v>
      </c>
      <c r="G33" s="66">
        <f>D33+'2018FEB'!G33</f>
        <v>1950</v>
      </c>
      <c r="H33" s="66">
        <f>E33+'2018FEB'!H33</f>
        <v>2449</v>
      </c>
      <c r="I33" s="14">
        <f t="shared" si="3"/>
        <v>1.255897435897436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151">
        <f>SUM(D32,D33)</f>
        <v>1650</v>
      </c>
      <c r="E34" s="151">
        <f>SUM(E32,E33)</f>
        <v>3299</v>
      </c>
      <c r="F34" s="14">
        <f t="shared" si="2"/>
        <v>1.9993939393939395</v>
      </c>
      <c r="G34" s="151">
        <f>SUM(G32,G33)</f>
        <v>4950</v>
      </c>
      <c r="H34" s="151">
        <f>SUM(H32,H33)</f>
        <v>19796</v>
      </c>
      <c r="I34" s="14">
        <f t="shared" si="3"/>
        <v>3.9991919191919192</v>
      </c>
      <c r="J34" s="534"/>
      <c r="K34" s="534"/>
      <c r="L34" s="534"/>
      <c r="M34" s="543"/>
    </row>
    <row r="35" spans="1:13">
      <c r="A35" s="573" t="s">
        <v>37</v>
      </c>
      <c r="B35" s="555" t="s">
        <v>38</v>
      </c>
      <c r="C35" s="18" t="s">
        <v>39</v>
      </c>
      <c r="D35" s="65">
        <v>36232</v>
      </c>
      <c r="E35" s="146">
        <v>0</v>
      </c>
      <c r="F35" s="14">
        <f t="shared" si="2"/>
        <v>0</v>
      </c>
      <c r="G35" s="66">
        <f>D35+'2018FEB'!G35</f>
        <v>108696</v>
      </c>
      <c r="H35" s="66">
        <f>E35+'2018FEB'!H35</f>
        <v>0</v>
      </c>
      <c r="I35" s="14">
        <f t="shared" si="3"/>
        <v>0</v>
      </c>
      <c r="J35" s="525"/>
      <c r="K35" s="525"/>
      <c r="L35" s="525"/>
      <c r="M35" s="552"/>
    </row>
    <row r="36" spans="1:13">
      <c r="A36" s="573"/>
      <c r="B36" s="555"/>
      <c r="C36" s="128" t="s">
        <v>40</v>
      </c>
      <c r="D36" s="146"/>
      <c r="E36" s="146"/>
      <c r="F36" s="14" t="e">
        <f t="shared" si="2"/>
        <v>#DIV/0!</v>
      </c>
      <c r="G36" s="146"/>
      <c r="H36" s="146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152">
        <f>SUM(D35:D36)</f>
        <v>36232</v>
      </c>
      <c r="E37" s="152">
        <f>SUM(E35:E36)</f>
        <v>0</v>
      </c>
      <c r="F37" s="16">
        <f t="shared" si="2"/>
        <v>0</v>
      </c>
      <c r="G37" s="155">
        <f>SUM(G35:G36)</f>
        <v>108696</v>
      </c>
      <c r="H37" s="155">
        <f>SUM(H35:H36)</f>
        <v>0</v>
      </c>
      <c r="I37" s="16">
        <f t="shared" si="3"/>
        <v>0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40</v>
      </c>
      <c r="D38" s="65">
        <v>1100</v>
      </c>
      <c r="E38" s="154">
        <v>0</v>
      </c>
      <c r="F38" s="14">
        <f t="shared" si="2"/>
        <v>0</v>
      </c>
      <c r="G38" s="66">
        <f>D38+'2018FEB'!G38</f>
        <v>3300</v>
      </c>
      <c r="H38" s="66">
        <f>E38+'2018FEB'!H38</f>
        <v>0</v>
      </c>
      <c r="I38" s="14">
        <f t="shared" si="3"/>
        <v>0</v>
      </c>
      <c r="J38" s="525"/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146"/>
      <c r="E39" s="146"/>
      <c r="F39" s="14" t="e">
        <f t="shared" si="2"/>
        <v>#DIV/0!</v>
      </c>
      <c r="G39" s="146"/>
      <c r="H39" s="146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152">
        <f>SUM(D38:D39)</f>
        <v>1100</v>
      </c>
      <c r="E40" s="152">
        <f>SUM(E38:E39)</f>
        <v>0</v>
      </c>
      <c r="F40" s="16">
        <f t="shared" si="2"/>
        <v>0</v>
      </c>
      <c r="G40" s="152">
        <f>SUM(G38:G39)</f>
        <v>3300</v>
      </c>
      <c r="H40" s="152">
        <f>SUM(H38:H39)</f>
        <v>0</v>
      </c>
      <c r="I40" s="16">
        <f t="shared" si="3"/>
        <v>0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151">
        <f>SUM(D37,D40)</f>
        <v>37332</v>
      </c>
      <c r="E41" s="151">
        <f>SUM(E37,E40)</f>
        <v>0</v>
      </c>
      <c r="F41" s="19">
        <f t="shared" si="2"/>
        <v>0</v>
      </c>
      <c r="G41" s="151">
        <f>SUM(G37,G40)</f>
        <v>111996</v>
      </c>
      <c r="H41" s="151">
        <f>SUM(H37,H40)</f>
        <v>0</v>
      </c>
      <c r="I41" s="19">
        <f t="shared" si="3"/>
        <v>0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67">
        <v>11000</v>
      </c>
      <c r="E42" s="76">
        <f>C140+E140+G140+I140</f>
        <v>30744</v>
      </c>
      <c r="F42" s="21">
        <f t="shared" si="2"/>
        <v>2.794909090909091</v>
      </c>
      <c r="G42" s="68">
        <f>D42+'2018FEB'!G42</f>
        <v>33000</v>
      </c>
      <c r="H42" s="77">
        <f>E42+'2018FEB'!H42</f>
        <v>70663</v>
      </c>
      <c r="I42" s="21">
        <f t="shared" si="3"/>
        <v>2.1413030303030305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67">
        <v>0</v>
      </c>
      <c r="E43" s="20">
        <v>0</v>
      </c>
      <c r="F43" s="21" t="e">
        <f t="shared" si="2"/>
        <v>#DIV/0!</v>
      </c>
      <c r="G43" s="68">
        <f>D43+'2018FEB'!G43</f>
        <v>0</v>
      </c>
      <c r="H43" s="68">
        <f>E43+'2018FEB'!H43</f>
        <v>0</v>
      </c>
      <c r="I43" s="21" t="e">
        <f t="shared" si="3"/>
        <v>#DIV/0!</v>
      </c>
      <c r="J43" s="572" t="s">
        <v>44</v>
      </c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67">
        <v>33500</v>
      </c>
      <c r="E44" s="20">
        <v>0</v>
      </c>
      <c r="F44" s="21">
        <f t="shared" si="2"/>
        <v>0</v>
      </c>
      <c r="G44" s="68">
        <f>D44+'2018FEB'!G44</f>
        <v>100500</v>
      </c>
      <c r="H44" s="68">
        <f>E44+'2018FEB'!H44</f>
        <v>99970</v>
      </c>
      <c r="I44" s="21">
        <f t="shared" si="3"/>
        <v>0.99472636815920401</v>
      </c>
      <c r="J44" s="570"/>
      <c r="K44" s="570"/>
      <c r="L44" s="570"/>
      <c r="M44" s="571"/>
    </row>
    <row r="45" spans="1:13" s="8" customFormat="1">
      <c r="A45" s="587" t="s">
        <v>46</v>
      </c>
      <c r="B45" s="588"/>
      <c r="C45" s="589"/>
      <c r="D45" s="150">
        <f>SUM(D28,D34,D41,D42:D44)</f>
        <v>106556</v>
      </c>
      <c r="E45" s="78">
        <f>SUM(E28,E34,E41,E42:E44)</f>
        <v>58957</v>
      </c>
      <c r="F45" s="22">
        <f t="shared" si="2"/>
        <v>0.55329591951649837</v>
      </c>
      <c r="G45" s="150">
        <f>SUM(G28,G34,G41,G42:G44)</f>
        <v>316494</v>
      </c>
      <c r="H45" s="150">
        <f>SUM(H28,H34,H41,H42:H44)</f>
        <v>262580</v>
      </c>
      <c r="I45" s="22">
        <f t="shared" si="3"/>
        <v>0.8296523788760608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150">
        <f>D45-D42</f>
        <v>95556</v>
      </c>
      <c r="E46" s="150">
        <f>E45-E42</f>
        <v>28213</v>
      </c>
      <c r="F46" s="22">
        <f t="shared" si="2"/>
        <v>0.295250952321152</v>
      </c>
      <c r="G46" s="150">
        <f>G45-G42</f>
        <v>283494</v>
      </c>
      <c r="H46" s="150">
        <f>H45-H42</f>
        <v>191917</v>
      </c>
      <c r="I46" s="22">
        <f t="shared" si="3"/>
        <v>0.67697023570163739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149">
        <f>D46-D44</f>
        <v>62056</v>
      </c>
      <c r="E47" s="149">
        <f>E46-E44</f>
        <v>28213</v>
      </c>
      <c r="F47" s="23">
        <f t="shared" si="2"/>
        <v>0.45463774655150185</v>
      </c>
      <c r="G47" s="149">
        <f>G46-G44</f>
        <v>182994</v>
      </c>
      <c r="H47" s="149">
        <f>H46-H44</f>
        <v>91947</v>
      </c>
      <c r="I47" s="23">
        <f t="shared" si="3"/>
        <v>0.50245909701957436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147" t="s">
        <v>23</v>
      </c>
      <c r="E52" s="147" t="s">
        <v>24</v>
      </c>
      <c r="F52" s="147" t="s">
        <v>25</v>
      </c>
      <c r="G52" s="147" t="s">
        <v>23</v>
      </c>
      <c r="H52" s="147" t="s">
        <v>24</v>
      </c>
      <c r="I52" s="147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12</v>
      </c>
      <c r="E53" s="154">
        <v>7</v>
      </c>
      <c r="F53" s="28">
        <f t="shared" ref="F53:F79" si="4">E53/D53</f>
        <v>0.58333333333333337</v>
      </c>
      <c r="G53" s="66">
        <f>D53+'2018FEB'!G53</f>
        <v>32</v>
      </c>
      <c r="H53" s="66">
        <f>E53+'2018FEB'!H53</f>
        <v>52</v>
      </c>
      <c r="I53" s="28">
        <f t="shared" ref="I53:I79" si="5">H53/G53</f>
        <v>1.625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300</v>
      </c>
      <c r="E54" s="154">
        <v>347</v>
      </c>
      <c r="F54" s="28">
        <f t="shared" si="4"/>
        <v>1.1566666666666667</v>
      </c>
      <c r="G54" s="66">
        <f>D54+'2018FEB'!G54</f>
        <v>900</v>
      </c>
      <c r="H54" s="66">
        <f>E54+'2018FEB'!H54</f>
        <v>988</v>
      </c>
      <c r="I54" s="28">
        <f t="shared" si="5"/>
        <v>1.0977777777777777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152">
        <f>SUM(D53:D54)</f>
        <v>312</v>
      </c>
      <c r="E55" s="152">
        <f>SUM(E53:E54)</f>
        <v>354</v>
      </c>
      <c r="F55" s="30">
        <f t="shared" si="4"/>
        <v>1.1346153846153846</v>
      </c>
      <c r="G55" s="152">
        <f>SUM(G53:G54)</f>
        <v>932</v>
      </c>
      <c r="H55" s="152">
        <f>SUM(H53:H54)</f>
        <v>1040</v>
      </c>
      <c r="I55" s="30">
        <f t="shared" si="5"/>
        <v>1.1158798283261802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40</v>
      </c>
      <c r="E56" s="154">
        <v>64</v>
      </c>
      <c r="F56" s="28">
        <f t="shared" si="4"/>
        <v>1.6</v>
      </c>
      <c r="G56" s="66">
        <f>D56+'2018FEB'!G56</f>
        <v>120</v>
      </c>
      <c r="H56" s="66">
        <f>E56+'2018FEB'!H56</f>
        <v>168</v>
      </c>
      <c r="I56" s="28">
        <f t="shared" si="5"/>
        <v>1.4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600</v>
      </c>
      <c r="E57" s="154">
        <v>752</v>
      </c>
      <c r="F57" s="28">
        <f t="shared" si="4"/>
        <v>1.2533333333333334</v>
      </c>
      <c r="G57" s="66">
        <f>D57+'2018FEB'!G57</f>
        <v>1800</v>
      </c>
      <c r="H57" s="66">
        <f>E57+'2018FEB'!H57</f>
        <v>2122</v>
      </c>
      <c r="I57" s="28">
        <f t="shared" si="5"/>
        <v>1.1788888888888889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144">
        <f>SUM(D56:D57)</f>
        <v>640</v>
      </c>
      <c r="E58" s="144">
        <f>SUM(E56:E57)</f>
        <v>816</v>
      </c>
      <c r="F58" s="28">
        <f t="shared" si="4"/>
        <v>1.2749999999999999</v>
      </c>
      <c r="G58" s="144">
        <f>SUM(G56:G57)</f>
        <v>1920</v>
      </c>
      <c r="H58" s="144">
        <f>SUM(H56:H57)</f>
        <v>2290</v>
      </c>
      <c r="I58" s="31">
        <f t="shared" si="5"/>
        <v>1.1927083333333333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140">
        <f>SUM(D53,D56)</f>
        <v>52</v>
      </c>
      <c r="E59" s="140">
        <f>SUM(E53,E56)</f>
        <v>71</v>
      </c>
      <c r="F59" s="32">
        <f t="shared" si="4"/>
        <v>1.3653846153846154</v>
      </c>
      <c r="G59" s="140">
        <f>SUM(G53,G56)</f>
        <v>152</v>
      </c>
      <c r="H59" s="140">
        <f>SUM(H53,H56)</f>
        <v>220</v>
      </c>
      <c r="I59" s="32">
        <f t="shared" si="5"/>
        <v>1.4473684210526316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140">
        <f>SUM(D54,D57)</f>
        <v>900</v>
      </c>
      <c r="E60" s="140">
        <f>SUM(E54,E57)</f>
        <v>1099</v>
      </c>
      <c r="F60" s="32">
        <f t="shared" si="4"/>
        <v>1.221111111111111</v>
      </c>
      <c r="G60" s="140">
        <f>SUM(G54,G57)</f>
        <v>2700</v>
      </c>
      <c r="H60" s="140">
        <f>SUM(H54,H57)</f>
        <v>3110</v>
      </c>
      <c r="I60" s="32">
        <f t="shared" si="5"/>
        <v>1.1518518518518519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148">
        <f>SUM(D59:D60)</f>
        <v>952</v>
      </c>
      <c r="E61" s="148">
        <f>SUM(E59:E60)</f>
        <v>1170</v>
      </c>
      <c r="F61" s="33">
        <f t="shared" si="4"/>
        <v>1.2289915966386555</v>
      </c>
      <c r="G61" s="148">
        <f>SUM(G59:G60)</f>
        <v>2852</v>
      </c>
      <c r="H61" s="148">
        <f>SUM(H59:H60)</f>
        <v>3330</v>
      </c>
      <c r="I61" s="33">
        <f t="shared" si="5"/>
        <v>1.1676016830294531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42</v>
      </c>
      <c r="E62" s="146">
        <f>E71/10</f>
        <v>24.3</v>
      </c>
      <c r="F62" s="28">
        <f t="shared" si="4"/>
        <v>0.57857142857142863</v>
      </c>
      <c r="G62" s="66">
        <f>D62+'2018FEB'!G62</f>
        <v>112</v>
      </c>
      <c r="H62" s="66">
        <f>E62+'2018FEB'!H62</f>
        <v>180.8</v>
      </c>
      <c r="I62" s="28">
        <f t="shared" si="5"/>
        <v>1.6142857142857143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65">
        <v>1044</v>
      </c>
      <c r="E63" s="146">
        <f>E72/10</f>
        <v>1207</v>
      </c>
      <c r="F63" s="28">
        <f t="shared" si="4"/>
        <v>1.1561302681992338</v>
      </c>
      <c r="G63" s="66">
        <f>D63+'2018FEB'!G63</f>
        <v>3132</v>
      </c>
      <c r="H63" s="66">
        <f>E63+'2018FEB'!H63</f>
        <v>3436.6000000000004</v>
      </c>
      <c r="I63" s="28">
        <f t="shared" si="5"/>
        <v>1.0972541507024267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1086</v>
      </c>
      <c r="E64" s="152">
        <f>SUM(E62:E63)</f>
        <v>1231.3</v>
      </c>
      <c r="F64" s="30">
        <f t="shared" si="4"/>
        <v>1.1337937384898711</v>
      </c>
      <c r="G64" s="152">
        <f>SUM(G62:G63)</f>
        <v>3244</v>
      </c>
      <c r="H64" s="152">
        <f>SUM(H62:H63)</f>
        <v>3617.4000000000005</v>
      </c>
      <c r="I64" s="30">
        <f t="shared" si="5"/>
        <v>1.1151048088779287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64</v>
      </c>
      <c r="E65" s="146">
        <f>E74/10</f>
        <v>68.3</v>
      </c>
      <c r="F65" s="28">
        <f t="shared" si="4"/>
        <v>1.0671875</v>
      </c>
      <c r="G65" s="66">
        <f>D65+'2018FEB'!G65</f>
        <v>192</v>
      </c>
      <c r="H65" s="66">
        <f>E65+'2018FEB'!H65</f>
        <v>207.8</v>
      </c>
      <c r="I65" s="28">
        <f t="shared" si="5"/>
        <v>1.0822916666666667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960</v>
      </c>
      <c r="E66" s="146">
        <f>E75/10</f>
        <v>1191.8</v>
      </c>
      <c r="F66" s="28">
        <f t="shared" si="4"/>
        <v>1.2414583333333333</v>
      </c>
      <c r="G66" s="66">
        <f>D66+'2018FEB'!G66</f>
        <v>2880</v>
      </c>
      <c r="H66" s="66">
        <f>E66+'2018FEB'!H66</f>
        <v>3389.8999999999996</v>
      </c>
      <c r="I66" s="28">
        <f t="shared" si="5"/>
        <v>1.1770486111111109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144">
        <f>SUM(D65:D66)</f>
        <v>1024</v>
      </c>
      <c r="E67" s="144">
        <f>SUM(E65:E66)</f>
        <v>1260.0999999999999</v>
      </c>
      <c r="F67" s="31">
        <f t="shared" si="4"/>
        <v>1.2305664062499999</v>
      </c>
      <c r="G67" s="144">
        <f>SUM(G65:G66)</f>
        <v>3072</v>
      </c>
      <c r="H67" s="144">
        <f>SUM(H65:H66)</f>
        <v>3597.7</v>
      </c>
      <c r="I67" s="31">
        <f t="shared" si="5"/>
        <v>1.1711263020833333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140">
        <f>SUM(D62,D65)</f>
        <v>106</v>
      </c>
      <c r="E68" s="140">
        <f>SUM(E62,E65)</f>
        <v>92.6</v>
      </c>
      <c r="F68" s="32">
        <f t="shared" si="4"/>
        <v>0.87358490566037728</v>
      </c>
      <c r="G68" s="140">
        <f>SUM(G62,G65)</f>
        <v>304</v>
      </c>
      <c r="H68" s="140">
        <f>SUM(H62,H65)</f>
        <v>388.6</v>
      </c>
      <c r="I68" s="32">
        <f t="shared" si="5"/>
        <v>1.2782894736842105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140">
        <f>SUM(D63,D66)</f>
        <v>2004</v>
      </c>
      <c r="E69" s="140">
        <f>SUM(E63,E66)</f>
        <v>2398.8000000000002</v>
      </c>
      <c r="F69" s="32">
        <f t="shared" si="4"/>
        <v>1.1970059880239521</v>
      </c>
      <c r="G69" s="140">
        <f>SUM(G63,G66)</f>
        <v>6012</v>
      </c>
      <c r="H69" s="140">
        <f>SUM(H63,H66)</f>
        <v>6826.5</v>
      </c>
      <c r="I69" s="32">
        <f t="shared" si="5"/>
        <v>1.1354790419161678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148">
        <f>SUM(D68:D69)</f>
        <v>2110</v>
      </c>
      <c r="E70" s="148">
        <f>SUM(E68:E69)</f>
        <v>2491.4</v>
      </c>
      <c r="F70" s="34">
        <f t="shared" si="4"/>
        <v>1.1807582938388625</v>
      </c>
      <c r="G70" s="148">
        <f>SUM(G68:G69)</f>
        <v>6316</v>
      </c>
      <c r="H70" s="148">
        <f>SUM(H68:H69)</f>
        <v>7215.1</v>
      </c>
      <c r="I70" s="34">
        <f t="shared" si="5"/>
        <v>1.1423527549081698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65">
        <v>1114</v>
      </c>
      <c r="E71" s="154">
        <v>243</v>
      </c>
      <c r="F71" s="28">
        <f t="shared" si="4"/>
        <v>0.21813285457809695</v>
      </c>
      <c r="G71" s="66">
        <f>D71+'2018FEB'!G71</f>
        <v>2088</v>
      </c>
      <c r="H71" s="66">
        <f>E71+'2018FEB'!H71</f>
        <v>1808</v>
      </c>
      <c r="I71" s="28">
        <f t="shared" si="5"/>
        <v>0.86590038314176243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65">
        <v>10440</v>
      </c>
      <c r="E72" s="155">
        <f>E23-E71</f>
        <v>12070</v>
      </c>
      <c r="F72" s="28">
        <f t="shared" si="4"/>
        <v>1.1561302681992338</v>
      </c>
      <c r="G72" s="66">
        <f>D72+'2018FEB'!G72</f>
        <v>31320</v>
      </c>
      <c r="H72" s="66">
        <f>E72+'2018FEB'!H72</f>
        <v>34366</v>
      </c>
      <c r="I72" s="28">
        <f t="shared" si="5"/>
        <v>1.0972541507024265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152">
        <f>SUM(D71:D72)</f>
        <v>11554</v>
      </c>
      <c r="E73" s="152">
        <f>SUM(E71:E72)</f>
        <v>12313</v>
      </c>
      <c r="F73" s="30">
        <f t="shared" si="4"/>
        <v>1.065691535398996</v>
      </c>
      <c r="G73" s="152">
        <f>SUM(G71:G72)</f>
        <v>33408</v>
      </c>
      <c r="H73" s="152">
        <f>SUM(H71:H72)</f>
        <v>36174</v>
      </c>
      <c r="I73" s="30">
        <f t="shared" si="5"/>
        <v>1.0827945402298851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65">
        <v>1920</v>
      </c>
      <c r="E74" s="154">
        <v>683</v>
      </c>
      <c r="F74" s="28">
        <f t="shared" si="4"/>
        <v>0.35572916666666665</v>
      </c>
      <c r="G74" s="66">
        <f>D74+'2018FEB'!G74</f>
        <v>3840</v>
      </c>
      <c r="H74" s="66">
        <f>E74+'2018FEB'!H74</f>
        <v>2078</v>
      </c>
      <c r="I74" s="28">
        <f t="shared" si="5"/>
        <v>0.54114583333333333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65">
        <v>9600</v>
      </c>
      <c r="E75" s="155">
        <f>E25-E74</f>
        <v>11918</v>
      </c>
      <c r="F75" s="28">
        <f t="shared" si="4"/>
        <v>1.2414583333333333</v>
      </c>
      <c r="G75" s="66">
        <f>D75+'2018FEB'!G75</f>
        <v>28800</v>
      </c>
      <c r="H75" s="66">
        <f>E75+'2018FEB'!H75</f>
        <v>33899</v>
      </c>
      <c r="I75" s="28">
        <f t="shared" si="5"/>
        <v>1.1770486111111111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144">
        <f>SUM(D74:D75)</f>
        <v>11520</v>
      </c>
      <c r="E76" s="144">
        <f>SUM(E74:E75)</f>
        <v>12601</v>
      </c>
      <c r="F76" s="31">
        <f t="shared" si="4"/>
        <v>1.0938368055555556</v>
      </c>
      <c r="G76" s="144">
        <f>SUM(G74:G75)</f>
        <v>32640</v>
      </c>
      <c r="H76" s="144">
        <f>SUM(H74:H75)</f>
        <v>35977</v>
      </c>
      <c r="I76" s="31">
        <f t="shared" si="5"/>
        <v>1.1022365196078432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140">
        <f>SUM(D71,D74)</f>
        <v>3034</v>
      </c>
      <c r="E77" s="140">
        <f>SUM(E71,E74)</f>
        <v>926</v>
      </c>
      <c r="F77" s="32">
        <f t="shared" si="4"/>
        <v>0.30520764667106132</v>
      </c>
      <c r="G77" s="140">
        <f>SUM(G71,G74)</f>
        <v>5928</v>
      </c>
      <c r="H77" s="140">
        <f>SUM(H71,H74)</f>
        <v>3886</v>
      </c>
      <c r="I77" s="32">
        <f t="shared" si="5"/>
        <v>0.65553306342780027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140">
        <f>SUM(D72,D75)</f>
        <v>20040</v>
      </c>
      <c r="E78" s="140">
        <f>SUM(E72,E75)</f>
        <v>23988</v>
      </c>
      <c r="F78" s="32">
        <f t="shared" si="4"/>
        <v>1.1970059880239521</v>
      </c>
      <c r="G78" s="140">
        <f>SUM(G72,G75)</f>
        <v>60120</v>
      </c>
      <c r="H78" s="140">
        <f>SUM(H72,H75)</f>
        <v>68265</v>
      </c>
      <c r="I78" s="32">
        <f t="shared" si="5"/>
        <v>1.1354790419161678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148">
        <f>SUM(D77:D78)</f>
        <v>23074</v>
      </c>
      <c r="E79" s="148">
        <f>SUM(E77:E78)</f>
        <v>24914</v>
      </c>
      <c r="F79" s="34">
        <f t="shared" si="4"/>
        <v>1.0797434341683281</v>
      </c>
      <c r="G79" s="148">
        <f>SUM(G77:G78)</f>
        <v>66048</v>
      </c>
      <c r="H79" s="148">
        <f>SUM(H77:H78)</f>
        <v>72151</v>
      </c>
      <c r="I79" s="34">
        <f t="shared" si="5"/>
        <v>1.0924024951550388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354</v>
      </c>
      <c r="E87" s="130"/>
      <c r="F87" s="134">
        <f>D87+'2018FEB'!F87</f>
        <v>1040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7</v>
      </c>
      <c r="E88" s="128"/>
      <c r="F88" s="134">
        <f>D88+'2018FEB'!F88</f>
        <v>52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3</v>
      </c>
      <c r="E89" s="128">
        <f>D89/D87</f>
        <v>8.4745762711864406E-3</v>
      </c>
      <c r="F89" s="134">
        <f>D89+'2018FEB'!F89</f>
        <v>3</v>
      </c>
      <c r="G89" s="128">
        <f>F89/F87</f>
        <v>2.8846153846153848E-3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94</v>
      </c>
      <c r="E90" s="128">
        <f>D90/D92</f>
        <v>0.40692640692640691</v>
      </c>
      <c r="F90" s="134">
        <f>D90+'2018FEB'!F90</f>
        <v>104</v>
      </c>
      <c r="G90" s="128">
        <f>F90/F92</f>
        <v>0.19366852886405958</v>
      </c>
      <c r="H90" s="128"/>
    </row>
    <row r="91" spans="1:13" ht="15" customHeight="1">
      <c r="A91" s="774"/>
      <c r="B91" s="775" t="s">
        <v>202</v>
      </c>
      <c r="C91" s="775"/>
      <c r="D91" s="131">
        <f>'2018FEB'!D92</f>
        <v>144</v>
      </c>
      <c r="E91" s="128">
        <f>D91/D92</f>
        <v>0.62337662337662336</v>
      </c>
      <c r="F91" s="134">
        <f>D91+'2018FEB'!F91</f>
        <v>489</v>
      </c>
      <c r="G91" s="128">
        <f>F91/F92</f>
        <v>0.91061452513966479</v>
      </c>
      <c r="H91" s="128"/>
    </row>
    <row r="92" spans="1:13" ht="15" customHeight="1">
      <c r="A92" s="774"/>
      <c r="B92" s="775" t="s">
        <v>203</v>
      </c>
      <c r="C92" s="775"/>
      <c r="D92" s="131">
        <v>231</v>
      </c>
      <c r="E92" s="130"/>
      <c r="F92" s="134">
        <f>D92+'2018FEB'!F92</f>
        <v>537</v>
      </c>
      <c r="G92" s="130"/>
      <c r="H92" s="128"/>
    </row>
    <row r="93" spans="1:13">
      <c r="C93" s="126" t="s">
        <v>210</v>
      </c>
      <c r="D93" s="132">
        <v>584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147" t="s">
        <v>23</v>
      </c>
      <c r="E97" s="147" t="s">
        <v>24</v>
      </c>
      <c r="F97" s="147" t="s">
        <v>25</v>
      </c>
      <c r="G97" s="147" t="s">
        <v>23</v>
      </c>
      <c r="H97" s="147" t="s">
        <v>24</v>
      </c>
      <c r="I97" s="147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154">
        <v>0</v>
      </c>
      <c r="F98" s="37" t="e">
        <f>E98/D98</f>
        <v>#DIV/0!</v>
      </c>
      <c r="G98" s="66">
        <f>D98+'2018FEB'!G98</f>
        <v>0</v>
      </c>
      <c r="H98" s="66">
        <f>E98+'2018FEB'!H98</f>
        <v>1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41</v>
      </c>
      <c r="E99" s="154">
        <v>42</v>
      </c>
      <c r="F99" s="28">
        <f t="shared" ref="F99:F115" si="6">E99/D99</f>
        <v>1.024390243902439</v>
      </c>
      <c r="G99" s="66">
        <f>D99+'2018FEB'!G99</f>
        <v>123</v>
      </c>
      <c r="H99" s="66">
        <f>E99+'2018FEB'!H99</f>
        <v>125</v>
      </c>
      <c r="I99" s="28">
        <f t="shared" ref="I99:I115" si="7">H99/G99</f>
        <v>1.0162601626016261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152">
        <f>SUM(D98:D99)</f>
        <v>41</v>
      </c>
      <c r="E100" s="152">
        <f>SUM(E98:E99)</f>
        <v>42</v>
      </c>
      <c r="F100" s="30">
        <f t="shared" si="6"/>
        <v>1.024390243902439</v>
      </c>
      <c r="G100" s="152">
        <f>SUM(G98:G99)</f>
        <v>123</v>
      </c>
      <c r="H100" s="152">
        <f>SUM(H98:H99)</f>
        <v>126</v>
      </c>
      <c r="I100" s="30">
        <f t="shared" si="7"/>
        <v>1.024390243902439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154">
        <v>0</v>
      </c>
      <c r="F101" s="28" t="e">
        <f t="shared" si="6"/>
        <v>#DIV/0!</v>
      </c>
      <c r="G101" s="66">
        <f>D101+'2018FEB'!G101</f>
        <v>0</v>
      </c>
      <c r="H101" s="66">
        <f>E101+'2018FEB'!H101</f>
        <v>0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11</v>
      </c>
      <c r="E102" s="154">
        <v>10</v>
      </c>
      <c r="F102" s="28">
        <f t="shared" si="6"/>
        <v>0.90909090909090906</v>
      </c>
      <c r="G102" s="66">
        <f>D102+'2018FEB'!G102</f>
        <v>33</v>
      </c>
      <c r="H102" s="66">
        <f>E102+'2018FEB'!H102</f>
        <v>31</v>
      </c>
      <c r="I102" s="28">
        <f t="shared" si="7"/>
        <v>0.93939393939393945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152">
        <f>SUM(D101:D102)</f>
        <v>11</v>
      </c>
      <c r="E103" s="152">
        <f>SUM(E101:E102)</f>
        <v>10</v>
      </c>
      <c r="F103" s="30">
        <f t="shared" si="6"/>
        <v>0.90909090909090906</v>
      </c>
      <c r="G103" s="152">
        <f>SUM(G101:G102)</f>
        <v>33</v>
      </c>
      <c r="H103" s="152">
        <f>SUM(H101:H102)</f>
        <v>31</v>
      </c>
      <c r="I103" s="30">
        <f t="shared" si="7"/>
        <v>0.93939393939393945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0</v>
      </c>
      <c r="E104" s="154">
        <v>0</v>
      </c>
      <c r="F104" s="28" t="e">
        <f t="shared" si="6"/>
        <v>#DIV/0!</v>
      </c>
      <c r="G104" s="66">
        <f>D104+'2018FEB'!G104</f>
        <v>0</v>
      </c>
      <c r="H104" s="66">
        <f>E104+'2018FEB'!H104</f>
        <v>0</v>
      </c>
      <c r="I104" s="28" t="e">
        <f t="shared" si="7"/>
        <v>#DIV/0!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63</v>
      </c>
      <c r="E105" s="154">
        <v>58</v>
      </c>
      <c r="F105" s="28">
        <f t="shared" si="6"/>
        <v>0.92063492063492058</v>
      </c>
      <c r="G105" s="66">
        <f>D105+'2018FEB'!G105</f>
        <v>189</v>
      </c>
      <c r="H105" s="66">
        <f>E105+'2018FEB'!H105</f>
        <v>178</v>
      </c>
      <c r="I105" s="28">
        <f t="shared" si="7"/>
        <v>0.94179894179894175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152">
        <f>SUM(D104:D105)</f>
        <v>63</v>
      </c>
      <c r="E106" s="152">
        <f>SUM(E104:E105)</f>
        <v>58</v>
      </c>
      <c r="F106" s="30">
        <f t="shared" si="6"/>
        <v>0.92063492063492058</v>
      </c>
      <c r="G106" s="152">
        <f>SUM(G104:G105)</f>
        <v>189</v>
      </c>
      <c r="H106" s="152">
        <f>SUM(H104:H105)</f>
        <v>178</v>
      </c>
      <c r="I106" s="30">
        <f t="shared" si="7"/>
        <v>0.94179894179894175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2</v>
      </c>
      <c r="E107" s="154">
        <v>3</v>
      </c>
      <c r="F107" s="28">
        <f>E107/D107</f>
        <v>1.5</v>
      </c>
      <c r="G107" s="66">
        <f>D107+'2018FEB'!G107</f>
        <v>4</v>
      </c>
      <c r="H107" s="66">
        <f>E107+'2018FEB'!H107</f>
        <v>3</v>
      </c>
      <c r="I107" s="28">
        <f>H107/G107</f>
        <v>0.75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102</v>
      </c>
      <c r="E108" s="154">
        <v>98</v>
      </c>
      <c r="F108" s="28">
        <f>E108/D108</f>
        <v>0.96078431372549022</v>
      </c>
      <c r="G108" s="66">
        <f>D108+'2018FEB'!G108</f>
        <v>302</v>
      </c>
      <c r="H108" s="66">
        <f>E108+'2018FEB'!H108</f>
        <v>299</v>
      </c>
      <c r="I108" s="28">
        <f t="shared" si="7"/>
        <v>0.99006622516556286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152">
        <f>SUM(D107:D108)</f>
        <v>104</v>
      </c>
      <c r="E109" s="152">
        <f>SUM(E107:E108)</f>
        <v>101</v>
      </c>
      <c r="F109" s="30">
        <f t="shared" si="6"/>
        <v>0.97115384615384615</v>
      </c>
      <c r="G109" s="152">
        <f>SUM(G107:G108)</f>
        <v>306</v>
      </c>
      <c r="H109" s="152">
        <f>SUM(H107:H108)</f>
        <v>302</v>
      </c>
      <c r="I109" s="30">
        <f t="shared" si="7"/>
        <v>0.98692810457516345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8</v>
      </c>
      <c r="E110" s="154">
        <v>3</v>
      </c>
      <c r="F110" s="30">
        <f>E110/D110</f>
        <v>0.375</v>
      </c>
      <c r="G110" s="66">
        <f>D110+'2018FEB'!G110</f>
        <v>24</v>
      </c>
      <c r="H110" s="66">
        <f>E110+'2018FEB'!H110</f>
        <v>33</v>
      </c>
      <c r="I110" s="30">
        <f>H110/G110</f>
        <v>1.375</v>
      </c>
      <c r="J110" s="141"/>
      <c r="K110" s="142"/>
      <c r="L110" s="142"/>
      <c r="M110" s="143"/>
    </row>
    <row r="111" spans="1:13">
      <c r="A111" s="573"/>
      <c r="B111" s="777"/>
      <c r="C111" s="27" t="s">
        <v>70</v>
      </c>
      <c r="D111" s="65">
        <v>16</v>
      </c>
      <c r="E111" s="154">
        <v>34</v>
      </c>
      <c r="F111" s="30">
        <f t="shared" ref="F111:F112" si="8">E111/D111</f>
        <v>2.125</v>
      </c>
      <c r="G111" s="66">
        <f>D111+'2018FEB'!G111</f>
        <v>24</v>
      </c>
      <c r="H111" s="66">
        <f>E111+'2018FEB'!H111</f>
        <v>56</v>
      </c>
      <c r="I111" s="30">
        <f t="shared" ref="I111:I112" si="9">H111/G111</f>
        <v>2.3333333333333335</v>
      </c>
      <c r="J111" s="141"/>
      <c r="K111" s="142"/>
      <c r="L111" s="142"/>
      <c r="M111" s="143"/>
    </row>
    <row r="112" spans="1:13">
      <c r="A112" s="573"/>
      <c r="B112" s="778"/>
      <c r="C112" s="38" t="s">
        <v>166</v>
      </c>
      <c r="D112" s="152">
        <f>SUM(D110:D111)</f>
        <v>24</v>
      </c>
      <c r="E112" s="152">
        <f>SUM(E110:E111)</f>
        <v>37</v>
      </c>
      <c r="F112" s="30">
        <f t="shared" si="8"/>
        <v>1.5416666666666667</v>
      </c>
      <c r="G112" s="152">
        <f>SUM(G110:G111)</f>
        <v>48</v>
      </c>
      <c r="H112" s="152">
        <f>SUM(H110:H111)</f>
        <v>89</v>
      </c>
      <c r="I112" s="30">
        <f t="shared" si="9"/>
        <v>1.8541666666666667</v>
      </c>
      <c r="J112" s="141"/>
      <c r="K112" s="142"/>
      <c r="L112" s="142"/>
      <c r="M112" s="143"/>
    </row>
    <row r="113" spans="1:13">
      <c r="A113" s="573"/>
      <c r="B113" s="603" t="s">
        <v>46</v>
      </c>
      <c r="C113" s="39" t="s">
        <v>69</v>
      </c>
      <c r="D113" s="144">
        <f>SUM(D98,D101,D104,D107,D110)</f>
        <v>10</v>
      </c>
      <c r="E113" s="144">
        <f>SUM(E98,E101,E104,E107,E110)</f>
        <v>6</v>
      </c>
      <c r="F113" s="31">
        <f t="shared" si="6"/>
        <v>0.6</v>
      </c>
      <c r="G113" s="144">
        <f>SUM(G98,G101,G104,G107,G110)</f>
        <v>28</v>
      </c>
      <c r="H113" s="144">
        <f>SUM(H98,H101,H104,H107,H110)</f>
        <v>37</v>
      </c>
      <c r="I113" s="31">
        <f t="shared" si="7"/>
        <v>1.3214285714285714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144">
        <f>SUM(D99,D102,D105,D108,D111)</f>
        <v>233</v>
      </c>
      <c r="E114" s="144">
        <f>SUM(E99,E102,E105,E108,E111)</f>
        <v>242</v>
      </c>
      <c r="F114" s="31">
        <f t="shared" si="6"/>
        <v>1.03862660944206</v>
      </c>
      <c r="G114" s="144">
        <f>SUM(G99,G102,G105,G108,G111)</f>
        <v>671</v>
      </c>
      <c r="H114" s="144">
        <f>SUM(H99,H102,H105,H108,H111)</f>
        <v>689</v>
      </c>
      <c r="I114" s="31">
        <f t="shared" si="7"/>
        <v>1.0268256333830104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145">
        <f>SUM(D113:D114)</f>
        <v>243</v>
      </c>
      <c r="E115" s="145">
        <f>SUM(E113:E114)</f>
        <v>248</v>
      </c>
      <c r="F115" s="41">
        <f t="shared" si="6"/>
        <v>1.0205761316872428</v>
      </c>
      <c r="G115" s="145">
        <f>SUM(G113:G114)</f>
        <v>699</v>
      </c>
      <c r="H115" s="145">
        <f>SUM(H113:H114)</f>
        <v>726</v>
      </c>
      <c r="I115" s="41">
        <f t="shared" si="7"/>
        <v>1.03862660944206</v>
      </c>
      <c r="J115" s="625"/>
      <c r="K115" s="626"/>
      <c r="L115" s="626"/>
      <c r="M115" s="627"/>
    </row>
    <row r="116" spans="1:13" ht="14" thickBot="1">
      <c r="A116" s="617" t="s">
        <v>75</v>
      </c>
      <c r="B116" s="619" t="s">
        <v>76</v>
      </c>
      <c r="C116" s="42" t="s">
        <v>69</v>
      </c>
      <c r="D116" s="69">
        <v>2</v>
      </c>
      <c r="E116" s="64">
        <v>0</v>
      </c>
      <c r="F116" s="43">
        <f>E116/D116</f>
        <v>0</v>
      </c>
      <c r="G116" s="70">
        <f>D116+'2018FEB'!G116</f>
        <v>4</v>
      </c>
      <c r="H116" s="70">
        <f>E116+'2018FEB'!H116</f>
        <v>10</v>
      </c>
      <c r="I116" s="43">
        <f>H116/G116</f>
        <v>2.5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50</v>
      </c>
      <c r="E117" s="154">
        <v>58</v>
      </c>
      <c r="F117" s="28">
        <f t="shared" ref="F117:F126" si="10">E117/D117</f>
        <v>1.1599999999999999</v>
      </c>
      <c r="G117" s="70">
        <f>D117+'2018FEB'!G117</f>
        <v>146</v>
      </c>
      <c r="H117" s="71">
        <f>E117+'2018FEB'!H117</f>
        <v>165</v>
      </c>
      <c r="I117" s="28">
        <f t="shared" ref="I117:I126" si="11">H117/G117</f>
        <v>1.1301369863013699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152">
        <f>SUM(D116:D117)</f>
        <v>52</v>
      </c>
      <c r="E118" s="152">
        <f>SUM(E116:E117)</f>
        <v>58</v>
      </c>
      <c r="F118" s="30">
        <f t="shared" si="10"/>
        <v>1.1153846153846154</v>
      </c>
      <c r="G118" s="152">
        <f>SUM(G116:G117)</f>
        <v>150</v>
      </c>
      <c r="H118" s="152">
        <f>SUM(H116:H117)</f>
        <v>175</v>
      </c>
      <c r="I118" s="30">
        <f t="shared" si="11"/>
        <v>1.1666666666666667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154">
        <v>1</v>
      </c>
      <c r="F119" s="28" t="e">
        <f t="shared" si="10"/>
        <v>#DIV/0!</v>
      </c>
      <c r="G119" s="66">
        <f>D119+'2018FEB'!G119</f>
        <v>0</v>
      </c>
      <c r="H119" s="66">
        <f>E119+'2018FEB'!H119</f>
        <v>5</v>
      </c>
      <c r="I119" s="28" t="e">
        <f t="shared" si="11"/>
        <v>#DIV/0!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37</v>
      </c>
      <c r="E120" s="154">
        <v>47</v>
      </c>
      <c r="F120" s="28">
        <f t="shared" si="10"/>
        <v>1.2702702702702702</v>
      </c>
      <c r="G120" s="66">
        <f>D120+'2018FEB'!G120</f>
        <v>111</v>
      </c>
      <c r="H120" s="66">
        <f>E120+'2018FEB'!H120</f>
        <v>134</v>
      </c>
      <c r="I120" s="28">
        <f t="shared" si="11"/>
        <v>1.2072072072072073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152">
        <f>SUM(D119:D120)</f>
        <v>37</v>
      </c>
      <c r="E121" s="152">
        <f>SUM(E119:E120)</f>
        <v>48</v>
      </c>
      <c r="F121" s="30">
        <f t="shared" si="10"/>
        <v>1.2972972972972974</v>
      </c>
      <c r="G121" s="152">
        <f>SUM(G119:G120)</f>
        <v>111</v>
      </c>
      <c r="H121" s="152">
        <f>SUM(H119:H120)</f>
        <v>139</v>
      </c>
      <c r="I121" s="30">
        <f t="shared" si="11"/>
        <v>1.2522522522522523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144">
        <f>SUM(D116,D119)</f>
        <v>2</v>
      </c>
      <c r="E122" s="144">
        <f>SUM(E116,E119)</f>
        <v>1</v>
      </c>
      <c r="F122" s="30">
        <f t="shared" si="10"/>
        <v>0.5</v>
      </c>
      <c r="G122" s="144">
        <f>SUM(G116,G119)</f>
        <v>4</v>
      </c>
      <c r="H122" s="144">
        <f>SUM(H116,H119)</f>
        <v>15</v>
      </c>
      <c r="I122" s="30">
        <f t="shared" si="11"/>
        <v>3.75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144">
        <f>SUM(D117,D120)</f>
        <v>87</v>
      </c>
      <c r="E123" s="144">
        <f>SUM(E117,E120)</f>
        <v>105</v>
      </c>
      <c r="F123" s="30">
        <f t="shared" si="10"/>
        <v>1.2068965517241379</v>
      </c>
      <c r="G123" s="144">
        <f>SUM(G117,G120)</f>
        <v>257</v>
      </c>
      <c r="H123" s="144">
        <f>SUM(H117,H120)</f>
        <v>299</v>
      </c>
      <c r="I123" s="30">
        <f t="shared" si="11"/>
        <v>1.1634241245136188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145">
        <f>SUM(D122:D123)</f>
        <v>89</v>
      </c>
      <c r="E124" s="145">
        <f>SUM(E122:E123)</f>
        <v>106</v>
      </c>
      <c r="F124" s="41">
        <f t="shared" si="10"/>
        <v>1.1910112359550562</v>
      </c>
      <c r="G124" s="145">
        <f>SUM(G122:G123)</f>
        <v>261</v>
      </c>
      <c r="H124" s="145">
        <f>SUM(H122:H123)</f>
        <v>314</v>
      </c>
      <c r="I124" s="41">
        <f t="shared" si="11"/>
        <v>1.2030651340996168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139">
        <f>SUM(D113,D122)</f>
        <v>12</v>
      </c>
      <c r="E125" s="139">
        <f>SUM(E113,E122)</f>
        <v>7</v>
      </c>
      <c r="F125" s="45">
        <f t="shared" si="10"/>
        <v>0.58333333333333337</v>
      </c>
      <c r="G125" s="46">
        <f>SUM(G113,G122)</f>
        <v>32</v>
      </c>
      <c r="H125" s="46">
        <f>SUM(H113,H122)</f>
        <v>52</v>
      </c>
      <c r="I125" s="45">
        <f t="shared" si="11"/>
        <v>1.625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140">
        <f>SUM(D114,D123)</f>
        <v>320</v>
      </c>
      <c r="E126" s="140">
        <f>SUM(E114,E123)</f>
        <v>347</v>
      </c>
      <c r="F126" s="32">
        <f t="shared" si="10"/>
        <v>1.0843750000000001</v>
      </c>
      <c r="G126" s="140">
        <f>SUM(G114,G123)</f>
        <v>928</v>
      </c>
      <c r="H126" s="140">
        <f>SUM(H114,H123)</f>
        <v>988</v>
      </c>
      <c r="I126" s="32">
        <f t="shared" si="11"/>
        <v>1.0646551724137931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140">
        <f>SUM(D125:D126)</f>
        <v>332</v>
      </c>
      <c r="E127" s="140">
        <f>SUM(E125:E126)</f>
        <v>354</v>
      </c>
      <c r="F127" s="49">
        <f>E127/D127</f>
        <v>1.0662650602409638</v>
      </c>
      <c r="G127" s="139">
        <f>SUM(G125:G126)</f>
        <v>960</v>
      </c>
      <c r="H127" s="139">
        <f>SUM(H125:H126)</f>
        <v>1040</v>
      </c>
      <c r="I127" s="49">
        <f>H127/G127</f>
        <v>1.0833333333333333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148</v>
      </c>
      <c r="J134" s="631"/>
      <c r="K134" s="632"/>
      <c r="L134" s="634"/>
    </row>
    <row r="135" spans="1:12">
      <c r="A135" s="628" t="s">
        <v>91</v>
      </c>
      <c r="B135" s="629"/>
      <c r="C135" s="649">
        <v>0</v>
      </c>
      <c r="D135" s="650"/>
      <c r="E135" s="649">
        <v>23</v>
      </c>
      <c r="F135" s="650"/>
      <c r="G135" s="649">
        <v>6</v>
      </c>
      <c r="H135" s="650"/>
      <c r="I135" s="649">
        <v>6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138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138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138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138" t="s">
        <v>99</v>
      </c>
      <c r="C140" s="656">
        <v>0</v>
      </c>
      <c r="D140" s="656"/>
      <c r="E140" s="656">
        <v>352</v>
      </c>
      <c r="F140" s="656"/>
      <c r="G140" s="656">
        <v>564</v>
      </c>
      <c r="H140" s="656"/>
      <c r="I140" s="770">
        <v>29828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206</v>
      </c>
      <c r="D145" s="663"/>
      <c r="E145" s="664"/>
      <c r="F145" s="662" t="s">
        <v>137</v>
      </c>
      <c r="G145" s="663"/>
      <c r="H145" s="663"/>
      <c r="I145" s="664"/>
      <c r="J145" s="663" t="s">
        <v>207</v>
      </c>
      <c r="K145" s="663"/>
      <c r="L145" s="663"/>
      <c r="M145" s="665"/>
    </row>
    <row r="146" spans="1:13" ht="35.25" customHeight="1">
      <c r="A146" s="716" t="s">
        <v>103</v>
      </c>
      <c r="B146" s="717"/>
      <c r="C146" s="722"/>
      <c r="D146" s="723"/>
      <c r="E146" s="724"/>
      <c r="F146" s="744" t="s">
        <v>208</v>
      </c>
      <c r="G146" s="748"/>
      <c r="H146" s="748"/>
      <c r="I146" s="749"/>
      <c r="J146" s="745"/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151</v>
      </c>
      <c r="D148" s="719"/>
      <c r="E148" s="720"/>
      <c r="F148" s="744" t="s">
        <v>151</v>
      </c>
      <c r="G148" s="745"/>
      <c r="H148" s="745"/>
      <c r="I148" s="746"/>
      <c r="J148" s="744" t="s">
        <v>151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 t="s">
        <v>209</v>
      </c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136" t="s">
        <v>109</v>
      </c>
      <c r="C154" s="136" t="s">
        <v>110</v>
      </c>
      <c r="D154" s="136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>
        <f>E44</f>
        <v>0</v>
      </c>
      <c r="B155" s="124">
        <f>'2018FEB'!H155</f>
        <v>64805</v>
      </c>
      <c r="C155" s="63">
        <f>E45-E44</f>
        <v>58957</v>
      </c>
      <c r="D155" s="73">
        <v>73423</v>
      </c>
      <c r="E155" s="681" t="s">
        <v>114</v>
      </c>
      <c r="F155" s="681"/>
      <c r="G155" s="681"/>
      <c r="H155" s="72">
        <f>C155+A155+B155-D155</f>
        <v>50339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13540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155">
        <v>10</v>
      </c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18261</v>
      </c>
      <c r="H165" s="790"/>
      <c r="I165" s="791"/>
      <c r="J165" s="791"/>
      <c r="K165" s="792"/>
    </row>
    <row r="166" spans="1:11" ht="14">
      <c r="A166" s="135" t="s">
        <v>126</v>
      </c>
      <c r="B166" s="789" t="s">
        <v>127</v>
      </c>
      <c r="C166" s="789"/>
      <c r="D166" s="789"/>
      <c r="E166" s="789"/>
      <c r="F166" s="789"/>
      <c r="G166" s="154">
        <v>1899</v>
      </c>
      <c r="H166" s="790"/>
      <c r="I166" s="791"/>
      <c r="J166" s="791"/>
      <c r="K166" s="792"/>
    </row>
    <row r="167" spans="1:11" ht="14">
      <c r="A167" s="135" t="s">
        <v>128</v>
      </c>
      <c r="B167" s="789" t="s">
        <v>129</v>
      </c>
      <c r="C167" s="789"/>
      <c r="D167" s="789"/>
      <c r="E167" s="789"/>
      <c r="F167" s="789"/>
      <c r="G167" s="155"/>
      <c r="H167" s="790"/>
      <c r="I167" s="791"/>
      <c r="J167" s="791"/>
      <c r="K167" s="792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L3" xr:uid="{00000000-0002-0000-0F00-000000000000}">
      <formula1>"USA, JAPAN"</formula1>
    </dataValidation>
    <dataValidation type="list" allowBlank="1" showInputMessage="1" showErrorMessage="1" sqref="G1" xr:uid="{00000000-0002-0000-0F00-000001000000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pageSetUpPr fitToPage="1"/>
  </sheetPr>
  <dimension ref="A1:N167"/>
  <sheetViews>
    <sheetView topLeftCell="A146" zoomScale="89" zoomScaleNormal="89" zoomScaleSheetLayoutView="85" workbookViewId="0">
      <selection activeCell="M165" sqref="M16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141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>
        <v>43231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157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156" t="s">
        <v>176</v>
      </c>
      <c r="C10" s="61">
        <v>2</v>
      </c>
      <c r="D10" s="159">
        <v>2</v>
      </c>
      <c r="E10" s="538" t="s">
        <v>182</v>
      </c>
      <c r="F10" s="538"/>
      <c r="G10" s="538"/>
      <c r="H10" s="538"/>
      <c r="I10" s="539"/>
    </row>
    <row r="11" spans="1:13">
      <c r="A11" s="537"/>
      <c r="B11" s="156" t="s">
        <v>177</v>
      </c>
      <c r="C11" s="61">
        <v>2</v>
      </c>
      <c r="D11" s="159">
        <v>2</v>
      </c>
      <c r="E11" s="540" t="s">
        <v>183</v>
      </c>
      <c r="F11" s="541"/>
      <c r="G11" s="541"/>
      <c r="H11" s="541"/>
      <c r="I11" s="542"/>
    </row>
    <row r="12" spans="1:13">
      <c r="A12" s="537"/>
      <c r="B12" s="156" t="s">
        <v>179</v>
      </c>
      <c r="C12" s="61">
        <v>2</v>
      </c>
      <c r="D12" s="159">
        <v>1</v>
      </c>
      <c r="E12" s="768" t="s">
        <v>184</v>
      </c>
      <c r="F12" s="538"/>
      <c r="G12" s="538"/>
      <c r="H12" s="538"/>
      <c r="I12" s="539"/>
    </row>
    <row r="13" spans="1:13">
      <c r="A13" s="537"/>
      <c r="B13" s="156" t="s">
        <v>180</v>
      </c>
      <c r="C13" s="61">
        <v>3</v>
      </c>
      <c r="D13" s="159">
        <v>1</v>
      </c>
      <c r="E13" s="538" t="s">
        <v>212</v>
      </c>
      <c r="F13" s="538"/>
      <c r="G13" s="538"/>
      <c r="H13" s="538"/>
      <c r="I13" s="539"/>
    </row>
    <row r="14" spans="1:13">
      <c r="A14" s="537"/>
      <c r="B14" s="156" t="s">
        <v>12</v>
      </c>
      <c r="C14" s="61">
        <v>0</v>
      </c>
      <c r="D14" s="159">
        <v>0</v>
      </c>
      <c r="E14" s="540"/>
      <c r="F14" s="541"/>
      <c r="G14" s="541"/>
      <c r="H14" s="541"/>
      <c r="I14" s="542"/>
    </row>
    <row r="15" spans="1:13">
      <c r="A15" s="537"/>
      <c r="B15" s="156" t="s">
        <v>13</v>
      </c>
      <c r="C15" s="61">
        <v>2</v>
      </c>
      <c r="D15" s="159">
        <v>0</v>
      </c>
      <c r="E15" s="768"/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6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132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158" t="s">
        <v>23</v>
      </c>
      <c r="E21" s="158" t="s">
        <v>24</v>
      </c>
      <c r="F21" s="158" t="s">
        <v>25</v>
      </c>
      <c r="G21" s="158" t="s">
        <v>23</v>
      </c>
      <c r="H21" s="158" t="s">
        <v>24</v>
      </c>
      <c r="I21" s="158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177">
        <v>11971</v>
      </c>
      <c r="E23" s="159">
        <v>12452</v>
      </c>
      <c r="F23" s="14">
        <f t="shared" ref="F23:F28" si="0">E23/D23</f>
        <v>1.0401804360537967</v>
      </c>
      <c r="G23" s="179">
        <f>D23+'2018MAR'!G23</f>
        <v>45379</v>
      </c>
      <c r="H23" s="66">
        <f>E23+'2018MAR'!H23</f>
        <v>48626</v>
      </c>
      <c r="I23" s="14">
        <f t="shared" ref="I23:I28" si="1">H23/G23</f>
        <v>1.0715529209546266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160">
        <f>SUM(D23:D23)</f>
        <v>11971</v>
      </c>
      <c r="E24" s="160">
        <f>SUM(E23:E23)</f>
        <v>12452</v>
      </c>
      <c r="F24" s="16">
        <f t="shared" si="0"/>
        <v>1.0401804360537967</v>
      </c>
      <c r="G24" s="160">
        <f>SUM(G23:G23)</f>
        <v>45379</v>
      </c>
      <c r="H24" s="160">
        <f>SUM(H23:H23)</f>
        <v>48626</v>
      </c>
      <c r="I24" s="16">
        <f t="shared" si="1"/>
        <v>1.0715529209546266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177">
        <v>12160</v>
      </c>
      <c r="E25" s="159">
        <v>12857</v>
      </c>
      <c r="F25" s="14">
        <f t="shared" si="0"/>
        <v>1.0573190789473683</v>
      </c>
      <c r="G25" s="179">
        <f>D25+'2018MAR'!G25</f>
        <v>44800</v>
      </c>
      <c r="H25" s="66">
        <f>E25+'2018MAR'!H25</f>
        <v>48834</v>
      </c>
      <c r="I25" s="14">
        <f t="shared" si="1"/>
        <v>1.0900446428571429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65">
        <v>0</v>
      </c>
      <c r="E26" s="159">
        <v>0</v>
      </c>
      <c r="F26" s="14" t="e">
        <f t="shared" si="0"/>
        <v>#DIV/0!</v>
      </c>
      <c r="G26" s="156">
        <f>D26</f>
        <v>0</v>
      </c>
      <c r="H26" s="156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160">
        <f>SUM(D25:D26)</f>
        <v>12160</v>
      </c>
      <c r="E27" s="160">
        <f>SUM(E25:E26)</f>
        <v>12857</v>
      </c>
      <c r="F27" s="16">
        <f t="shared" si="0"/>
        <v>1.0573190789473683</v>
      </c>
      <c r="G27" s="160">
        <f>SUM(G25:G26)</f>
        <v>44800</v>
      </c>
      <c r="H27" s="160">
        <f>SUM(H25:H26)</f>
        <v>48834</v>
      </c>
      <c r="I27" s="16">
        <f t="shared" si="1"/>
        <v>1.0900446428571429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161">
        <f>SUM(D24,D27)</f>
        <v>24131</v>
      </c>
      <c r="E28" s="161">
        <f>SUM(E24,E27)</f>
        <v>25309</v>
      </c>
      <c r="F28" s="17">
        <f t="shared" si="0"/>
        <v>1.0488168745596951</v>
      </c>
      <c r="G28" s="161">
        <f>SUM(G24,G27)</f>
        <v>90179</v>
      </c>
      <c r="H28" s="161">
        <f>SUM(H24,H27)</f>
        <v>97460</v>
      </c>
      <c r="I28" s="17">
        <f t="shared" si="1"/>
        <v>1.0807394182681112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161</v>
      </c>
      <c r="C30" s="128" t="s">
        <v>29</v>
      </c>
      <c r="D30" s="65">
        <v>1000</v>
      </c>
      <c r="E30" s="159">
        <v>3969</v>
      </c>
      <c r="F30" s="14">
        <f>E30/D30</f>
        <v>3.9689999999999999</v>
      </c>
      <c r="G30" s="66">
        <f>D30+'2018MAR'!G30</f>
        <v>4000</v>
      </c>
      <c r="H30" s="66">
        <f>E30+'2018MAR'!H30</f>
        <v>9208</v>
      </c>
      <c r="I30" s="14">
        <f>H30/G30</f>
        <v>2.302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65">
        <v>0</v>
      </c>
      <c r="E31" s="159">
        <v>364</v>
      </c>
      <c r="F31" s="14" t="e">
        <f t="shared" ref="F31:F47" si="2">E31/D31</f>
        <v>#DIV/0!</v>
      </c>
      <c r="G31" s="66">
        <f>D31+'2018MAR'!G31</f>
        <v>0</v>
      </c>
      <c r="H31" s="66">
        <f>E31+'2018MAR'!H31</f>
        <v>12472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160">
        <f>SUM(D30:D31)</f>
        <v>1000</v>
      </c>
      <c r="E32" s="160">
        <f>SUM(E30:E31)</f>
        <v>4333</v>
      </c>
      <c r="F32" s="14">
        <f t="shared" si="2"/>
        <v>4.3330000000000002</v>
      </c>
      <c r="G32" s="160">
        <f>SUM(G30:G31)</f>
        <v>4000</v>
      </c>
      <c r="H32" s="160">
        <f>SUM(H30:H31)</f>
        <v>21680</v>
      </c>
      <c r="I32" s="14">
        <f t="shared" si="3"/>
        <v>5.42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65">
        <v>650</v>
      </c>
      <c r="E33" s="159">
        <v>1724</v>
      </c>
      <c r="F33" s="14">
        <f t="shared" si="2"/>
        <v>2.6523076923076925</v>
      </c>
      <c r="G33" s="66">
        <f>D33+'2018MAR'!G33</f>
        <v>2600</v>
      </c>
      <c r="H33" s="66">
        <f>E33+'2018MAR'!H33</f>
        <v>4173</v>
      </c>
      <c r="I33" s="14">
        <f t="shared" si="3"/>
        <v>1.605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158">
        <f>SUM(D32,D33)</f>
        <v>1650</v>
      </c>
      <c r="E34" s="158">
        <f>SUM(E32,E33)</f>
        <v>6057</v>
      </c>
      <c r="F34" s="14">
        <f t="shared" si="2"/>
        <v>3.6709090909090909</v>
      </c>
      <c r="G34" s="158">
        <f>SUM(G32,G33)</f>
        <v>6600</v>
      </c>
      <c r="H34" s="158">
        <f>SUM(H32,H33)</f>
        <v>25853</v>
      </c>
      <c r="I34" s="14">
        <f t="shared" si="3"/>
        <v>3.917121212121212</v>
      </c>
      <c r="J34" s="534"/>
      <c r="K34" s="534"/>
      <c r="L34" s="534"/>
      <c r="M34" s="543"/>
    </row>
    <row r="35" spans="1:13">
      <c r="A35" s="573" t="s">
        <v>37</v>
      </c>
      <c r="B35" s="555" t="s">
        <v>38</v>
      </c>
      <c r="C35" s="18" t="s">
        <v>39</v>
      </c>
      <c r="D35" s="65">
        <v>36232</v>
      </c>
      <c r="E35" s="156">
        <v>0</v>
      </c>
      <c r="F35" s="14">
        <f t="shared" si="2"/>
        <v>0</v>
      </c>
      <c r="G35" s="66">
        <f>D35+'2018MAR'!G35</f>
        <v>144928</v>
      </c>
      <c r="H35" s="66">
        <f>E35+'2018MAR'!H35</f>
        <v>0</v>
      </c>
      <c r="I35" s="14">
        <f t="shared" si="3"/>
        <v>0</v>
      </c>
      <c r="J35" s="525"/>
      <c r="K35" s="525"/>
      <c r="L35" s="525"/>
      <c r="M35" s="552"/>
    </row>
    <row r="36" spans="1:13">
      <c r="A36" s="573"/>
      <c r="B36" s="555"/>
      <c r="C36" s="128" t="s">
        <v>40</v>
      </c>
      <c r="D36" s="156"/>
      <c r="E36" s="156"/>
      <c r="F36" s="14" t="e">
        <f t="shared" si="2"/>
        <v>#DIV/0!</v>
      </c>
      <c r="G36" s="156"/>
      <c r="H36" s="156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160">
        <f>SUM(D35:D36)</f>
        <v>36232</v>
      </c>
      <c r="E37" s="160">
        <f>SUM(E35:E36)</f>
        <v>0</v>
      </c>
      <c r="F37" s="16">
        <f t="shared" si="2"/>
        <v>0</v>
      </c>
      <c r="G37" s="176">
        <f>SUM(G35:G36)</f>
        <v>144928</v>
      </c>
      <c r="H37" s="176">
        <f>SUM(H35:H36)</f>
        <v>0</v>
      </c>
      <c r="I37" s="16">
        <f t="shared" si="3"/>
        <v>0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40</v>
      </c>
      <c r="D38" s="65">
        <v>1100</v>
      </c>
      <c r="E38" s="159">
        <v>0</v>
      </c>
      <c r="F38" s="14">
        <f t="shared" si="2"/>
        <v>0</v>
      </c>
      <c r="G38" s="66">
        <f>D38+'2018MAR'!G38</f>
        <v>4400</v>
      </c>
      <c r="H38" s="66">
        <f>E38+'2018MAR'!H38</f>
        <v>0</v>
      </c>
      <c r="I38" s="14">
        <f t="shared" si="3"/>
        <v>0</v>
      </c>
      <c r="J38" s="525"/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156"/>
      <c r="E39" s="156"/>
      <c r="F39" s="14" t="e">
        <f t="shared" si="2"/>
        <v>#DIV/0!</v>
      </c>
      <c r="G39" s="156"/>
      <c r="H39" s="156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160">
        <f>SUM(D38:D39)</f>
        <v>1100</v>
      </c>
      <c r="E40" s="160">
        <f>SUM(E38:E39)</f>
        <v>0</v>
      </c>
      <c r="F40" s="16">
        <f t="shared" si="2"/>
        <v>0</v>
      </c>
      <c r="G40" s="160">
        <f>SUM(G38:G39)</f>
        <v>4400</v>
      </c>
      <c r="H40" s="160">
        <f>SUM(H38:H39)</f>
        <v>0</v>
      </c>
      <c r="I40" s="16">
        <f t="shared" si="3"/>
        <v>0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158">
        <f>SUM(D37,D40)</f>
        <v>37332</v>
      </c>
      <c r="E41" s="158">
        <f>SUM(E37,E40)</f>
        <v>0</v>
      </c>
      <c r="F41" s="19">
        <f t="shared" si="2"/>
        <v>0</v>
      </c>
      <c r="G41" s="158">
        <f>SUM(G37,G40)</f>
        <v>149328</v>
      </c>
      <c r="H41" s="158">
        <f>SUM(H37,H40)</f>
        <v>0</v>
      </c>
      <c r="I41" s="19">
        <f t="shared" si="3"/>
        <v>0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178">
        <v>11500</v>
      </c>
      <c r="E42" s="76">
        <f>C140+E140+G140+I140</f>
        <v>5047</v>
      </c>
      <c r="F42" s="21">
        <f t="shared" si="2"/>
        <v>0.43886956521739129</v>
      </c>
      <c r="G42" s="180">
        <f>D42+'2018MAR'!G42</f>
        <v>44500</v>
      </c>
      <c r="H42" s="77">
        <f>E42+'2018MAR'!H42</f>
        <v>75710</v>
      </c>
      <c r="I42" s="21">
        <f t="shared" si="3"/>
        <v>1.7013483146067416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67">
        <v>4000</v>
      </c>
      <c r="E43" s="20">
        <v>0</v>
      </c>
      <c r="F43" s="21">
        <f t="shared" si="2"/>
        <v>0</v>
      </c>
      <c r="G43" s="68">
        <f>D43+'2018MAR'!G43</f>
        <v>4000</v>
      </c>
      <c r="H43" s="68">
        <f>E43+'2018MAR'!H43</f>
        <v>0</v>
      </c>
      <c r="I43" s="21">
        <f t="shared" si="3"/>
        <v>0</v>
      </c>
      <c r="J43" s="572"/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67">
        <v>33500</v>
      </c>
      <c r="E44" s="20">
        <v>0</v>
      </c>
      <c r="F44" s="21">
        <f t="shared" si="2"/>
        <v>0</v>
      </c>
      <c r="G44" s="68">
        <f>D44+'2018MAR'!G44</f>
        <v>134000</v>
      </c>
      <c r="H44" s="68">
        <f>E44+'2018MAR'!H44</f>
        <v>99970</v>
      </c>
      <c r="I44" s="21">
        <f t="shared" si="3"/>
        <v>0.74604477611940301</v>
      </c>
      <c r="J44" s="570"/>
      <c r="K44" s="570"/>
      <c r="L44" s="570"/>
      <c r="M44" s="571"/>
    </row>
    <row r="45" spans="1:13" s="8" customFormat="1">
      <c r="A45" s="587" t="s">
        <v>46</v>
      </c>
      <c r="B45" s="588"/>
      <c r="C45" s="589"/>
      <c r="D45" s="164">
        <f>SUM(D28,D34,D41,D42:D44)</f>
        <v>112113</v>
      </c>
      <c r="E45" s="78">
        <f>SUM(E28,E34,E41,E42:E44)</f>
        <v>36413</v>
      </c>
      <c r="F45" s="22">
        <f t="shared" si="2"/>
        <v>0.32478838314914416</v>
      </c>
      <c r="G45" s="164">
        <f>SUM(G28,G34,G41,G42:G44)</f>
        <v>428607</v>
      </c>
      <c r="H45" s="164">
        <f>SUM(H28,H34,H41,H42:H44)</f>
        <v>298993</v>
      </c>
      <c r="I45" s="22">
        <f t="shared" si="3"/>
        <v>0.69759243316138098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164">
        <f>D45-D42</f>
        <v>100613</v>
      </c>
      <c r="E46" s="164">
        <f>E45-E42</f>
        <v>31366</v>
      </c>
      <c r="F46" s="22">
        <f t="shared" si="2"/>
        <v>0.31174897876019997</v>
      </c>
      <c r="G46" s="164">
        <f>G45-G42</f>
        <v>384107</v>
      </c>
      <c r="H46" s="164">
        <f>H45-H42</f>
        <v>223283</v>
      </c>
      <c r="I46" s="22">
        <f t="shared" si="3"/>
        <v>0.58130416784906291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162">
        <f>D46-D44</f>
        <v>67113</v>
      </c>
      <c r="E47" s="162">
        <f>E46-E44</f>
        <v>31366</v>
      </c>
      <c r="F47" s="23">
        <f t="shared" si="2"/>
        <v>0.46736101798459317</v>
      </c>
      <c r="G47" s="162">
        <f>G46-G44</f>
        <v>250107</v>
      </c>
      <c r="H47" s="162">
        <f>H46-H44</f>
        <v>123313</v>
      </c>
      <c r="I47" s="23">
        <f t="shared" si="3"/>
        <v>0.49304097846121858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163" t="s">
        <v>23</v>
      </c>
      <c r="E52" s="163" t="s">
        <v>24</v>
      </c>
      <c r="F52" s="163" t="s">
        <v>25</v>
      </c>
      <c r="G52" s="163" t="s">
        <v>23</v>
      </c>
      <c r="H52" s="163" t="s">
        <v>24</v>
      </c>
      <c r="I52" s="163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12</v>
      </c>
      <c r="E53" s="159">
        <v>12</v>
      </c>
      <c r="F53" s="28">
        <f t="shared" ref="F53:F79" si="4">E53/D53</f>
        <v>1</v>
      </c>
      <c r="G53" s="66">
        <f>D53+'2018MAR'!G53</f>
        <v>44</v>
      </c>
      <c r="H53" s="66">
        <f>E53+'2018MAR'!H53</f>
        <v>64</v>
      </c>
      <c r="I53" s="28">
        <f t="shared" ref="I53:I79" si="5">H53/G53</f>
        <v>1.4545454545454546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300</v>
      </c>
      <c r="E54" s="159">
        <v>346</v>
      </c>
      <c r="F54" s="28">
        <f t="shared" si="4"/>
        <v>1.1533333333333333</v>
      </c>
      <c r="G54" s="66">
        <f>D54+'2018MAR'!G54</f>
        <v>1200</v>
      </c>
      <c r="H54" s="66">
        <f>E54+'2018MAR'!H54</f>
        <v>1334</v>
      </c>
      <c r="I54" s="28">
        <f t="shared" si="5"/>
        <v>1.1116666666666666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160">
        <f>SUM(D53:D54)</f>
        <v>312</v>
      </c>
      <c r="E55" s="160">
        <f>SUM(E53:E54)</f>
        <v>358</v>
      </c>
      <c r="F55" s="30">
        <f t="shared" si="4"/>
        <v>1.1474358974358974</v>
      </c>
      <c r="G55" s="160">
        <f>SUM(G53:G54)</f>
        <v>1244</v>
      </c>
      <c r="H55" s="160">
        <f>SUM(H53:H54)</f>
        <v>1398</v>
      </c>
      <c r="I55" s="30">
        <f t="shared" si="5"/>
        <v>1.1237942122186495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40</v>
      </c>
      <c r="E56" s="159">
        <v>37</v>
      </c>
      <c r="F56" s="28">
        <f t="shared" si="4"/>
        <v>0.92500000000000004</v>
      </c>
      <c r="G56" s="66">
        <f>D56+'2018MAR'!G56</f>
        <v>160</v>
      </c>
      <c r="H56" s="66">
        <f>E56+'2018MAR'!H56</f>
        <v>205</v>
      </c>
      <c r="I56" s="28">
        <f t="shared" si="5"/>
        <v>1.28125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600</v>
      </c>
      <c r="E57" s="159">
        <v>803</v>
      </c>
      <c r="F57" s="28">
        <f t="shared" si="4"/>
        <v>1.3383333333333334</v>
      </c>
      <c r="G57" s="66">
        <f>D57+'2018MAR'!G57</f>
        <v>2400</v>
      </c>
      <c r="H57" s="66">
        <f>E57+'2018MAR'!H57</f>
        <v>2925</v>
      </c>
      <c r="I57" s="28">
        <f t="shared" si="5"/>
        <v>1.21875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168">
        <f>SUM(D56:D57)</f>
        <v>640</v>
      </c>
      <c r="E58" s="168">
        <f>SUM(E56:E57)</f>
        <v>840</v>
      </c>
      <c r="F58" s="28">
        <f t="shared" si="4"/>
        <v>1.3125</v>
      </c>
      <c r="G58" s="168">
        <f>SUM(G56:G57)</f>
        <v>2560</v>
      </c>
      <c r="H58" s="168">
        <f>SUM(H56:H57)</f>
        <v>3130</v>
      </c>
      <c r="I58" s="31">
        <f t="shared" si="5"/>
        <v>1.22265625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169">
        <f>SUM(D53,D56)</f>
        <v>52</v>
      </c>
      <c r="E59" s="169">
        <f>SUM(E53,E56)</f>
        <v>49</v>
      </c>
      <c r="F59" s="32">
        <f t="shared" si="4"/>
        <v>0.94230769230769229</v>
      </c>
      <c r="G59" s="169">
        <f>SUM(G53,G56)</f>
        <v>204</v>
      </c>
      <c r="H59" s="169">
        <f>SUM(H53,H56)</f>
        <v>269</v>
      </c>
      <c r="I59" s="32">
        <f t="shared" si="5"/>
        <v>1.3186274509803921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169">
        <f>SUM(D54,D57)</f>
        <v>900</v>
      </c>
      <c r="E60" s="169">
        <f>SUM(E54,E57)</f>
        <v>1149</v>
      </c>
      <c r="F60" s="32">
        <f t="shared" si="4"/>
        <v>1.2766666666666666</v>
      </c>
      <c r="G60" s="169">
        <f>SUM(G54,G57)</f>
        <v>3600</v>
      </c>
      <c r="H60" s="169">
        <f>SUM(H54,H57)</f>
        <v>4259</v>
      </c>
      <c r="I60" s="32">
        <f t="shared" si="5"/>
        <v>1.1830555555555555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170">
        <f>SUM(D59:D60)</f>
        <v>952</v>
      </c>
      <c r="E61" s="170">
        <f>SUM(E59:E60)</f>
        <v>1198</v>
      </c>
      <c r="F61" s="33">
        <f t="shared" si="4"/>
        <v>1.2584033613445378</v>
      </c>
      <c r="G61" s="170">
        <f>SUM(G59:G60)</f>
        <v>3804</v>
      </c>
      <c r="H61" s="170">
        <f>SUM(H59:H60)</f>
        <v>4528</v>
      </c>
      <c r="I61" s="33">
        <f t="shared" si="5"/>
        <v>1.1903259726603574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42</v>
      </c>
      <c r="E62" s="156">
        <f>E71/10</f>
        <v>41.7</v>
      </c>
      <c r="F62" s="28">
        <f t="shared" si="4"/>
        <v>0.99285714285714288</v>
      </c>
      <c r="G62" s="66">
        <f>D62+'2018MAR'!G62</f>
        <v>154</v>
      </c>
      <c r="H62" s="66">
        <f>E62+'2018MAR'!H62</f>
        <v>222.5</v>
      </c>
      <c r="I62" s="28">
        <f t="shared" si="5"/>
        <v>1.4448051948051948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65">
        <v>1044</v>
      </c>
      <c r="E63" s="156">
        <f>E72/10</f>
        <v>1203.5</v>
      </c>
      <c r="F63" s="28">
        <f t="shared" si="4"/>
        <v>1.1527777777777777</v>
      </c>
      <c r="G63" s="66">
        <f>D63+'2018MAR'!G63</f>
        <v>4176</v>
      </c>
      <c r="H63" s="66">
        <f>E63+'2018MAR'!H63</f>
        <v>4640.1000000000004</v>
      </c>
      <c r="I63" s="28">
        <f t="shared" si="5"/>
        <v>1.1111350574712644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1086</v>
      </c>
      <c r="E64" s="160">
        <f>SUM(E62:E63)</f>
        <v>1245.2</v>
      </c>
      <c r="F64" s="30">
        <f t="shared" si="4"/>
        <v>1.1465930018416206</v>
      </c>
      <c r="G64" s="160">
        <f>SUM(G62:G63)</f>
        <v>4330</v>
      </c>
      <c r="H64" s="160">
        <f>SUM(H62:H63)</f>
        <v>4862.6000000000004</v>
      </c>
      <c r="I64" s="30">
        <f t="shared" si="5"/>
        <v>1.1230023094688222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64</v>
      </c>
      <c r="E65" s="156">
        <f>E74/10</f>
        <v>49.1</v>
      </c>
      <c r="F65" s="28">
        <f t="shared" si="4"/>
        <v>0.76718750000000002</v>
      </c>
      <c r="G65" s="66">
        <f>D65+'2018MAR'!G65</f>
        <v>256</v>
      </c>
      <c r="H65" s="66">
        <f>E65+'2018MAR'!H65</f>
        <v>256.90000000000003</v>
      </c>
      <c r="I65" s="28">
        <f t="shared" si="5"/>
        <v>1.0035156250000001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960</v>
      </c>
      <c r="E66" s="156">
        <f>E75/10</f>
        <v>1236.5999999999999</v>
      </c>
      <c r="F66" s="28">
        <f t="shared" si="4"/>
        <v>1.288125</v>
      </c>
      <c r="G66" s="66">
        <f>D66+'2018MAR'!G66</f>
        <v>3840</v>
      </c>
      <c r="H66" s="66">
        <f>E66+'2018MAR'!H66</f>
        <v>4626.5</v>
      </c>
      <c r="I66" s="28">
        <f t="shared" si="5"/>
        <v>1.2048177083333333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168">
        <f>SUM(D65:D66)</f>
        <v>1024</v>
      </c>
      <c r="E67" s="168">
        <f>SUM(E65:E66)</f>
        <v>1285.6999999999998</v>
      </c>
      <c r="F67" s="31">
        <f t="shared" si="4"/>
        <v>1.2555664062499998</v>
      </c>
      <c r="G67" s="168">
        <f>SUM(G65:G66)</f>
        <v>4096</v>
      </c>
      <c r="H67" s="168">
        <f>SUM(H65:H66)</f>
        <v>4883.3999999999996</v>
      </c>
      <c r="I67" s="31">
        <f t="shared" si="5"/>
        <v>1.1922363281249999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169">
        <f>SUM(D62,D65)</f>
        <v>106</v>
      </c>
      <c r="E68" s="169">
        <f>SUM(E62,E65)</f>
        <v>90.800000000000011</v>
      </c>
      <c r="F68" s="32">
        <f t="shared" si="4"/>
        <v>0.8566037735849058</v>
      </c>
      <c r="G68" s="169">
        <f>SUM(G62,G65)</f>
        <v>410</v>
      </c>
      <c r="H68" s="169">
        <f>SUM(H62,H65)</f>
        <v>479.40000000000003</v>
      </c>
      <c r="I68" s="32">
        <f t="shared" si="5"/>
        <v>1.169268292682927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169">
        <f>SUM(D63,D66)</f>
        <v>2004</v>
      </c>
      <c r="E69" s="169">
        <f>SUM(E63,E66)</f>
        <v>2440.1</v>
      </c>
      <c r="F69" s="32">
        <f t="shared" si="4"/>
        <v>1.2176147704590818</v>
      </c>
      <c r="G69" s="169">
        <f>SUM(G63,G66)</f>
        <v>8016</v>
      </c>
      <c r="H69" s="169">
        <f>SUM(H63,H66)</f>
        <v>9266.6</v>
      </c>
      <c r="I69" s="32">
        <f t="shared" si="5"/>
        <v>1.1560129740518963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170">
        <f>SUM(D68:D69)</f>
        <v>2110</v>
      </c>
      <c r="E70" s="170">
        <f>SUM(E68:E69)</f>
        <v>2530.9</v>
      </c>
      <c r="F70" s="34">
        <f t="shared" si="4"/>
        <v>1.199478672985782</v>
      </c>
      <c r="G70" s="170">
        <f>SUM(G68:G69)</f>
        <v>8426</v>
      </c>
      <c r="H70" s="170">
        <f>SUM(H68:H69)</f>
        <v>9746</v>
      </c>
      <c r="I70" s="34">
        <f t="shared" si="5"/>
        <v>1.1566579634464751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1531</v>
      </c>
      <c r="E71" s="159">
        <v>417</v>
      </c>
      <c r="F71" s="28">
        <f t="shared" si="4"/>
        <v>0.27237099934683212</v>
      </c>
      <c r="G71" s="179">
        <f>D71+'2018MAR'!G71</f>
        <v>3619</v>
      </c>
      <c r="H71" s="66">
        <f>E71+'2018MAR'!H71</f>
        <v>2225</v>
      </c>
      <c r="I71" s="28">
        <f t="shared" si="5"/>
        <v>0.61481072119369995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65">
        <v>10440</v>
      </c>
      <c r="E72" s="176">
        <f>E23-E71</f>
        <v>12035</v>
      </c>
      <c r="F72" s="28">
        <f t="shared" si="4"/>
        <v>1.1527777777777777</v>
      </c>
      <c r="G72" s="66">
        <f>D72+'2018MAR'!G72</f>
        <v>41760</v>
      </c>
      <c r="H72" s="66">
        <f>E72+'2018MAR'!H72</f>
        <v>46401</v>
      </c>
      <c r="I72" s="28">
        <f t="shared" si="5"/>
        <v>1.1111350574712644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160">
        <f>SUM(D71:D72)</f>
        <v>11971</v>
      </c>
      <c r="E73" s="160">
        <f>SUM(E71:E72)</f>
        <v>12452</v>
      </c>
      <c r="F73" s="30">
        <f t="shared" si="4"/>
        <v>1.0401804360537967</v>
      </c>
      <c r="G73" s="160">
        <f>SUM(G71:G72)</f>
        <v>45379</v>
      </c>
      <c r="H73" s="160">
        <f>SUM(H71:H72)</f>
        <v>48626</v>
      </c>
      <c r="I73" s="30">
        <f t="shared" si="5"/>
        <v>1.0715529209546266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2560</v>
      </c>
      <c r="E74" s="159">
        <v>491</v>
      </c>
      <c r="F74" s="28">
        <f t="shared" si="4"/>
        <v>0.19179687500000001</v>
      </c>
      <c r="G74" s="179">
        <f>D74+'2018MAR'!G74</f>
        <v>6400</v>
      </c>
      <c r="H74" s="66">
        <f>E74+'2018MAR'!H74</f>
        <v>2569</v>
      </c>
      <c r="I74" s="28">
        <f t="shared" si="5"/>
        <v>0.40140625000000002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65">
        <v>9600</v>
      </c>
      <c r="E75" s="176">
        <f>E25-E74</f>
        <v>12366</v>
      </c>
      <c r="F75" s="28">
        <f t="shared" si="4"/>
        <v>1.288125</v>
      </c>
      <c r="G75" s="66">
        <f>D75+'2018MAR'!G75</f>
        <v>38400</v>
      </c>
      <c r="H75" s="66">
        <f>E75+'2018MAR'!H75</f>
        <v>46265</v>
      </c>
      <c r="I75" s="28">
        <f t="shared" si="5"/>
        <v>1.2048177083333333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168">
        <f>SUM(D74:D75)</f>
        <v>12160</v>
      </c>
      <c r="E76" s="168">
        <f>SUM(E74:E75)</f>
        <v>12857</v>
      </c>
      <c r="F76" s="31">
        <f t="shared" si="4"/>
        <v>1.0573190789473683</v>
      </c>
      <c r="G76" s="168">
        <f>SUM(G74:G75)</f>
        <v>44800</v>
      </c>
      <c r="H76" s="168">
        <f>SUM(H74:H75)</f>
        <v>48834</v>
      </c>
      <c r="I76" s="31">
        <f t="shared" si="5"/>
        <v>1.0900446428571429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169">
        <f>SUM(D71,D74)</f>
        <v>4091</v>
      </c>
      <c r="E77" s="169">
        <f>SUM(E71,E74)</f>
        <v>908</v>
      </c>
      <c r="F77" s="32">
        <f t="shared" si="4"/>
        <v>0.22195062331948179</v>
      </c>
      <c r="G77" s="169">
        <f>SUM(G71,G74)</f>
        <v>10019</v>
      </c>
      <c r="H77" s="169">
        <f>SUM(H71,H74)</f>
        <v>4794</v>
      </c>
      <c r="I77" s="32">
        <f t="shared" si="5"/>
        <v>0.47849086735203117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169">
        <f>SUM(D72,D75)</f>
        <v>20040</v>
      </c>
      <c r="E78" s="169">
        <f>SUM(E72,E75)</f>
        <v>24401</v>
      </c>
      <c r="F78" s="32">
        <f t="shared" si="4"/>
        <v>1.2176147704590818</v>
      </c>
      <c r="G78" s="169">
        <f>SUM(G72,G75)</f>
        <v>80160</v>
      </c>
      <c r="H78" s="169">
        <f>SUM(H72,H75)</f>
        <v>92666</v>
      </c>
      <c r="I78" s="32">
        <f t="shared" si="5"/>
        <v>1.1560129740518963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170">
        <f>SUM(D77:D78)</f>
        <v>24131</v>
      </c>
      <c r="E79" s="170">
        <f>SUM(E77:E78)</f>
        <v>25309</v>
      </c>
      <c r="F79" s="34">
        <f t="shared" si="4"/>
        <v>1.0488168745596951</v>
      </c>
      <c r="G79" s="170">
        <f>SUM(G77:G78)</f>
        <v>90179</v>
      </c>
      <c r="H79" s="170">
        <f>SUM(H77:H78)</f>
        <v>97460</v>
      </c>
      <c r="I79" s="34">
        <f t="shared" si="5"/>
        <v>1.0807394182681112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358</v>
      </c>
      <c r="E87" s="130"/>
      <c r="F87" s="134">
        <f>D87+'2018MAR'!F87</f>
        <v>1398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12</v>
      </c>
      <c r="E88" s="128"/>
      <c r="F88" s="134">
        <f>D88+'2018MAR'!F88</f>
        <v>64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0</v>
      </c>
      <c r="E89" s="128">
        <f>D89/D87</f>
        <v>0</v>
      </c>
      <c r="F89" s="134">
        <f>D89+'2018MAR'!F89</f>
        <v>3</v>
      </c>
      <c r="G89" s="128">
        <f>F89/F87</f>
        <v>2.1459227467811159E-3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8</v>
      </c>
      <c r="E90" s="128">
        <f>D90/D92</f>
        <v>3.5242290748898682E-2</v>
      </c>
      <c r="F90" s="134">
        <f>D90+'2018MAR'!F90</f>
        <v>112</v>
      </c>
      <c r="G90" s="128">
        <f>F90/F92</f>
        <v>0.14659685863874344</v>
      </c>
      <c r="H90" s="128"/>
    </row>
    <row r="91" spans="1:13" ht="15" customHeight="1">
      <c r="A91" s="774"/>
      <c r="B91" s="775" t="s">
        <v>202</v>
      </c>
      <c r="C91" s="775"/>
      <c r="D91" s="131">
        <v>231</v>
      </c>
      <c r="E91" s="128">
        <f>D91/D92</f>
        <v>1.0176211453744493</v>
      </c>
      <c r="F91" s="134">
        <f>D91+'2018MAR'!F91</f>
        <v>720</v>
      </c>
      <c r="G91" s="128">
        <f>F91/F92</f>
        <v>0.94240837696335078</v>
      </c>
      <c r="H91" s="128"/>
    </row>
    <row r="92" spans="1:13" ht="15" customHeight="1">
      <c r="A92" s="774"/>
      <c r="B92" s="775" t="s">
        <v>203</v>
      </c>
      <c r="C92" s="775"/>
      <c r="D92" s="131">
        <v>227</v>
      </c>
      <c r="E92" s="130"/>
      <c r="F92" s="134">
        <f>D92+'2018MAR'!F92</f>
        <v>764</v>
      </c>
      <c r="G92" s="130"/>
      <c r="H92" s="128"/>
    </row>
    <row r="93" spans="1:13">
      <c r="C93" s="126" t="s">
        <v>210</v>
      </c>
      <c r="D93" s="132">
        <v>584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163" t="s">
        <v>23</v>
      </c>
      <c r="E97" s="163" t="s">
        <v>24</v>
      </c>
      <c r="F97" s="163" t="s">
        <v>25</v>
      </c>
      <c r="G97" s="163" t="s">
        <v>23</v>
      </c>
      <c r="H97" s="163" t="s">
        <v>24</v>
      </c>
      <c r="I97" s="163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159">
        <v>0</v>
      </c>
      <c r="F98" s="37" t="e">
        <f>E98/D98</f>
        <v>#DIV/0!</v>
      </c>
      <c r="G98" s="66">
        <f>D98+'2018MAR'!G98</f>
        <v>0</v>
      </c>
      <c r="H98" s="66">
        <f>E98+'2018MAR'!H98</f>
        <v>1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41</v>
      </c>
      <c r="E99" s="159">
        <v>41</v>
      </c>
      <c r="F99" s="28">
        <f t="shared" ref="F99:F115" si="6">E99/D99</f>
        <v>1</v>
      </c>
      <c r="G99" s="66">
        <f>D99+'2018MAR'!G99</f>
        <v>164</v>
      </c>
      <c r="H99" s="66">
        <f>E99+'2018MAR'!H99</f>
        <v>166</v>
      </c>
      <c r="I99" s="28">
        <f t="shared" ref="I99:I115" si="7">H99/G99</f>
        <v>1.0121951219512195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160">
        <f>SUM(D98:D99)</f>
        <v>41</v>
      </c>
      <c r="E100" s="160">
        <f>SUM(E98:E99)</f>
        <v>41</v>
      </c>
      <c r="F100" s="30">
        <f t="shared" si="6"/>
        <v>1</v>
      </c>
      <c r="G100" s="160">
        <f>SUM(G98:G99)</f>
        <v>164</v>
      </c>
      <c r="H100" s="160">
        <f>SUM(H98:H99)</f>
        <v>167</v>
      </c>
      <c r="I100" s="30">
        <f t="shared" si="7"/>
        <v>1.0182926829268293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159">
        <v>0</v>
      </c>
      <c r="F101" s="28" t="e">
        <f t="shared" si="6"/>
        <v>#DIV/0!</v>
      </c>
      <c r="G101" s="66">
        <f>D101+'2018MAR'!G101</f>
        <v>0</v>
      </c>
      <c r="H101" s="66">
        <f>E101+'2018MAR'!H101</f>
        <v>0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11</v>
      </c>
      <c r="E102" s="159">
        <v>10</v>
      </c>
      <c r="F102" s="28">
        <f t="shared" si="6"/>
        <v>0.90909090909090906</v>
      </c>
      <c r="G102" s="66">
        <f>D102+'2018MAR'!G102</f>
        <v>44</v>
      </c>
      <c r="H102" s="66">
        <f>E102+'2018MAR'!H102</f>
        <v>41</v>
      </c>
      <c r="I102" s="28">
        <f t="shared" si="7"/>
        <v>0.93181818181818177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160">
        <f>SUM(D101:D102)</f>
        <v>11</v>
      </c>
      <c r="E103" s="160">
        <f>SUM(E101:E102)</f>
        <v>10</v>
      </c>
      <c r="F103" s="30">
        <f t="shared" si="6"/>
        <v>0.90909090909090906</v>
      </c>
      <c r="G103" s="160">
        <f>SUM(G101:G102)</f>
        <v>44</v>
      </c>
      <c r="H103" s="160">
        <f>SUM(H101:H102)</f>
        <v>41</v>
      </c>
      <c r="I103" s="30">
        <f t="shared" si="7"/>
        <v>0.93181818181818177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0</v>
      </c>
      <c r="E104" s="159">
        <v>0</v>
      </c>
      <c r="F104" s="28" t="e">
        <f t="shared" si="6"/>
        <v>#DIV/0!</v>
      </c>
      <c r="G104" s="66">
        <f>D104+'2018MAR'!G104</f>
        <v>0</v>
      </c>
      <c r="H104" s="66">
        <f>E104+'2018MAR'!H104</f>
        <v>0</v>
      </c>
      <c r="I104" s="28" t="e">
        <f t="shared" si="7"/>
        <v>#DIV/0!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63</v>
      </c>
      <c r="E105" s="159">
        <v>56</v>
      </c>
      <c r="F105" s="28">
        <f t="shared" si="6"/>
        <v>0.88888888888888884</v>
      </c>
      <c r="G105" s="66">
        <f>D105+'2018MAR'!G105</f>
        <v>252</v>
      </c>
      <c r="H105" s="66">
        <f>E105+'2018MAR'!H105</f>
        <v>234</v>
      </c>
      <c r="I105" s="28">
        <f t="shared" si="7"/>
        <v>0.9285714285714286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160">
        <f>SUM(D104:D105)</f>
        <v>63</v>
      </c>
      <c r="E106" s="160">
        <f>SUM(E104:E105)</f>
        <v>56</v>
      </c>
      <c r="F106" s="30">
        <f t="shared" si="6"/>
        <v>0.88888888888888884</v>
      </c>
      <c r="G106" s="160">
        <f>SUM(G104:G105)</f>
        <v>252</v>
      </c>
      <c r="H106" s="160">
        <f>SUM(H104:H105)</f>
        <v>234</v>
      </c>
      <c r="I106" s="30">
        <f t="shared" si="7"/>
        <v>0.9285714285714286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2</v>
      </c>
      <c r="E107" s="159">
        <v>12</v>
      </c>
      <c r="F107" s="28">
        <f>E107/D107</f>
        <v>6</v>
      </c>
      <c r="G107" s="66">
        <f>D107+'2018MAR'!G107</f>
        <v>6</v>
      </c>
      <c r="H107" s="66">
        <f>E107+'2018MAR'!H107</f>
        <v>15</v>
      </c>
      <c r="I107" s="28">
        <f>H107/G107</f>
        <v>2.5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104</v>
      </c>
      <c r="E108" s="159">
        <v>98</v>
      </c>
      <c r="F108" s="28">
        <f>E108/D108</f>
        <v>0.94230769230769229</v>
      </c>
      <c r="G108" s="66">
        <f>D108+'2018MAR'!G108</f>
        <v>406</v>
      </c>
      <c r="H108" s="66">
        <f>E108+'2018MAR'!H108</f>
        <v>397</v>
      </c>
      <c r="I108" s="28">
        <f t="shared" si="7"/>
        <v>0.97783251231527091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160">
        <f>SUM(D107:D108)</f>
        <v>106</v>
      </c>
      <c r="E109" s="160">
        <f>SUM(E107:E108)</f>
        <v>110</v>
      </c>
      <c r="F109" s="30">
        <f t="shared" si="6"/>
        <v>1.0377358490566038</v>
      </c>
      <c r="G109" s="160">
        <f>SUM(G107:G108)</f>
        <v>412</v>
      </c>
      <c r="H109" s="160">
        <f>SUM(H107:H108)</f>
        <v>412</v>
      </c>
      <c r="I109" s="30">
        <f t="shared" si="7"/>
        <v>1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8</v>
      </c>
      <c r="E110" s="159">
        <v>0</v>
      </c>
      <c r="F110" s="30">
        <f>E110/D110</f>
        <v>0</v>
      </c>
      <c r="G110" s="66">
        <f>D110+'2018MAR'!G110</f>
        <v>32</v>
      </c>
      <c r="H110" s="66">
        <f>E110+'2018MAR'!H110</f>
        <v>33</v>
      </c>
      <c r="I110" s="30">
        <f>H110/G110</f>
        <v>1.03125</v>
      </c>
      <c r="J110" s="165"/>
      <c r="K110" s="166"/>
      <c r="L110" s="166"/>
      <c r="M110" s="167"/>
    </row>
    <row r="111" spans="1:13">
      <c r="A111" s="573"/>
      <c r="B111" s="777"/>
      <c r="C111" s="27" t="s">
        <v>70</v>
      </c>
      <c r="D111" s="65">
        <v>24</v>
      </c>
      <c r="E111" s="159">
        <v>36</v>
      </c>
      <c r="F111" s="30">
        <f t="shared" ref="F111:F112" si="8">E111/D111</f>
        <v>1.5</v>
      </c>
      <c r="G111" s="66">
        <f>D111+'2018MAR'!G111</f>
        <v>48</v>
      </c>
      <c r="H111" s="66">
        <f>E111+'2018MAR'!H111</f>
        <v>92</v>
      </c>
      <c r="I111" s="30">
        <f t="shared" ref="I111:I112" si="9">H111/G111</f>
        <v>1.9166666666666667</v>
      </c>
      <c r="J111" s="165"/>
      <c r="K111" s="166"/>
      <c r="L111" s="166"/>
      <c r="M111" s="167"/>
    </row>
    <row r="112" spans="1:13">
      <c r="A112" s="573"/>
      <c r="B112" s="778"/>
      <c r="C112" s="38" t="s">
        <v>166</v>
      </c>
      <c r="D112" s="160">
        <f>SUM(D110:D111)</f>
        <v>32</v>
      </c>
      <c r="E112" s="160">
        <f>SUM(E110:E111)</f>
        <v>36</v>
      </c>
      <c r="F112" s="30">
        <f t="shared" si="8"/>
        <v>1.125</v>
      </c>
      <c r="G112" s="160">
        <f>SUM(G110:G111)</f>
        <v>80</v>
      </c>
      <c r="H112" s="160">
        <f>SUM(H110:H111)</f>
        <v>125</v>
      </c>
      <c r="I112" s="30">
        <f t="shared" si="9"/>
        <v>1.5625</v>
      </c>
      <c r="J112" s="165"/>
      <c r="K112" s="166"/>
      <c r="L112" s="166"/>
      <c r="M112" s="167"/>
    </row>
    <row r="113" spans="1:13">
      <c r="A113" s="573"/>
      <c r="B113" s="603" t="s">
        <v>46</v>
      </c>
      <c r="C113" s="39" t="s">
        <v>69</v>
      </c>
      <c r="D113" s="168">
        <f>SUM(D98,D101,D104,D107,D110)</f>
        <v>10</v>
      </c>
      <c r="E113" s="168">
        <f>SUM(E98,E101,E104,E107,E110)</f>
        <v>12</v>
      </c>
      <c r="F113" s="31">
        <f t="shared" si="6"/>
        <v>1.2</v>
      </c>
      <c r="G113" s="168">
        <f>SUM(G98,G101,G104,G107,G110)</f>
        <v>38</v>
      </c>
      <c r="H113" s="168">
        <f>SUM(H98,H101,H104,H107,H110)</f>
        <v>49</v>
      </c>
      <c r="I113" s="31">
        <f t="shared" si="7"/>
        <v>1.2894736842105263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168">
        <f>SUM(D99,D102,D105,D108,D111)</f>
        <v>243</v>
      </c>
      <c r="E114" s="168">
        <f>SUM(E99,E102,E105,E108,E111)</f>
        <v>241</v>
      </c>
      <c r="F114" s="31">
        <f t="shared" si="6"/>
        <v>0.99176954732510292</v>
      </c>
      <c r="G114" s="168">
        <f>SUM(G99,G102,G105,G108,G111)</f>
        <v>914</v>
      </c>
      <c r="H114" s="168">
        <f>SUM(H99,H102,H105,H108,H111)</f>
        <v>930</v>
      </c>
      <c r="I114" s="31">
        <f t="shared" si="7"/>
        <v>1.0175054704595186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171">
        <f>SUM(D113:D114)</f>
        <v>253</v>
      </c>
      <c r="E115" s="171">
        <f>SUM(E113:E114)</f>
        <v>253</v>
      </c>
      <c r="F115" s="41">
        <f t="shared" si="6"/>
        <v>1</v>
      </c>
      <c r="G115" s="171">
        <f>SUM(G113:G114)</f>
        <v>952</v>
      </c>
      <c r="H115" s="171">
        <f>SUM(H113:H114)</f>
        <v>979</v>
      </c>
      <c r="I115" s="41">
        <f t="shared" si="7"/>
        <v>1.028361344537815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2</v>
      </c>
      <c r="E116" s="64">
        <v>0</v>
      </c>
      <c r="F116" s="43">
        <f>E116/D116</f>
        <v>0</v>
      </c>
      <c r="G116" s="70">
        <f>D116+'2018MAR'!G116</f>
        <v>6</v>
      </c>
      <c r="H116" s="70">
        <f>E116+'2018MAR'!H116</f>
        <v>10</v>
      </c>
      <c r="I116" s="43">
        <f>H116/G116</f>
        <v>1.6666666666666667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52</v>
      </c>
      <c r="E117" s="159">
        <v>57</v>
      </c>
      <c r="F117" s="28">
        <f t="shared" ref="F117:F126" si="10">E117/D117</f>
        <v>1.0961538461538463</v>
      </c>
      <c r="G117" s="71">
        <f>D117+'2018MAR'!G117</f>
        <v>198</v>
      </c>
      <c r="H117" s="71">
        <f>E117+'2018MAR'!H117</f>
        <v>222</v>
      </c>
      <c r="I117" s="28">
        <f t="shared" ref="I117:I126" si="11">H117/G117</f>
        <v>1.1212121212121211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160">
        <f>SUM(D116:D117)</f>
        <v>54</v>
      </c>
      <c r="E118" s="160">
        <f>SUM(E116:E117)</f>
        <v>57</v>
      </c>
      <c r="F118" s="30">
        <f t="shared" si="10"/>
        <v>1.0555555555555556</v>
      </c>
      <c r="G118" s="160">
        <f>SUM(G116:G117)</f>
        <v>204</v>
      </c>
      <c r="H118" s="160">
        <f>SUM(H116:H117)</f>
        <v>232</v>
      </c>
      <c r="I118" s="30">
        <f t="shared" si="11"/>
        <v>1.1372549019607843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159">
        <v>0</v>
      </c>
      <c r="F119" s="28" t="e">
        <f t="shared" si="10"/>
        <v>#DIV/0!</v>
      </c>
      <c r="G119" s="66">
        <f>D119+'2018MAR'!G119</f>
        <v>0</v>
      </c>
      <c r="H119" s="66">
        <f>E119+'2018MAR'!H119</f>
        <v>5</v>
      </c>
      <c r="I119" s="28" t="e">
        <f t="shared" si="11"/>
        <v>#DIV/0!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37</v>
      </c>
      <c r="E120" s="159">
        <v>48</v>
      </c>
      <c r="F120" s="28">
        <f t="shared" si="10"/>
        <v>1.2972972972972974</v>
      </c>
      <c r="G120" s="66">
        <f>D120+'2018MAR'!G120</f>
        <v>148</v>
      </c>
      <c r="H120" s="66">
        <f>E120+'2018MAR'!H120</f>
        <v>182</v>
      </c>
      <c r="I120" s="28">
        <f t="shared" si="11"/>
        <v>1.2297297297297298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160">
        <f>SUM(D119:D120)</f>
        <v>37</v>
      </c>
      <c r="E121" s="160">
        <f>SUM(E119:E120)</f>
        <v>48</v>
      </c>
      <c r="F121" s="30">
        <f t="shared" si="10"/>
        <v>1.2972972972972974</v>
      </c>
      <c r="G121" s="160">
        <f>SUM(G119:G120)</f>
        <v>148</v>
      </c>
      <c r="H121" s="160">
        <f>SUM(H119:H120)</f>
        <v>187</v>
      </c>
      <c r="I121" s="30">
        <f t="shared" si="11"/>
        <v>1.2635135135135136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168">
        <f>SUM(D116,D119)</f>
        <v>2</v>
      </c>
      <c r="E122" s="168">
        <f>SUM(E116,E119)</f>
        <v>0</v>
      </c>
      <c r="F122" s="30">
        <f t="shared" si="10"/>
        <v>0</v>
      </c>
      <c r="G122" s="168">
        <f>SUM(G116,G119)</f>
        <v>6</v>
      </c>
      <c r="H122" s="168">
        <f>SUM(H116,H119)</f>
        <v>15</v>
      </c>
      <c r="I122" s="30">
        <f t="shared" si="11"/>
        <v>2.5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168">
        <f>SUM(D117,D120)</f>
        <v>89</v>
      </c>
      <c r="E123" s="168">
        <f>SUM(E117,E120)</f>
        <v>105</v>
      </c>
      <c r="F123" s="30">
        <f t="shared" si="10"/>
        <v>1.1797752808988764</v>
      </c>
      <c r="G123" s="168">
        <f>SUM(G117,G120)</f>
        <v>346</v>
      </c>
      <c r="H123" s="168">
        <f>SUM(H117,H120)</f>
        <v>404</v>
      </c>
      <c r="I123" s="30">
        <f t="shared" si="11"/>
        <v>1.1676300578034682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171">
        <f>SUM(D122:D123)</f>
        <v>91</v>
      </c>
      <c r="E124" s="171">
        <f>SUM(E122:E123)</f>
        <v>105</v>
      </c>
      <c r="F124" s="41">
        <f t="shared" si="10"/>
        <v>1.1538461538461537</v>
      </c>
      <c r="G124" s="171">
        <f>SUM(G122:G123)</f>
        <v>352</v>
      </c>
      <c r="H124" s="171">
        <f>SUM(H122:H123)</f>
        <v>419</v>
      </c>
      <c r="I124" s="41">
        <f t="shared" si="11"/>
        <v>1.1903409090909092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173">
        <f>SUM(D113,D122)</f>
        <v>12</v>
      </c>
      <c r="E125" s="173">
        <f>SUM(E113,E122)</f>
        <v>12</v>
      </c>
      <c r="F125" s="45">
        <f t="shared" si="10"/>
        <v>1</v>
      </c>
      <c r="G125" s="46">
        <f>SUM(G113,G122)</f>
        <v>44</v>
      </c>
      <c r="H125" s="46">
        <f>SUM(H113,H122)</f>
        <v>64</v>
      </c>
      <c r="I125" s="45">
        <f t="shared" si="11"/>
        <v>1.4545454545454546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169">
        <f>SUM(D114,D123)</f>
        <v>332</v>
      </c>
      <c r="E126" s="169">
        <f>SUM(E114,E123)</f>
        <v>346</v>
      </c>
      <c r="F126" s="32">
        <f t="shared" si="10"/>
        <v>1.0421686746987953</v>
      </c>
      <c r="G126" s="169">
        <f>SUM(G114,G123)</f>
        <v>1260</v>
      </c>
      <c r="H126" s="169">
        <f>SUM(H114,H123)</f>
        <v>1334</v>
      </c>
      <c r="I126" s="32">
        <f t="shared" si="11"/>
        <v>1.0587301587301587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169">
        <f>SUM(D125:D126)</f>
        <v>344</v>
      </c>
      <c r="E127" s="169">
        <f>SUM(E125:E126)</f>
        <v>358</v>
      </c>
      <c r="F127" s="49">
        <f>E127/D127</f>
        <v>1.0406976744186047</v>
      </c>
      <c r="G127" s="173">
        <f>SUM(G125:G126)</f>
        <v>1304</v>
      </c>
      <c r="H127" s="173">
        <f>SUM(H125:H126)</f>
        <v>1398</v>
      </c>
      <c r="I127" s="49">
        <f>H127/G127</f>
        <v>1.0720858895705521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148</v>
      </c>
      <c r="J134" s="631"/>
      <c r="K134" s="632"/>
      <c r="L134" s="634"/>
    </row>
    <row r="135" spans="1:12">
      <c r="A135" s="628" t="s">
        <v>91</v>
      </c>
      <c r="B135" s="629"/>
      <c r="C135" s="649">
        <v>7</v>
      </c>
      <c r="D135" s="650"/>
      <c r="E135" s="649">
        <v>7</v>
      </c>
      <c r="F135" s="650"/>
      <c r="G135" s="649">
        <v>2</v>
      </c>
      <c r="H135" s="650"/>
      <c r="I135" s="649">
        <v>5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172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172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172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172" t="s">
        <v>99</v>
      </c>
      <c r="C140" s="656">
        <v>216</v>
      </c>
      <c r="D140" s="656"/>
      <c r="E140" s="656">
        <v>140</v>
      </c>
      <c r="F140" s="656"/>
      <c r="G140" s="656">
        <v>3044</v>
      </c>
      <c r="H140" s="656"/>
      <c r="I140" s="770">
        <v>1647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206</v>
      </c>
      <c r="D145" s="663"/>
      <c r="E145" s="664"/>
      <c r="F145" s="662" t="s">
        <v>137</v>
      </c>
      <c r="G145" s="663"/>
      <c r="H145" s="663"/>
      <c r="I145" s="664"/>
      <c r="J145" s="663" t="s">
        <v>207</v>
      </c>
      <c r="K145" s="663"/>
      <c r="L145" s="663"/>
      <c r="M145" s="665"/>
    </row>
    <row r="146" spans="1:13" ht="35.25" customHeight="1">
      <c r="A146" s="716" t="s">
        <v>103</v>
      </c>
      <c r="B146" s="717"/>
      <c r="C146" s="722"/>
      <c r="D146" s="723"/>
      <c r="E146" s="724"/>
      <c r="F146" s="744" t="s">
        <v>208</v>
      </c>
      <c r="G146" s="748"/>
      <c r="H146" s="748"/>
      <c r="I146" s="749"/>
      <c r="J146" s="745"/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151</v>
      </c>
      <c r="D148" s="719"/>
      <c r="E148" s="720"/>
      <c r="F148" s="744" t="s">
        <v>151</v>
      </c>
      <c r="G148" s="745"/>
      <c r="H148" s="745"/>
      <c r="I148" s="746"/>
      <c r="J148" s="744" t="s">
        <v>151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 t="s">
        <v>209</v>
      </c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175" t="s">
        <v>109</v>
      </c>
      <c r="C154" s="175" t="s">
        <v>110</v>
      </c>
      <c r="D154" s="175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>
        <f>E44</f>
        <v>0</v>
      </c>
      <c r="B155" s="124">
        <f>'2018MAR'!H155</f>
        <v>50339</v>
      </c>
      <c r="C155" s="63">
        <f>E45-E44</f>
        <v>36413</v>
      </c>
      <c r="D155" s="73">
        <v>76039</v>
      </c>
      <c r="E155" s="681" t="s">
        <v>114</v>
      </c>
      <c r="F155" s="681"/>
      <c r="G155" s="681"/>
      <c r="H155" s="72">
        <f>C155+A155+B155-D155</f>
        <v>10713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20825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176">
        <v>10</v>
      </c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18273</v>
      </c>
      <c r="H165" s="790"/>
      <c r="I165" s="791"/>
      <c r="J165" s="791"/>
      <c r="K165" s="792"/>
    </row>
    <row r="166" spans="1:11" ht="14">
      <c r="A166" s="174" t="s">
        <v>126</v>
      </c>
      <c r="B166" s="789" t="s">
        <v>127</v>
      </c>
      <c r="C166" s="789"/>
      <c r="D166" s="789"/>
      <c r="E166" s="789"/>
      <c r="F166" s="789"/>
      <c r="G166" s="159">
        <v>1904</v>
      </c>
      <c r="H166" s="790"/>
      <c r="I166" s="791"/>
      <c r="J166" s="791"/>
      <c r="K166" s="792"/>
    </row>
    <row r="167" spans="1:11" ht="14">
      <c r="A167" s="174" t="s">
        <v>128</v>
      </c>
      <c r="B167" s="789" t="s">
        <v>129</v>
      </c>
      <c r="C167" s="789"/>
      <c r="D167" s="789"/>
      <c r="E167" s="789"/>
      <c r="F167" s="789"/>
      <c r="G167" s="176"/>
      <c r="H167" s="790"/>
      <c r="I167" s="791"/>
      <c r="J167" s="791"/>
      <c r="K167" s="792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G1" xr:uid="{00000000-0002-0000-1000-000000000000}">
      <formula1>"Jan, Feb, March, April, May, June, July, Aug, Sep, Oct, Nov, Dec"</formula1>
    </dataValidation>
    <dataValidation type="list" allowBlank="1" showInputMessage="1" showErrorMessage="1" sqref="L3" xr:uid="{00000000-0002-0000-1000-000001000000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pageSetUpPr fitToPage="1"/>
  </sheetPr>
  <dimension ref="A1:N167"/>
  <sheetViews>
    <sheetView topLeftCell="A19" zoomScale="70" zoomScaleNormal="70" zoomScaleSheetLayoutView="85" workbookViewId="0">
      <selection activeCell="D92" sqref="D9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142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>
        <v>43263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183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192" t="s">
        <v>176</v>
      </c>
      <c r="C10" s="61">
        <v>2</v>
      </c>
      <c r="D10" s="200">
        <v>2</v>
      </c>
      <c r="E10" s="538" t="s">
        <v>182</v>
      </c>
      <c r="F10" s="538"/>
      <c r="G10" s="538"/>
      <c r="H10" s="538"/>
      <c r="I10" s="539"/>
    </row>
    <row r="11" spans="1:13">
      <c r="A11" s="537"/>
      <c r="B11" s="192" t="s">
        <v>177</v>
      </c>
      <c r="C11" s="61">
        <v>2</v>
      </c>
      <c r="D11" s="200">
        <v>2</v>
      </c>
      <c r="E11" s="540" t="s">
        <v>183</v>
      </c>
      <c r="F11" s="541"/>
      <c r="G11" s="541"/>
      <c r="H11" s="541"/>
      <c r="I11" s="542"/>
    </row>
    <row r="12" spans="1:13">
      <c r="A12" s="537"/>
      <c r="B12" s="192" t="s">
        <v>179</v>
      </c>
      <c r="C12" s="61">
        <v>2</v>
      </c>
      <c r="D12" s="200">
        <v>1</v>
      </c>
      <c r="E12" s="768" t="s">
        <v>184</v>
      </c>
      <c r="F12" s="538"/>
      <c r="G12" s="538"/>
      <c r="H12" s="538"/>
      <c r="I12" s="539"/>
    </row>
    <row r="13" spans="1:13">
      <c r="A13" s="537"/>
      <c r="B13" s="192" t="s">
        <v>180</v>
      </c>
      <c r="C13" s="61">
        <v>3</v>
      </c>
      <c r="D13" s="200">
        <v>1</v>
      </c>
      <c r="E13" s="538" t="s">
        <v>212</v>
      </c>
      <c r="F13" s="538"/>
      <c r="G13" s="538"/>
      <c r="H13" s="538"/>
      <c r="I13" s="539"/>
    </row>
    <row r="14" spans="1:13">
      <c r="A14" s="537"/>
      <c r="B14" s="192" t="s">
        <v>12</v>
      </c>
      <c r="C14" s="61">
        <v>0</v>
      </c>
      <c r="D14" s="200">
        <v>0</v>
      </c>
      <c r="E14" s="540"/>
      <c r="F14" s="541"/>
      <c r="G14" s="541"/>
      <c r="H14" s="541"/>
      <c r="I14" s="542"/>
    </row>
    <row r="15" spans="1:13">
      <c r="A15" s="537"/>
      <c r="B15" s="192" t="s">
        <v>13</v>
      </c>
      <c r="C15" s="61">
        <v>2</v>
      </c>
      <c r="D15" s="200">
        <v>1</v>
      </c>
      <c r="E15" s="768" t="s">
        <v>214</v>
      </c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7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19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197" t="s">
        <v>23</v>
      </c>
      <c r="E21" s="197" t="s">
        <v>24</v>
      </c>
      <c r="F21" s="197" t="s">
        <v>25</v>
      </c>
      <c r="G21" s="197" t="s">
        <v>23</v>
      </c>
      <c r="H21" s="197" t="s">
        <v>24</v>
      </c>
      <c r="I21" s="197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177">
        <v>12388.8</v>
      </c>
      <c r="E23" s="200">
        <v>12557</v>
      </c>
      <c r="F23" s="14">
        <f t="shared" ref="F23:F28" si="0">E23/D23</f>
        <v>1.0135767790262173</v>
      </c>
      <c r="G23" s="179">
        <f>D23+'2018APR'!G23</f>
        <v>57767.8</v>
      </c>
      <c r="H23" s="66">
        <f>E23+'2018APR'!H23</f>
        <v>61183</v>
      </c>
      <c r="I23" s="14">
        <f t="shared" ref="I23:I28" si="1">H23/G23</f>
        <v>1.0591194402417956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198">
        <f>SUM(D23:D23)</f>
        <v>12388.8</v>
      </c>
      <c r="E24" s="198">
        <f>SUM(E23:E23)</f>
        <v>12557</v>
      </c>
      <c r="F24" s="16">
        <f t="shared" si="0"/>
        <v>1.0135767790262173</v>
      </c>
      <c r="G24" s="198">
        <f>SUM(G23:G23)</f>
        <v>57767.8</v>
      </c>
      <c r="H24" s="198">
        <f>SUM(H23:H23)</f>
        <v>61183</v>
      </c>
      <c r="I24" s="16">
        <f t="shared" si="1"/>
        <v>1.0591194402417956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177">
        <v>12800</v>
      </c>
      <c r="E25" s="200">
        <v>12983</v>
      </c>
      <c r="F25" s="14">
        <f t="shared" si="0"/>
        <v>1.0142968750000001</v>
      </c>
      <c r="G25" s="179">
        <f>D25+'2018APR'!G25</f>
        <v>57600</v>
      </c>
      <c r="H25" s="66">
        <f>E25+'2018APR'!H25</f>
        <v>61817</v>
      </c>
      <c r="I25" s="14">
        <f t="shared" si="1"/>
        <v>1.0732118055555555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65">
        <v>0</v>
      </c>
      <c r="E26" s="200">
        <v>0</v>
      </c>
      <c r="F26" s="14" t="e">
        <f t="shared" si="0"/>
        <v>#DIV/0!</v>
      </c>
      <c r="G26" s="192">
        <f>D26</f>
        <v>0</v>
      </c>
      <c r="H26" s="192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198">
        <f>SUM(D25:D26)</f>
        <v>12800</v>
      </c>
      <c r="E27" s="198">
        <f>SUM(E25:E26)</f>
        <v>12983</v>
      </c>
      <c r="F27" s="16">
        <f t="shared" si="0"/>
        <v>1.0142968750000001</v>
      </c>
      <c r="G27" s="198">
        <f>SUM(G25:G26)</f>
        <v>57600</v>
      </c>
      <c r="H27" s="198">
        <f>SUM(H25:H26)</f>
        <v>61817</v>
      </c>
      <c r="I27" s="16">
        <f t="shared" si="1"/>
        <v>1.0732118055555555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199">
        <f>SUM(D24,D27)</f>
        <v>25188.799999999999</v>
      </c>
      <c r="E28" s="199">
        <f>SUM(E24,E27)</f>
        <v>25540</v>
      </c>
      <c r="F28" s="17">
        <f t="shared" si="0"/>
        <v>1.0139427046941498</v>
      </c>
      <c r="G28" s="199">
        <f>SUM(G24,G27)</f>
        <v>115367.8</v>
      </c>
      <c r="H28" s="199">
        <f>SUM(H24,H27)</f>
        <v>123000</v>
      </c>
      <c r="I28" s="17">
        <f t="shared" si="1"/>
        <v>1.0661553743765591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35</v>
      </c>
      <c r="C30" s="128" t="s">
        <v>29</v>
      </c>
      <c r="D30" s="65">
        <v>1000</v>
      </c>
      <c r="E30" s="200">
        <v>5458</v>
      </c>
      <c r="F30" s="14">
        <f>E30/D30</f>
        <v>5.4580000000000002</v>
      </c>
      <c r="G30" s="66">
        <f>D30+'2018APR'!G30</f>
        <v>5000</v>
      </c>
      <c r="H30" s="66">
        <f>E30+'2018APR'!H30</f>
        <v>14666</v>
      </c>
      <c r="I30" s="14">
        <f>H30/G30</f>
        <v>2.9331999999999998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65">
        <v>0</v>
      </c>
      <c r="E31" s="200">
        <v>331</v>
      </c>
      <c r="F31" s="14" t="e">
        <f t="shared" ref="F31:F47" si="2">E31/D31</f>
        <v>#DIV/0!</v>
      </c>
      <c r="G31" s="66">
        <f>D31+'2018APR'!G31</f>
        <v>0</v>
      </c>
      <c r="H31" s="66">
        <f>E31+'2018APR'!H31</f>
        <v>12803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198">
        <f>SUM(D30:D31)</f>
        <v>1000</v>
      </c>
      <c r="E32" s="198">
        <f>SUM(E30:E31)</f>
        <v>5789</v>
      </c>
      <c r="F32" s="14">
        <f t="shared" si="2"/>
        <v>5.7889999999999997</v>
      </c>
      <c r="G32" s="198">
        <f>SUM(G30:G31)</f>
        <v>5000</v>
      </c>
      <c r="H32" s="198">
        <f>SUM(H30:H31)</f>
        <v>27469</v>
      </c>
      <c r="I32" s="14">
        <f t="shared" si="3"/>
        <v>5.4938000000000002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65">
        <v>650</v>
      </c>
      <c r="E33" s="200">
        <v>524</v>
      </c>
      <c r="F33" s="14">
        <f t="shared" si="2"/>
        <v>0.80615384615384611</v>
      </c>
      <c r="G33" s="66">
        <f>D33+'2018APR'!G33</f>
        <v>3250</v>
      </c>
      <c r="H33" s="66">
        <f>E33+'2018APR'!H33</f>
        <v>4697</v>
      </c>
      <c r="I33" s="14">
        <f t="shared" si="3"/>
        <v>1.4452307692307693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197">
        <f>SUM(D32,D33)</f>
        <v>1650</v>
      </c>
      <c r="E34" s="197">
        <f>SUM(E32,E33)</f>
        <v>6313</v>
      </c>
      <c r="F34" s="14">
        <f t="shared" si="2"/>
        <v>3.8260606060606062</v>
      </c>
      <c r="G34" s="197">
        <f>SUM(G32,G33)</f>
        <v>8250</v>
      </c>
      <c r="H34" s="197">
        <f>SUM(H32,H33)</f>
        <v>32166</v>
      </c>
      <c r="I34" s="14">
        <f t="shared" si="3"/>
        <v>3.8989090909090911</v>
      </c>
      <c r="J34" s="534"/>
      <c r="K34" s="534"/>
      <c r="L34" s="534"/>
      <c r="M34" s="543"/>
    </row>
    <row r="35" spans="1:13">
      <c r="A35" s="573" t="s">
        <v>37</v>
      </c>
      <c r="B35" s="555" t="s">
        <v>38</v>
      </c>
      <c r="C35" s="18" t="s">
        <v>39</v>
      </c>
      <c r="D35" s="65">
        <v>36232</v>
      </c>
      <c r="E35" s="192">
        <v>0</v>
      </c>
      <c r="F35" s="14">
        <f t="shared" si="2"/>
        <v>0</v>
      </c>
      <c r="G35" s="66">
        <f>D35+'2018APR'!G35</f>
        <v>181160</v>
      </c>
      <c r="H35" s="66">
        <f>E35+'2018APR'!H35</f>
        <v>0</v>
      </c>
      <c r="I35" s="14">
        <f t="shared" si="3"/>
        <v>0</v>
      </c>
      <c r="J35" s="525"/>
      <c r="K35" s="525"/>
      <c r="L35" s="525"/>
      <c r="M35" s="552"/>
    </row>
    <row r="36" spans="1:13">
      <c r="A36" s="573"/>
      <c r="B36" s="555"/>
      <c r="C36" s="128" t="s">
        <v>40</v>
      </c>
      <c r="D36" s="192"/>
      <c r="E36" s="192"/>
      <c r="F36" s="14" t="e">
        <f t="shared" si="2"/>
        <v>#DIV/0!</v>
      </c>
      <c r="G36" s="192"/>
      <c r="H36" s="192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198">
        <f>SUM(D35:D36)</f>
        <v>36232</v>
      </c>
      <c r="E37" s="198">
        <f>SUM(E35:E36)</f>
        <v>0</v>
      </c>
      <c r="F37" s="16">
        <f t="shared" si="2"/>
        <v>0</v>
      </c>
      <c r="G37" s="201">
        <f>SUM(G35:G36)</f>
        <v>181160</v>
      </c>
      <c r="H37" s="201">
        <f>SUM(H35:H36)</f>
        <v>0</v>
      </c>
      <c r="I37" s="16">
        <f t="shared" si="3"/>
        <v>0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40</v>
      </c>
      <c r="D38" s="65">
        <v>1100</v>
      </c>
      <c r="E38" s="200">
        <v>0</v>
      </c>
      <c r="F38" s="14">
        <f t="shared" si="2"/>
        <v>0</v>
      </c>
      <c r="G38" s="66">
        <f>D38+'2018APR'!G38</f>
        <v>5500</v>
      </c>
      <c r="H38" s="66">
        <f>E38+'2018APR'!H38</f>
        <v>0</v>
      </c>
      <c r="I38" s="14">
        <f t="shared" si="3"/>
        <v>0</v>
      </c>
      <c r="J38" s="525"/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192"/>
      <c r="E39" s="192"/>
      <c r="F39" s="14" t="e">
        <f t="shared" si="2"/>
        <v>#DIV/0!</v>
      </c>
      <c r="G39" s="192"/>
      <c r="H39" s="192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198">
        <f>SUM(D38:D39)</f>
        <v>1100</v>
      </c>
      <c r="E40" s="198">
        <f>SUM(E38:E39)</f>
        <v>0</v>
      </c>
      <c r="F40" s="16">
        <f t="shared" si="2"/>
        <v>0</v>
      </c>
      <c r="G40" s="198">
        <f>SUM(G38:G39)</f>
        <v>5500</v>
      </c>
      <c r="H40" s="198">
        <f>SUM(H38:H39)</f>
        <v>0</v>
      </c>
      <c r="I40" s="16">
        <f t="shared" si="3"/>
        <v>0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197">
        <f>SUM(D37,D40)</f>
        <v>37332</v>
      </c>
      <c r="E41" s="197">
        <f>SUM(E37,E40)</f>
        <v>0</v>
      </c>
      <c r="F41" s="19">
        <f t="shared" si="2"/>
        <v>0</v>
      </c>
      <c r="G41" s="197">
        <f>SUM(G37,G40)</f>
        <v>186660</v>
      </c>
      <c r="H41" s="197">
        <f>SUM(H37,H40)</f>
        <v>0</v>
      </c>
      <c r="I41" s="19">
        <f t="shared" si="3"/>
        <v>0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178">
        <v>11500</v>
      </c>
      <c r="E42" s="76">
        <f>C140+E140+G140+I140</f>
        <v>17146</v>
      </c>
      <c r="F42" s="21">
        <f t="shared" si="2"/>
        <v>1.4909565217391305</v>
      </c>
      <c r="G42" s="180">
        <f>D42+'2018APR'!G42</f>
        <v>56000</v>
      </c>
      <c r="H42" s="77">
        <f>E42+'2018APR'!H42</f>
        <v>92856</v>
      </c>
      <c r="I42" s="21">
        <f t="shared" si="3"/>
        <v>1.6581428571428571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67">
        <v>8000</v>
      </c>
      <c r="E43" s="20">
        <v>0</v>
      </c>
      <c r="F43" s="21">
        <f t="shared" si="2"/>
        <v>0</v>
      </c>
      <c r="G43" s="68">
        <f>D43+'2018APR'!G43</f>
        <v>12000</v>
      </c>
      <c r="H43" s="68">
        <f>E43+'2018APR'!H43</f>
        <v>0</v>
      </c>
      <c r="I43" s="21">
        <f t="shared" si="3"/>
        <v>0</v>
      </c>
      <c r="J43" s="572"/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67">
        <v>33500</v>
      </c>
      <c r="E44" s="202">
        <v>100000</v>
      </c>
      <c r="F44" s="21">
        <f t="shared" si="2"/>
        <v>2.9850746268656718</v>
      </c>
      <c r="G44" s="68">
        <f>D44+'2018APR'!G44</f>
        <v>167500</v>
      </c>
      <c r="H44" s="68">
        <f>E44+'2018APR'!H44</f>
        <v>199970</v>
      </c>
      <c r="I44" s="21">
        <f t="shared" si="3"/>
        <v>1.1938507462686567</v>
      </c>
      <c r="J44" s="570"/>
      <c r="K44" s="570"/>
      <c r="L44" s="570"/>
      <c r="M44" s="571"/>
    </row>
    <row r="45" spans="1:13" s="8" customFormat="1">
      <c r="A45" s="587" t="s">
        <v>46</v>
      </c>
      <c r="B45" s="588"/>
      <c r="C45" s="589"/>
      <c r="D45" s="196">
        <f>SUM(D28,D34,D41,D42:D44)</f>
        <v>117170.8</v>
      </c>
      <c r="E45" s="78">
        <f>SUM(E28,E34,E41,E42:E44)</f>
        <v>148999</v>
      </c>
      <c r="F45" s="22">
        <f t="shared" si="2"/>
        <v>1.2716393504183636</v>
      </c>
      <c r="G45" s="196">
        <f>SUM(G28,G34,G41,G42:G44)</f>
        <v>545777.80000000005</v>
      </c>
      <c r="H45" s="196">
        <f>SUM(H28,H34,H41,H42:H44)</f>
        <v>447992</v>
      </c>
      <c r="I45" s="22">
        <f t="shared" si="3"/>
        <v>0.82083221413549612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196">
        <f>D45-D42</f>
        <v>105670.8</v>
      </c>
      <c r="E46" s="196">
        <f>E45-E42</f>
        <v>131853</v>
      </c>
      <c r="F46" s="22">
        <f t="shared" si="2"/>
        <v>1.2477713805516755</v>
      </c>
      <c r="G46" s="196">
        <f>G45-G42</f>
        <v>489777.80000000005</v>
      </c>
      <c r="H46" s="196">
        <f>H45-H42</f>
        <v>355136</v>
      </c>
      <c r="I46" s="22">
        <f t="shared" si="3"/>
        <v>0.72509615584863174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195">
        <f>D46-D44</f>
        <v>72170.8</v>
      </c>
      <c r="E47" s="195">
        <f>E46-E44</f>
        <v>31853</v>
      </c>
      <c r="F47" s="23">
        <f t="shared" si="2"/>
        <v>0.44135578377958951</v>
      </c>
      <c r="G47" s="195">
        <f>G46-G44</f>
        <v>322277.80000000005</v>
      </c>
      <c r="H47" s="195">
        <f>H46-H44</f>
        <v>155166</v>
      </c>
      <c r="I47" s="23">
        <f t="shared" si="3"/>
        <v>0.48146661048325384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193" t="s">
        <v>23</v>
      </c>
      <c r="E52" s="193" t="s">
        <v>24</v>
      </c>
      <c r="F52" s="193" t="s">
        <v>25</v>
      </c>
      <c r="G52" s="193" t="s">
        <v>23</v>
      </c>
      <c r="H52" s="193" t="s">
        <v>24</v>
      </c>
      <c r="I52" s="193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12</v>
      </c>
      <c r="E53" s="200">
        <v>7</v>
      </c>
      <c r="F53" s="28">
        <f t="shared" ref="F53:F79" si="4">E53/D53</f>
        <v>0.58333333333333337</v>
      </c>
      <c r="G53" s="66">
        <f>D53+'2018APR'!G53</f>
        <v>56</v>
      </c>
      <c r="H53" s="66">
        <f>E53+'2018APR'!H53</f>
        <v>71</v>
      </c>
      <c r="I53" s="28">
        <f t="shared" ref="I53:I79" si="5">H53/G53</f>
        <v>1.2678571428571428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300</v>
      </c>
      <c r="E54" s="200">
        <v>354</v>
      </c>
      <c r="F54" s="28">
        <f t="shared" si="4"/>
        <v>1.18</v>
      </c>
      <c r="G54" s="66">
        <f>D54+'2018APR'!G54</f>
        <v>1500</v>
      </c>
      <c r="H54" s="66">
        <f>E54+'2018APR'!H54</f>
        <v>1688</v>
      </c>
      <c r="I54" s="28">
        <f t="shared" si="5"/>
        <v>1.1253333333333333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198">
        <f>SUM(D53:D54)</f>
        <v>312</v>
      </c>
      <c r="E55" s="198">
        <f>SUM(E53:E54)</f>
        <v>361</v>
      </c>
      <c r="F55" s="30">
        <f t="shared" si="4"/>
        <v>1.1570512820512822</v>
      </c>
      <c r="G55" s="198">
        <f>SUM(G53:G54)</f>
        <v>1556</v>
      </c>
      <c r="H55" s="198">
        <f>SUM(H53:H54)</f>
        <v>1759</v>
      </c>
      <c r="I55" s="30">
        <f t="shared" si="5"/>
        <v>1.1304627249357326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40</v>
      </c>
      <c r="E56" s="200">
        <v>22</v>
      </c>
      <c r="F56" s="28">
        <f t="shared" si="4"/>
        <v>0.55000000000000004</v>
      </c>
      <c r="G56" s="66">
        <f>D56+'2018APR'!G56</f>
        <v>200</v>
      </c>
      <c r="H56" s="66">
        <f>E56+'2018APR'!H56</f>
        <v>227</v>
      </c>
      <c r="I56" s="28">
        <f t="shared" si="5"/>
        <v>1.135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600</v>
      </c>
      <c r="E57" s="200">
        <v>826</v>
      </c>
      <c r="F57" s="28">
        <f t="shared" si="4"/>
        <v>1.3766666666666667</v>
      </c>
      <c r="G57" s="66">
        <f>D57+'2018APR'!G57</f>
        <v>3000</v>
      </c>
      <c r="H57" s="66">
        <f>E57+'2018APR'!H57</f>
        <v>3751</v>
      </c>
      <c r="I57" s="28">
        <f t="shared" si="5"/>
        <v>1.2503333333333333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190">
        <f>SUM(D56:D57)</f>
        <v>640</v>
      </c>
      <c r="E58" s="190">
        <f>SUM(E56:E57)</f>
        <v>848</v>
      </c>
      <c r="F58" s="28">
        <f t="shared" si="4"/>
        <v>1.325</v>
      </c>
      <c r="G58" s="190">
        <f>SUM(G56:G57)</f>
        <v>3200</v>
      </c>
      <c r="H58" s="190">
        <f>SUM(H56:H57)</f>
        <v>3978</v>
      </c>
      <c r="I58" s="31">
        <f t="shared" si="5"/>
        <v>1.243125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186">
        <f>SUM(D53,D56)</f>
        <v>52</v>
      </c>
      <c r="E59" s="186">
        <f>SUM(E53,E56)</f>
        <v>29</v>
      </c>
      <c r="F59" s="32">
        <f t="shared" si="4"/>
        <v>0.55769230769230771</v>
      </c>
      <c r="G59" s="186">
        <f>SUM(G53,G56)</f>
        <v>256</v>
      </c>
      <c r="H59" s="186">
        <f>SUM(H53,H56)</f>
        <v>298</v>
      </c>
      <c r="I59" s="32">
        <f t="shared" si="5"/>
        <v>1.1640625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186">
        <f>SUM(D54,D57)</f>
        <v>900</v>
      </c>
      <c r="E60" s="186">
        <f>SUM(E54,E57)</f>
        <v>1180</v>
      </c>
      <c r="F60" s="32">
        <f t="shared" si="4"/>
        <v>1.3111111111111111</v>
      </c>
      <c r="G60" s="186">
        <f>SUM(G54,G57)</f>
        <v>4500</v>
      </c>
      <c r="H60" s="186">
        <f>SUM(H54,H57)</f>
        <v>5439</v>
      </c>
      <c r="I60" s="32">
        <f t="shared" si="5"/>
        <v>1.2086666666666666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194">
        <f>SUM(D59:D60)</f>
        <v>952</v>
      </c>
      <c r="E61" s="194">
        <f>SUM(E59:E60)</f>
        <v>1209</v>
      </c>
      <c r="F61" s="33">
        <f t="shared" si="4"/>
        <v>1.2699579831932772</v>
      </c>
      <c r="G61" s="194">
        <f>SUM(G59:G60)</f>
        <v>4756</v>
      </c>
      <c r="H61" s="194">
        <f>SUM(H59:H60)</f>
        <v>5737</v>
      </c>
      <c r="I61" s="33">
        <f t="shared" si="5"/>
        <v>1.2062657695542474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42</v>
      </c>
      <c r="E62" s="192">
        <f>E71/10</f>
        <v>24.3</v>
      </c>
      <c r="F62" s="28">
        <f t="shared" si="4"/>
        <v>0.57857142857142863</v>
      </c>
      <c r="G62" s="66">
        <f>D62+'2018APR'!G62</f>
        <v>196</v>
      </c>
      <c r="H62" s="66">
        <f>E62+'2018APR'!H62</f>
        <v>246.8</v>
      </c>
      <c r="I62" s="28">
        <f t="shared" si="5"/>
        <v>1.2591836734693878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65">
        <v>1044</v>
      </c>
      <c r="E63" s="192">
        <f>E72/10</f>
        <v>1231.4000000000001</v>
      </c>
      <c r="F63" s="28">
        <f t="shared" si="4"/>
        <v>1.1795019157088122</v>
      </c>
      <c r="G63" s="66">
        <f>D63+'2018APR'!G63</f>
        <v>5220</v>
      </c>
      <c r="H63" s="66">
        <f>E63+'2018APR'!H63</f>
        <v>5871.5</v>
      </c>
      <c r="I63" s="28">
        <f t="shared" si="5"/>
        <v>1.1248084291187739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1086</v>
      </c>
      <c r="E64" s="198">
        <f>SUM(E62:E63)</f>
        <v>1255.7</v>
      </c>
      <c r="F64" s="30">
        <f t="shared" si="4"/>
        <v>1.1562615101289135</v>
      </c>
      <c r="G64" s="198">
        <f>SUM(G62:G63)</f>
        <v>5416</v>
      </c>
      <c r="H64" s="198">
        <f>SUM(H62:H63)</f>
        <v>6118.3</v>
      </c>
      <c r="I64" s="30">
        <f t="shared" si="5"/>
        <v>1.1296713441654358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64</v>
      </c>
      <c r="E65" s="192">
        <f>E74/10</f>
        <v>33</v>
      </c>
      <c r="F65" s="28">
        <f t="shared" si="4"/>
        <v>0.515625</v>
      </c>
      <c r="G65" s="66">
        <f>D65+'2018APR'!G65</f>
        <v>320</v>
      </c>
      <c r="H65" s="66">
        <f>E65+'2018APR'!H65</f>
        <v>289.90000000000003</v>
      </c>
      <c r="I65" s="28">
        <f t="shared" si="5"/>
        <v>0.90593750000000006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960</v>
      </c>
      <c r="E66" s="192">
        <f>E75/10</f>
        <v>1265.3</v>
      </c>
      <c r="F66" s="28">
        <f t="shared" si="4"/>
        <v>1.3180208333333332</v>
      </c>
      <c r="G66" s="66">
        <f>D66+'2018APR'!G66</f>
        <v>4800</v>
      </c>
      <c r="H66" s="66">
        <f>E66+'2018APR'!H66</f>
        <v>5891.8</v>
      </c>
      <c r="I66" s="28">
        <f t="shared" si="5"/>
        <v>1.2274583333333333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190">
        <f>SUM(D65:D66)</f>
        <v>1024</v>
      </c>
      <c r="E67" s="190">
        <f>SUM(E65:E66)</f>
        <v>1298.3</v>
      </c>
      <c r="F67" s="31">
        <f t="shared" si="4"/>
        <v>1.26787109375</v>
      </c>
      <c r="G67" s="190">
        <f>SUM(G65:G66)</f>
        <v>5120</v>
      </c>
      <c r="H67" s="190">
        <f>SUM(H65:H66)</f>
        <v>6181.7</v>
      </c>
      <c r="I67" s="31">
        <f t="shared" si="5"/>
        <v>1.2073632812499999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186">
        <f>SUM(D62,D65)</f>
        <v>106</v>
      </c>
      <c r="E68" s="186">
        <f>SUM(E62,E65)</f>
        <v>57.3</v>
      </c>
      <c r="F68" s="32">
        <f t="shared" si="4"/>
        <v>0.54056603773584899</v>
      </c>
      <c r="G68" s="186">
        <f>SUM(G62,G65)</f>
        <v>516</v>
      </c>
      <c r="H68" s="186">
        <f>SUM(H62,H65)</f>
        <v>536.70000000000005</v>
      </c>
      <c r="I68" s="32">
        <f t="shared" si="5"/>
        <v>1.0401162790697676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186">
        <f>SUM(D63,D66)</f>
        <v>2004</v>
      </c>
      <c r="E69" s="186">
        <f>SUM(E63,E66)</f>
        <v>2496.6999999999998</v>
      </c>
      <c r="F69" s="32">
        <f t="shared" si="4"/>
        <v>1.2458582834331335</v>
      </c>
      <c r="G69" s="186">
        <f>SUM(G63,G66)</f>
        <v>10020</v>
      </c>
      <c r="H69" s="186">
        <f>SUM(H63,H66)</f>
        <v>11763.3</v>
      </c>
      <c r="I69" s="32">
        <f t="shared" si="5"/>
        <v>1.1739820359281437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194">
        <f>SUM(D68:D69)</f>
        <v>2110</v>
      </c>
      <c r="E70" s="194">
        <f>SUM(E68:E69)</f>
        <v>2554</v>
      </c>
      <c r="F70" s="34">
        <f t="shared" si="4"/>
        <v>1.2104265402843601</v>
      </c>
      <c r="G70" s="194">
        <f>SUM(G68:G69)</f>
        <v>10536</v>
      </c>
      <c r="H70" s="194">
        <f>SUM(H68:H69)</f>
        <v>12300</v>
      </c>
      <c r="I70" s="34">
        <f t="shared" si="5"/>
        <v>1.1674259681093395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1948.7999999999997</v>
      </c>
      <c r="E71" s="200">
        <v>243</v>
      </c>
      <c r="F71" s="28">
        <f t="shared" si="4"/>
        <v>0.12469211822660101</v>
      </c>
      <c r="G71" s="179">
        <f>D71+'2018APR'!G71</f>
        <v>5567.7999999999993</v>
      </c>
      <c r="H71" s="66">
        <f>E71+'2018APR'!H71</f>
        <v>2468</v>
      </c>
      <c r="I71" s="28">
        <f t="shared" si="5"/>
        <v>0.44326304824167539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65">
        <v>10440</v>
      </c>
      <c r="E72" s="201">
        <f>E23-E71</f>
        <v>12314</v>
      </c>
      <c r="F72" s="28">
        <f t="shared" si="4"/>
        <v>1.1795019157088122</v>
      </c>
      <c r="G72" s="66">
        <f>D72+'2018APR'!G72</f>
        <v>52200</v>
      </c>
      <c r="H72" s="66">
        <f>E72+'2018APR'!H72</f>
        <v>58715</v>
      </c>
      <c r="I72" s="28">
        <f t="shared" si="5"/>
        <v>1.1248084291187739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198">
        <f>SUM(D71:D72)</f>
        <v>12388.8</v>
      </c>
      <c r="E73" s="198">
        <f>SUM(E71:E72)</f>
        <v>12557</v>
      </c>
      <c r="F73" s="30">
        <f t="shared" si="4"/>
        <v>1.0135767790262173</v>
      </c>
      <c r="G73" s="198">
        <f>SUM(G71:G72)</f>
        <v>57767.8</v>
      </c>
      <c r="H73" s="198">
        <f>SUM(H71:H72)</f>
        <v>61183</v>
      </c>
      <c r="I73" s="30">
        <f t="shared" si="5"/>
        <v>1.0591194402417956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3200</v>
      </c>
      <c r="E74" s="200">
        <v>330</v>
      </c>
      <c r="F74" s="28">
        <f t="shared" si="4"/>
        <v>0.10312499999999999</v>
      </c>
      <c r="G74" s="179">
        <f>D74+'2018APR'!G74</f>
        <v>9600</v>
      </c>
      <c r="H74" s="66">
        <f>E74+'2018APR'!H74</f>
        <v>2899</v>
      </c>
      <c r="I74" s="28">
        <f t="shared" si="5"/>
        <v>0.30197916666666669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65">
        <v>9600</v>
      </c>
      <c r="E75" s="201">
        <f>E25-E74</f>
        <v>12653</v>
      </c>
      <c r="F75" s="28">
        <f t="shared" si="4"/>
        <v>1.3180208333333334</v>
      </c>
      <c r="G75" s="66">
        <f>D75+'2018APR'!G75</f>
        <v>48000</v>
      </c>
      <c r="H75" s="66">
        <f>E75+'2018APR'!H75</f>
        <v>58918</v>
      </c>
      <c r="I75" s="28">
        <f t="shared" si="5"/>
        <v>1.2274583333333333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190">
        <f>SUM(D74:D75)</f>
        <v>12800</v>
      </c>
      <c r="E76" s="190">
        <f>SUM(E74:E75)</f>
        <v>12983</v>
      </c>
      <c r="F76" s="31">
        <f t="shared" si="4"/>
        <v>1.0142968750000001</v>
      </c>
      <c r="G76" s="190">
        <f>SUM(G74:G75)</f>
        <v>57600</v>
      </c>
      <c r="H76" s="190">
        <f>SUM(H74:H75)</f>
        <v>61817</v>
      </c>
      <c r="I76" s="31">
        <f t="shared" si="5"/>
        <v>1.0732118055555555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186">
        <f>SUM(D71,D74)</f>
        <v>5148.7999999999993</v>
      </c>
      <c r="E77" s="186">
        <f>SUM(E71,E74)</f>
        <v>573</v>
      </c>
      <c r="F77" s="32">
        <f t="shared" si="4"/>
        <v>0.11128806712243632</v>
      </c>
      <c r="G77" s="186">
        <f>SUM(G71,G74)</f>
        <v>15167.8</v>
      </c>
      <c r="H77" s="186">
        <f>SUM(H71,H74)</f>
        <v>5367</v>
      </c>
      <c r="I77" s="32">
        <f t="shared" si="5"/>
        <v>0.35384169095056633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186">
        <f>SUM(D72,D75)</f>
        <v>20040</v>
      </c>
      <c r="E78" s="186">
        <f>SUM(E72,E75)</f>
        <v>24967</v>
      </c>
      <c r="F78" s="32">
        <f t="shared" si="4"/>
        <v>1.2458582834331338</v>
      </c>
      <c r="G78" s="186">
        <f>SUM(G72,G75)</f>
        <v>100200</v>
      </c>
      <c r="H78" s="186">
        <f>SUM(H72,H75)</f>
        <v>117633</v>
      </c>
      <c r="I78" s="32">
        <f t="shared" si="5"/>
        <v>1.1739820359281437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194">
        <f>SUM(D77:D78)</f>
        <v>25188.799999999999</v>
      </c>
      <c r="E79" s="194">
        <f>SUM(E77:E78)</f>
        <v>25540</v>
      </c>
      <c r="F79" s="34">
        <f t="shared" si="4"/>
        <v>1.0139427046941498</v>
      </c>
      <c r="G79" s="194">
        <f>SUM(G77:G78)</f>
        <v>115367.8</v>
      </c>
      <c r="H79" s="194">
        <f>SUM(H77:H78)</f>
        <v>123000</v>
      </c>
      <c r="I79" s="34">
        <f t="shared" si="5"/>
        <v>1.0661553743765591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361</v>
      </c>
      <c r="E87" s="130"/>
      <c r="F87" s="134">
        <f>D87+'2018APR'!F87</f>
        <v>1759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7</v>
      </c>
      <c r="E88" s="128"/>
      <c r="F88" s="134">
        <f>D88+'2018APR'!F88</f>
        <v>71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2</v>
      </c>
      <c r="E89" s="128">
        <f>D89/D87</f>
        <v>5.5401662049861496E-3</v>
      </c>
      <c r="F89" s="134">
        <f>D89+'2018APR'!F89</f>
        <v>5</v>
      </c>
      <c r="G89" s="128">
        <f>F89/F87</f>
        <v>2.8425241614553724E-3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4</v>
      </c>
      <c r="E90" s="128">
        <f>D90/D92</f>
        <v>1.8018018018018018E-2</v>
      </c>
      <c r="F90" s="134">
        <f>D90+'2018APR'!F90</f>
        <v>116</v>
      </c>
      <c r="G90" s="128">
        <f>F90/F92</f>
        <v>0.11764705882352941</v>
      </c>
      <c r="H90" s="128"/>
    </row>
    <row r="91" spans="1:13" ht="15" customHeight="1">
      <c r="A91" s="774"/>
      <c r="B91" s="775" t="s">
        <v>202</v>
      </c>
      <c r="C91" s="775"/>
      <c r="D91" s="131">
        <v>227</v>
      </c>
      <c r="E91" s="128">
        <f>D91/D92</f>
        <v>1.0225225225225225</v>
      </c>
      <c r="F91" s="134">
        <f>D91+'2018APR'!F91</f>
        <v>947</v>
      </c>
      <c r="G91" s="128">
        <f>F91/F92</f>
        <v>0.96044624746450302</v>
      </c>
      <c r="H91" s="128"/>
    </row>
    <row r="92" spans="1:13" ht="15" customHeight="1">
      <c r="A92" s="774"/>
      <c r="B92" s="775" t="s">
        <v>203</v>
      </c>
      <c r="C92" s="775"/>
      <c r="D92" s="131">
        <v>222</v>
      </c>
      <c r="E92" s="130"/>
      <c r="F92" s="134">
        <f>D92+'2018APR'!F92</f>
        <v>986</v>
      </c>
      <c r="G92" s="130"/>
      <c r="H92" s="128"/>
    </row>
    <row r="93" spans="1:13">
      <c r="C93" s="126" t="s">
        <v>210</v>
      </c>
      <c r="D93" s="132">
        <v>582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193" t="s">
        <v>23</v>
      </c>
      <c r="E97" s="193" t="s">
        <v>24</v>
      </c>
      <c r="F97" s="193" t="s">
        <v>25</v>
      </c>
      <c r="G97" s="193" t="s">
        <v>23</v>
      </c>
      <c r="H97" s="193" t="s">
        <v>24</v>
      </c>
      <c r="I97" s="193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200">
        <v>0</v>
      </c>
      <c r="F98" s="37" t="e">
        <f>E98/D98</f>
        <v>#DIV/0!</v>
      </c>
      <c r="G98" s="66">
        <f>D98+'2018APR'!G98</f>
        <v>0</v>
      </c>
      <c r="H98" s="66">
        <f>E98+'2018APR'!H98</f>
        <v>1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41</v>
      </c>
      <c r="E99" s="200">
        <v>40</v>
      </c>
      <c r="F99" s="28">
        <f t="shared" ref="F99:F115" si="6">E99/D99</f>
        <v>0.97560975609756095</v>
      </c>
      <c r="G99" s="66">
        <f>D99+'2018APR'!G99</f>
        <v>205</v>
      </c>
      <c r="H99" s="66">
        <f>E99+'2018APR'!H99</f>
        <v>206</v>
      </c>
      <c r="I99" s="28">
        <f t="shared" ref="I99:I115" si="7">H99/G99</f>
        <v>1.0048780487804878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198">
        <f>SUM(D98:D99)</f>
        <v>41</v>
      </c>
      <c r="E100" s="198">
        <f>SUM(E98:E99)</f>
        <v>40</v>
      </c>
      <c r="F100" s="30">
        <f t="shared" si="6"/>
        <v>0.97560975609756095</v>
      </c>
      <c r="G100" s="198">
        <f>SUM(G98:G99)</f>
        <v>205</v>
      </c>
      <c r="H100" s="198">
        <f>SUM(H98:H99)</f>
        <v>207</v>
      </c>
      <c r="I100" s="30">
        <f t="shared" si="7"/>
        <v>1.0097560975609756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200">
        <v>0</v>
      </c>
      <c r="F101" s="28" t="e">
        <f t="shared" si="6"/>
        <v>#DIV/0!</v>
      </c>
      <c r="G101" s="66">
        <f>D101+'2018APR'!G101</f>
        <v>0</v>
      </c>
      <c r="H101" s="66">
        <f>E101+'2018APR'!H101</f>
        <v>0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11</v>
      </c>
      <c r="E102" s="200">
        <v>10</v>
      </c>
      <c r="F102" s="28">
        <f t="shared" si="6"/>
        <v>0.90909090909090906</v>
      </c>
      <c r="G102" s="66">
        <f>D102+'2018APR'!G102</f>
        <v>55</v>
      </c>
      <c r="H102" s="66">
        <f>E102+'2018APR'!H102</f>
        <v>51</v>
      </c>
      <c r="I102" s="28">
        <f t="shared" si="7"/>
        <v>0.92727272727272725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198">
        <f>SUM(D101:D102)</f>
        <v>11</v>
      </c>
      <c r="E103" s="198">
        <f>SUM(E101:E102)</f>
        <v>10</v>
      </c>
      <c r="F103" s="30">
        <f t="shared" si="6"/>
        <v>0.90909090909090906</v>
      </c>
      <c r="G103" s="198">
        <f>SUM(G101:G102)</f>
        <v>55</v>
      </c>
      <c r="H103" s="198">
        <f>SUM(H101:H102)</f>
        <v>51</v>
      </c>
      <c r="I103" s="30">
        <f t="shared" si="7"/>
        <v>0.92727272727272725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0</v>
      </c>
      <c r="E104" s="200">
        <v>5</v>
      </c>
      <c r="F104" s="28" t="e">
        <f t="shared" si="6"/>
        <v>#DIV/0!</v>
      </c>
      <c r="G104" s="66">
        <f>D104+'2018APR'!G104</f>
        <v>0</v>
      </c>
      <c r="H104" s="66">
        <f>E104+'2018APR'!H104</f>
        <v>5</v>
      </c>
      <c r="I104" s="28" t="e">
        <f t="shared" si="7"/>
        <v>#DIV/0!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63</v>
      </c>
      <c r="E105" s="200">
        <v>56</v>
      </c>
      <c r="F105" s="28">
        <f t="shared" si="6"/>
        <v>0.88888888888888884</v>
      </c>
      <c r="G105" s="66">
        <f>D105+'2018APR'!G105</f>
        <v>315</v>
      </c>
      <c r="H105" s="66">
        <f>E105+'2018APR'!H105</f>
        <v>290</v>
      </c>
      <c r="I105" s="28">
        <f t="shared" si="7"/>
        <v>0.92063492063492058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198">
        <f>SUM(D104:D105)</f>
        <v>63</v>
      </c>
      <c r="E106" s="198">
        <f>SUM(E104:E105)</f>
        <v>61</v>
      </c>
      <c r="F106" s="30">
        <f t="shared" si="6"/>
        <v>0.96825396825396826</v>
      </c>
      <c r="G106" s="198">
        <f>SUM(G104:G105)</f>
        <v>315</v>
      </c>
      <c r="H106" s="198">
        <f>SUM(H104:H105)</f>
        <v>295</v>
      </c>
      <c r="I106" s="30">
        <f t="shared" si="7"/>
        <v>0.93650793650793651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2</v>
      </c>
      <c r="E107" s="200">
        <v>1</v>
      </c>
      <c r="F107" s="28">
        <f>E107/D107</f>
        <v>0.5</v>
      </c>
      <c r="G107" s="66">
        <f>D107+'2018APR'!G107</f>
        <v>8</v>
      </c>
      <c r="H107" s="66">
        <f>E107+'2018APR'!H107</f>
        <v>16</v>
      </c>
      <c r="I107" s="28">
        <f>H107/G107</f>
        <v>2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106</v>
      </c>
      <c r="E108" s="200">
        <v>108</v>
      </c>
      <c r="F108" s="28">
        <f>E108/D108</f>
        <v>1.0188679245283019</v>
      </c>
      <c r="G108" s="66">
        <f>D108+'2018APR'!G108</f>
        <v>512</v>
      </c>
      <c r="H108" s="66">
        <f>E108+'2018APR'!H108</f>
        <v>505</v>
      </c>
      <c r="I108" s="28">
        <f t="shared" si="7"/>
        <v>0.986328125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198">
        <f>SUM(D107:D108)</f>
        <v>108</v>
      </c>
      <c r="E109" s="198">
        <f>SUM(E107:E108)</f>
        <v>109</v>
      </c>
      <c r="F109" s="30">
        <f t="shared" si="6"/>
        <v>1.0092592592592593</v>
      </c>
      <c r="G109" s="198">
        <f>SUM(G107:G108)</f>
        <v>520</v>
      </c>
      <c r="H109" s="198">
        <f>SUM(H107:H108)</f>
        <v>521</v>
      </c>
      <c r="I109" s="30">
        <f t="shared" si="7"/>
        <v>1.0019230769230769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8</v>
      </c>
      <c r="E110" s="200">
        <v>1</v>
      </c>
      <c r="F110" s="30">
        <f>E110/D110</f>
        <v>0.125</v>
      </c>
      <c r="G110" s="66">
        <f>D110+'2018APR'!G110</f>
        <v>40</v>
      </c>
      <c r="H110" s="66">
        <f>E110+'2018APR'!H110</f>
        <v>34</v>
      </c>
      <c r="I110" s="30">
        <f>H110/G110</f>
        <v>0.85</v>
      </c>
      <c r="J110" s="187"/>
      <c r="K110" s="188"/>
      <c r="L110" s="188"/>
      <c r="M110" s="189"/>
    </row>
    <row r="111" spans="1:13">
      <c r="A111" s="573"/>
      <c r="B111" s="777"/>
      <c r="C111" s="27" t="s">
        <v>70</v>
      </c>
      <c r="D111" s="65">
        <v>32</v>
      </c>
      <c r="E111" s="200">
        <v>36</v>
      </c>
      <c r="F111" s="30">
        <f t="shared" ref="F111:F112" si="8">E111/D111</f>
        <v>1.125</v>
      </c>
      <c r="G111" s="66">
        <f>D111+'2018APR'!G111</f>
        <v>80</v>
      </c>
      <c r="H111" s="66">
        <f>E111+'2018APR'!H111</f>
        <v>128</v>
      </c>
      <c r="I111" s="30">
        <f t="shared" ref="I111:I112" si="9">H111/G111</f>
        <v>1.6</v>
      </c>
      <c r="J111" s="187"/>
      <c r="K111" s="188"/>
      <c r="L111" s="188"/>
      <c r="M111" s="189"/>
    </row>
    <row r="112" spans="1:13">
      <c r="A112" s="573"/>
      <c r="B112" s="778"/>
      <c r="C112" s="38" t="s">
        <v>166</v>
      </c>
      <c r="D112" s="198">
        <f>SUM(D110:D111)</f>
        <v>40</v>
      </c>
      <c r="E112" s="198">
        <f>SUM(E110:E111)</f>
        <v>37</v>
      </c>
      <c r="F112" s="30">
        <f t="shared" si="8"/>
        <v>0.92500000000000004</v>
      </c>
      <c r="G112" s="198">
        <f>SUM(G110:G111)</f>
        <v>120</v>
      </c>
      <c r="H112" s="198">
        <f>SUM(H110:H111)</f>
        <v>162</v>
      </c>
      <c r="I112" s="30">
        <f t="shared" si="9"/>
        <v>1.35</v>
      </c>
      <c r="J112" s="187"/>
      <c r="K112" s="188"/>
      <c r="L112" s="188"/>
      <c r="M112" s="189"/>
    </row>
    <row r="113" spans="1:13">
      <c r="A113" s="573"/>
      <c r="B113" s="603" t="s">
        <v>46</v>
      </c>
      <c r="C113" s="39" t="s">
        <v>69</v>
      </c>
      <c r="D113" s="190">
        <f>SUM(D98,D101,D104,D107,D110)</f>
        <v>10</v>
      </c>
      <c r="E113" s="190">
        <f>SUM(E98,E101,E104,E107,E110)</f>
        <v>7</v>
      </c>
      <c r="F113" s="31">
        <f t="shared" si="6"/>
        <v>0.7</v>
      </c>
      <c r="G113" s="190">
        <f>SUM(G98,G101,G104,G107,G110)</f>
        <v>48</v>
      </c>
      <c r="H113" s="190">
        <f>SUM(H98,H101,H104,H107,H110)</f>
        <v>56</v>
      </c>
      <c r="I113" s="31">
        <f t="shared" si="7"/>
        <v>1.1666666666666667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190">
        <f>SUM(D99,D102,D105,D108,D111)</f>
        <v>253</v>
      </c>
      <c r="E114" s="190">
        <f>SUM(E99,E102,E105,E108,E111)</f>
        <v>250</v>
      </c>
      <c r="F114" s="31">
        <f t="shared" si="6"/>
        <v>0.98814229249011853</v>
      </c>
      <c r="G114" s="190">
        <f>SUM(G99,G102,G105,G108,G111)</f>
        <v>1167</v>
      </c>
      <c r="H114" s="190">
        <f>SUM(H99,H102,H105,H108,H111)</f>
        <v>1180</v>
      </c>
      <c r="I114" s="31">
        <f t="shared" si="7"/>
        <v>1.0111396743787489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191">
        <f>SUM(D113:D114)</f>
        <v>263</v>
      </c>
      <c r="E115" s="191">
        <f>SUM(E113:E114)</f>
        <v>257</v>
      </c>
      <c r="F115" s="41">
        <f t="shared" si="6"/>
        <v>0.97718631178707227</v>
      </c>
      <c r="G115" s="191">
        <f>SUM(G113:G114)</f>
        <v>1215</v>
      </c>
      <c r="H115" s="191">
        <f>SUM(H113:H114)</f>
        <v>1236</v>
      </c>
      <c r="I115" s="41">
        <f t="shared" si="7"/>
        <v>1.0172839506172839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2</v>
      </c>
      <c r="E116" s="64">
        <v>0</v>
      </c>
      <c r="F116" s="43">
        <f>E116/D116</f>
        <v>0</v>
      </c>
      <c r="G116" s="70">
        <f>D116+'2018APR'!G116</f>
        <v>8</v>
      </c>
      <c r="H116" s="70">
        <f>E116+'2018APR'!H116</f>
        <v>10</v>
      </c>
      <c r="I116" s="43">
        <f>H116/G116</f>
        <v>1.25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54</v>
      </c>
      <c r="E117" s="200">
        <v>57</v>
      </c>
      <c r="F117" s="28">
        <f t="shared" ref="F117:F126" si="10">E117/D117</f>
        <v>1.0555555555555556</v>
      </c>
      <c r="G117" s="71">
        <f>D117+'2018APR'!G117</f>
        <v>252</v>
      </c>
      <c r="H117" s="71">
        <f>E117+'2018APR'!H117</f>
        <v>279</v>
      </c>
      <c r="I117" s="28">
        <f t="shared" ref="I117:I126" si="11">H117/G117</f>
        <v>1.1071428571428572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198">
        <f>SUM(D116:D117)</f>
        <v>56</v>
      </c>
      <c r="E118" s="198">
        <f>SUM(E116:E117)</f>
        <v>57</v>
      </c>
      <c r="F118" s="30">
        <f t="shared" si="10"/>
        <v>1.0178571428571428</v>
      </c>
      <c r="G118" s="198">
        <f>SUM(G116:G117)</f>
        <v>260</v>
      </c>
      <c r="H118" s="198">
        <f>SUM(H116:H117)</f>
        <v>289</v>
      </c>
      <c r="I118" s="30">
        <f t="shared" si="11"/>
        <v>1.1115384615384616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200">
        <v>0</v>
      </c>
      <c r="F119" s="28" t="e">
        <f t="shared" si="10"/>
        <v>#DIV/0!</v>
      </c>
      <c r="G119" s="66">
        <f>D119+'2018APR'!G119</f>
        <v>0</v>
      </c>
      <c r="H119" s="66">
        <f>E119+'2018APR'!H119</f>
        <v>5</v>
      </c>
      <c r="I119" s="28" t="e">
        <f t="shared" si="11"/>
        <v>#DIV/0!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37</v>
      </c>
      <c r="E120" s="200">
        <v>47</v>
      </c>
      <c r="F120" s="28">
        <f t="shared" si="10"/>
        <v>1.2702702702702702</v>
      </c>
      <c r="G120" s="66">
        <f>D120+'2018APR'!G120</f>
        <v>185</v>
      </c>
      <c r="H120" s="66">
        <f>E120+'2018APR'!H120</f>
        <v>229</v>
      </c>
      <c r="I120" s="28">
        <f t="shared" si="11"/>
        <v>1.2378378378378379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198">
        <f>SUM(D119:D120)</f>
        <v>37</v>
      </c>
      <c r="E121" s="198">
        <f>SUM(E119:E120)</f>
        <v>47</v>
      </c>
      <c r="F121" s="30">
        <f t="shared" si="10"/>
        <v>1.2702702702702702</v>
      </c>
      <c r="G121" s="198">
        <f>SUM(G119:G120)</f>
        <v>185</v>
      </c>
      <c r="H121" s="198">
        <f>SUM(H119:H120)</f>
        <v>234</v>
      </c>
      <c r="I121" s="30">
        <f t="shared" si="11"/>
        <v>1.2648648648648648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190">
        <f>SUM(D116,D119)</f>
        <v>2</v>
      </c>
      <c r="E122" s="190">
        <f>SUM(E116,E119)</f>
        <v>0</v>
      </c>
      <c r="F122" s="30">
        <f t="shared" si="10"/>
        <v>0</v>
      </c>
      <c r="G122" s="190">
        <f>SUM(G116,G119)</f>
        <v>8</v>
      </c>
      <c r="H122" s="190">
        <f>SUM(H116,H119)</f>
        <v>15</v>
      </c>
      <c r="I122" s="30">
        <f t="shared" si="11"/>
        <v>1.875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190">
        <f>SUM(D117,D120)</f>
        <v>91</v>
      </c>
      <c r="E123" s="190">
        <f>SUM(E117,E120)</f>
        <v>104</v>
      </c>
      <c r="F123" s="30">
        <f t="shared" si="10"/>
        <v>1.1428571428571428</v>
      </c>
      <c r="G123" s="190">
        <f>SUM(G117,G120)</f>
        <v>437</v>
      </c>
      <c r="H123" s="190">
        <f>SUM(H117,H120)</f>
        <v>508</v>
      </c>
      <c r="I123" s="30">
        <f t="shared" si="11"/>
        <v>1.1624713958810069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191">
        <f>SUM(D122:D123)</f>
        <v>93</v>
      </c>
      <c r="E124" s="191">
        <f>SUM(E122:E123)</f>
        <v>104</v>
      </c>
      <c r="F124" s="41">
        <f t="shared" si="10"/>
        <v>1.118279569892473</v>
      </c>
      <c r="G124" s="191">
        <f>SUM(G122:G123)</f>
        <v>445</v>
      </c>
      <c r="H124" s="191">
        <f>SUM(H122:H123)</f>
        <v>523</v>
      </c>
      <c r="I124" s="41">
        <f t="shared" si="11"/>
        <v>1.1752808988764045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185">
        <f>SUM(D113,D122)</f>
        <v>12</v>
      </c>
      <c r="E125" s="185">
        <f>SUM(E113,E122)</f>
        <v>7</v>
      </c>
      <c r="F125" s="45">
        <f t="shared" si="10"/>
        <v>0.58333333333333337</v>
      </c>
      <c r="G125" s="46">
        <f>SUM(G113,G122)</f>
        <v>56</v>
      </c>
      <c r="H125" s="46">
        <f>SUM(H113,H122)</f>
        <v>71</v>
      </c>
      <c r="I125" s="45">
        <f t="shared" si="11"/>
        <v>1.2678571428571428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186">
        <f>SUM(D114,D123)</f>
        <v>344</v>
      </c>
      <c r="E126" s="186">
        <f>SUM(E114,E123)</f>
        <v>354</v>
      </c>
      <c r="F126" s="32">
        <f t="shared" si="10"/>
        <v>1.0290697674418605</v>
      </c>
      <c r="G126" s="186">
        <f>SUM(G114,G123)</f>
        <v>1604</v>
      </c>
      <c r="H126" s="186">
        <f>SUM(H114,H123)</f>
        <v>1688</v>
      </c>
      <c r="I126" s="32">
        <f t="shared" si="11"/>
        <v>1.0523690773067331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186">
        <f>SUM(D125:D126)</f>
        <v>356</v>
      </c>
      <c r="E127" s="186">
        <f>SUM(E125:E126)</f>
        <v>361</v>
      </c>
      <c r="F127" s="49">
        <f>E127/D127</f>
        <v>1.0140449438202248</v>
      </c>
      <c r="G127" s="185">
        <f>SUM(G125:G126)</f>
        <v>1660</v>
      </c>
      <c r="H127" s="185">
        <f>SUM(H125:H126)</f>
        <v>1759</v>
      </c>
      <c r="I127" s="49">
        <f>H127/G127</f>
        <v>1.0596385542168674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148</v>
      </c>
      <c r="J134" s="631"/>
      <c r="K134" s="632"/>
      <c r="L134" s="634"/>
    </row>
    <row r="135" spans="1:12">
      <c r="A135" s="628" t="s">
        <v>91</v>
      </c>
      <c r="B135" s="629"/>
      <c r="C135" s="649">
        <v>1</v>
      </c>
      <c r="D135" s="650"/>
      <c r="E135" s="649">
        <v>6</v>
      </c>
      <c r="F135" s="650"/>
      <c r="G135" s="649">
        <v>2</v>
      </c>
      <c r="H135" s="650"/>
      <c r="I135" s="649">
        <v>6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184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184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184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184" t="s">
        <v>99</v>
      </c>
      <c r="C140" s="656">
        <v>0</v>
      </c>
      <c r="D140" s="656"/>
      <c r="E140" s="656">
        <v>41</v>
      </c>
      <c r="F140" s="656"/>
      <c r="G140" s="656">
        <v>72</v>
      </c>
      <c r="H140" s="656"/>
      <c r="I140" s="770">
        <v>17033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216</v>
      </c>
      <c r="D145" s="663"/>
      <c r="E145" s="664"/>
      <c r="F145" s="662" t="s">
        <v>215</v>
      </c>
      <c r="G145" s="663"/>
      <c r="H145" s="663"/>
      <c r="I145" s="664"/>
      <c r="J145" s="663" t="s">
        <v>217</v>
      </c>
      <c r="K145" s="663"/>
      <c r="L145" s="663"/>
      <c r="M145" s="665"/>
    </row>
    <row r="146" spans="1:13" ht="35.25" customHeight="1">
      <c r="A146" s="716" t="s">
        <v>103</v>
      </c>
      <c r="B146" s="717"/>
      <c r="C146" s="718" t="s">
        <v>218</v>
      </c>
      <c r="D146" s="723"/>
      <c r="E146" s="724"/>
      <c r="F146" s="744" t="s">
        <v>219</v>
      </c>
      <c r="G146" s="748"/>
      <c r="H146" s="748"/>
      <c r="I146" s="749"/>
      <c r="J146" s="745"/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151</v>
      </c>
      <c r="D148" s="719"/>
      <c r="E148" s="720"/>
      <c r="F148" s="744" t="s">
        <v>151</v>
      </c>
      <c r="G148" s="745"/>
      <c r="H148" s="745"/>
      <c r="I148" s="746"/>
      <c r="J148" s="744" t="s">
        <v>151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182" t="s">
        <v>109</v>
      </c>
      <c r="C154" s="182" t="s">
        <v>110</v>
      </c>
      <c r="D154" s="182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>
        <f>E44</f>
        <v>100000</v>
      </c>
      <c r="B155" s="124">
        <f>'2018APR'!H155</f>
        <v>10713</v>
      </c>
      <c r="C155" s="63">
        <f>E45-E44</f>
        <v>48999</v>
      </c>
      <c r="D155" s="73">
        <v>78719</v>
      </c>
      <c r="E155" s="681" t="s">
        <v>114</v>
      </c>
      <c r="F155" s="681"/>
      <c r="G155" s="681"/>
      <c r="H155" s="72">
        <f>C155+A155+B155-D155</f>
        <v>80993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14620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201">
        <v>10</v>
      </c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18280</v>
      </c>
      <c r="H165" s="790"/>
      <c r="I165" s="791"/>
      <c r="J165" s="791"/>
      <c r="K165" s="792"/>
    </row>
    <row r="166" spans="1:11" ht="14">
      <c r="A166" s="181" t="s">
        <v>126</v>
      </c>
      <c r="B166" s="789" t="s">
        <v>127</v>
      </c>
      <c r="C166" s="789"/>
      <c r="D166" s="789"/>
      <c r="E166" s="789"/>
      <c r="F166" s="789"/>
      <c r="G166" s="200">
        <v>1914</v>
      </c>
      <c r="H166" s="790"/>
      <c r="I166" s="791"/>
      <c r="J166" s="791"/>
      <c r="K166" s="792"/>
    </row>
    <row r="167" spans="1:11" ht="14">
      <c r="A167" s="181" t="s">
        <v>128</v>
      </c>
      <c r="B167" s="789" t="s">
        <v>129</v>
      </c>
      <c r="C167" s="789"/>
      <c r="D167" s="789"/>
      <c r="E167" s="789"/>
      <c r="F167" s="789"/>
      <c r="G167" s="201"/>
      <c r="H167" s="790"/>
      <c r="I167" s="791"/>
      <c r="J167" s="791"/>
      <c r="K167" s="792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L3" xr:uid="{00000000-0002-0000-1100-000000000000}">
      <formula1>"USA, JAPAN"</formula1>
    </dataValidation>
    <dataValidation type="list" allowBlank="1" showInputMessage="1" showErrorMessage="1" sqref="G1" xr:uid="{00000000-0002-0000-1100-000001000000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pageSetUpPr fitToPage="1"/>
  </sheetPr>
  <dimension ref="A1:N167"/>
  <sheetViews>
    <sheetView topLeftCell="A28" zoomScale="98" zoomScaleNormal="98" zoomScaleSheetLayoutView="85" workbookViewId="0">
      <selection activeCell="E15" sqref="E15:I1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143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>
        <v>43308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205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214" t="s">
        <v>176</v>
      </c>
      <c r="C10" s="61">
        <v>2</v>
      </c>
      <c r="D10" s="222">
        <v>2</v>
      </c>
      <c r="E10" s="538" t="s">
        <v>182</v>
      </c>
      <c r="F10" s="538"/>
      <c r="G10" s="538"/>
      <c r="H10" s="538"/>
      <c r="I10" s="539"/>
    </row>
    <row r="11" spans="1:13">
      <c r="A11" s="537"/>
      <c r="B11" s="214" t="s">
        <v>177</v>
      </c>
      <c r="C11" s="61">
        <v>2</v>
      </c>
      <c r="D11" s="222">
        <v>2</v>
      </c>
      <c r="E11" s="540" t="s">
        <v>183</v>
      </c>
      <c r="F11" s="541"/>
      <c r="G11" s="541"/>
      <c r="H11" s="541"/>
      <c r="I11" s="542"/>
    </row>
    <row r="12" spans="1:13">
      <c r="A12" s="537"/>
      <c r="B12" s="214" t="s">
        <v>179</v>
      </c>
      <c r="C12" s="61">
        <v>2</v>
      </c>
      <c r="D12" s="222">
        <v>1</v>
      </c>
      <c r="E12" s="768" t="s">
        <v>184</v>
      </c>
      <c r="F12" s="538"/>
      <c r="G12" s="538"/>
      <c r="H12" s="538"/>
      <c r="I12" s="539"/>
    </row>
    <row r="13" spans="1:13">
      <c r="A13" s="537"/>
      <c r="B13" s="214" t="s">
        <v>180</v>
      </c>
      <c r="C13" s="61">
        <v>3</v>
      </c>
      <c r="D13" s="222">
        <v>1</v>
      </c>
      <c r="E13" s="538" t="s">
        <v>212</v>
      </c>
      <c r="F13" s="538"/>
      <c r="G13" s="538"/>
      <c r="H13" s="538"/>
      <c r="I13" s="539"/>
    </row>
    <row r="14" spans="1:13">
      <c r="A14" s="537"/>
      <c r="B14" s="214" t="s">
        <v>12</v>
      </c>
      <c r="C14" s="61">
        <v>0</v>
      </c>
      <c r="D14" s="222">
        <v>0</v>
      </c>
      <c r="E14" s="540"/>
      <c r="F14" s="541"/>
      <c r="G14" s="541"/>
      <c r="H14" s="541"/>
      <c r="I14" s="542"/>
    </row>
    <row r="15" spans="1:13">
      <c r="A15" s="537"/>
      <c r="B15" s="214" t="s">
        <v>13</v>
      </c>
      <c r="C15" s="61">
        <v>2</v>
      </c>
      <c r="D15" s="222">
        <v>2</v>
      </c>
      <c r="E15" s="768" t="s">
        <v>220</v>
      </c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8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19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219" t="s">
        <v>23</v>
      </c>
      <c r="E21" s="219" t="s">
        <v>24</v>
      </c>
      <c r="F21" s="219" t="s">
        <v>25</v>
      </c>
      <c r="G21" s="219" t="s">
        <v>23</v>
      </c>
      <c r="H21" s="219" t="s">
        <v>24</v>
      </c>
      <c r="I21" s="219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177">
        <v>12806.4</v>
      </c>
      <c r="E23" s="222">
        <v>12487</v>
      </c>
      <c r="F23" s="14">
        <f t="shared" ref="F23:F28" si="0">E23/D23</f>
        <v>0.9750593453273364</v>
      </c>
      <c r="G23" s="179">
        <f>D23+'2018MAY'!G23</f>
        <v>70574.2</v>
      </c>
      <c r="H23" s="66">
        <f>E23+'2018MAY'!H23</f>
        <v>73670</v>
      </c>
      <c r="I23" s="14">
        <f t="shared" ref="I23:I28" si="1">H23/G23</f>
        <v>1.0438658886675301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220">
        <f>SUM(D23:D23)</f>
        <v>12806.4</v>
      </c>
      <c r="E24" s="220">
        <f>SUM(E23:E23)</f>
        <v>12487</v>
      </c>
      <c r="F24" s="16">
        <f t="shared" si="0"/>
        <v>0.9750593453273364</v>
      </c>
      <c r="G24" s="220">
        <f>SUM(G23:G23)</f>
        <v>70574.2</v>
      </c>
      <c r="H24" s="220">
        <f>SUM(H23:H23)</f>
        <v>73670</v>
      </c>
      <c r="I24" s="16">
        <f t="shared" si="1"/>
        <v>1.0438658886675301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177">
        <v>13440</v>
      </c>
      <c r="E25" s="222">
        <v>13083</v>
      </c>
      <c r="F25" s="14">
        <f t="shared" si="0"/>
        <v>0.97343749999999996</v>
      </c>
      <c r="G25" s="179">
        <f>D25+'2018MAY'!G25</f>
        <v>71040</v>
      </c>
      <c r="H25" s="66">
        <f>E25+'2018MAY'!H25</f>
        <v>74900</v>
      </c>
      <c r="I25" s="14">
        <f t="shared" si="1"/>
        <v>1.0543355855855856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65">
        <v>0</v>
      </c>
      <c r="E26" s="222">
        <v>0</v>
      </c>
      <c r="F26" s="14" t="e">
        <f t="shared" si="0"/>
        <v>#DIV/0!</v>
      </c>
      <c r="G26" s="214">
        <f>D26</f>
        <v>0</v>
      </c>
      <c r="H26" s="214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220">
        <f>SUM(D25:D26)</f>
        <v>13440</v>
      </c>
      <c r="E27" s="220">
        <f>SUM(E25:E26)</f>
        <v>13083</v>
      </c>
      <c r="F27" s="16">
        <f t="shared" si="0"/>
        <v>0.97343749999999996</v>
      </c>
      <c r="G27" s="220">
        <f>SUM(G25:G26)</f>
        <v>71040</v>
      </c>
      <c r="H27" s="220">
        <f>SUM(H25:H26)</f>
        <v>74900</v>
      </c>
      <c r="I27" s="16">
        <f t="shared" si="1"/>
        <v>1.0543355855855856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221">
        <f>SUM(D24,D27)</f>
        <v>26246.400000000001</v>
      </c>
      <c r="E28" s="221">
        <f>SUM(E24,E27)</f>
        <v>25570</v>
      </c>
      <c r="F28" s="17">
        <f t="shared" si="0"/>
        <v>0.97422884662277487</v>
      </c>
      <c r="G28" s="221">
        <f>SUM(G24,G27)</f>
        <v>141614.20000000001</v>
      </c>
      <c r="H28" s="221">
        <f>SUM(H24,H27)</f>
        <v>148570</v>
      </c>
      <c r="I28" s="17">
        <f t="shared" si="1"/>
        <v>1.0491179556852348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35</v>
      </c>
      <c r="C30" s="128" t="s">
        <v>29</v>
      </c>
      <c r="D30" s="65">
        <v>1000</v>
      </c>
      <c r="E30" s="222">
        <v>3813</v>
      </c>
      <c r="F30" s="14">
        <f>E30/D30</f>
        <v>3.8130000000000002</v>
      </c>
      <c r="G30" s="66">
        <f>D30+'2018MAY'!G30</f>
        <v>6000</v>
      </c>
      <c r="H30" s="66">
        <f>E30+'2018MAY'!H30</f>
        <v>18479</v>
      </c>
      <c r="I30" s="14">
        <f>H30/G30</f>
        <v>3.0798333333333332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65">
        <v>0</v>
      </c>
      <c r="E31" s="222">
        <v>231</v>
      </c>
      <c r="F31" s="14" t="e">
        <f t="shared" ref="F31:F47" si="2">E31/D31</f>
        <v>#DIV/0!</v>
      </c>
      <c r="G31" s="66">
        <f>D31+'2018MAY'!G31</f>
        <v>0</v>
      </c>
      <c r="H31" s="66">
        <f>E31+'2018MAY'!H31</f>
        <v>13034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220">
        <f>SUM(D30:D31)</f>
        <v>1000</v>
      </c>
      <c r="E32" s="220">
        <f>SUM(E30:E31)</f>
        <v>4044</v>
      </c>
      <c r="F32" s="14">
        <f t="shared" si="2"/>
        <v>4.0439999999999996</v>
      </c>
      <c r="G32" s="220">
        <f>SUM(G30:G31)</f>
        <v>6000</v>
      </c>
      <c r="H32" s="220">
        <f>SUM(H30:H31)</f>
        <v>31513</v>
      </c>
      <c r="I32" s="14">
        <f t="shared" si="3"/>
        <v>5.2521666666666667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65">
        <v>650</v>
      </c>
      <c r="E33" s="222">
        <v>35</v>
      </c>
      <c r="F33" s="14">
        <f t="shared" si="2"/>
        <v>5.3846153846153849E-2</v>
      </c>
      <c r="G33" s="66">
        <f>D33+'2018MAY'!G33</f>
        <v>3900</v>
      </c>
      <c r="H33" s="66">
        <f>E33+'2018MAY'!H33</f>
        <v>4732</v>
      </c>
      <c r="I33" s="14">
        <f t="shared" si="3"/>
        <v>1.2133333333333334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219">
        <f>SUM(D32,D33)</f>
        <v>1650</v>
      </c>
      <c r="E34" s="219">
        <f>SUM(E32,E33)</f>
        <v>4079</v>
      </c>
      <c r="F34" s="14">
        <f t="shared" si="2"/>
        <v>2.4721212121212122</v>
      </c>
      <c r="G34" s="219">
        <f>SUM(G32,G33)</f>
        <v>9900</v>
      </c>
      <c r="H34" s="219">
        <f>SUM(H32,H33)</f>
        <v>36245</v>
      </c>
      <c r="I34" s="14">
        <f t="shared" si="3"/>
        <v>3.661111111111111</v>
      </c>
      <c r="J34" s="534"/>
      <c r="K34" s="534"/>
      <c r="L34" s="534"/>
      <c r="M34" s="543"/>
    </row>
    <row r="35" spans="1:13">
      <c r="A35" s="573" t="s">
        <v>37</v>
      </c>
      <c r="B35" s="555" t="s">
        <v>38</v>
      </c>
      <c r="C35" s="18" t="s">
        <v>39</v>
      </c>
      <c r="D35" s="65">
        <v>36232</v>
      </c>
      <c r="E35" s="214">
        <v>0</v>
      </c>
      <c r="F35" s="14">
        <f t="shared" si="2"/>
        <v>0</v>
      </c>
      <c r="G35" s="66">
        <f>D35+'2018MAY'!G35</f>
        <v>217392</v>
      </c>
      <c r="H35" s="66">
        <f>E35+'2018MAY'!H35</f>
        <v>0</v>
      </c>
      <c r="I35" s="14">
        <f t="shared" si="3"/>
        <v>0</v>
      </c>
      <c r="J35" s="525"/>
      <c r="K35" s="525"/>
      <c r="L35" s="525"/>
      <c r="M35" s="552"/>
    </row>
    <row r="36" spans="1:13">
      <c r="A36" s="573"/>
      <c r="B36" s="555"/>
      <c r="C36" s="128" t="s">
        <v>40</v>
      </c>
      <c r="D36" s="214"/>
      <c r="E36" s="214"/>
      <c r="F36" s="14" t="e">
        <f t="shared" si="2"/>
        <v>#DIV/0!</v>
      </c>
      <c r="G36" s="214"/>
      <c r="H36" s="214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220">
        <f>SUM(D35:D36)</f>
        <v>36232</v>
      </c>
      <c r="E37" s="220">
        <f>SUM(E35:E36)</f>
        <v>0</v>
      </c>
      <c r="F37" s="16">
        <f t="shared" si="2"/>
        <v>0</v>
      </c>
      <c r="G37" s="223">
        <f>SUM(G35:G36)</f>
        <v>217392</v>
      </c>
      <c r="H37" s="223">
        <f>SUM(H35:H36)</f>
        <v>0</v>
      </c>
      <c r="I37" s="16">
        <f t="shared" si="3"/>
        <v>0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40</v>
      </c>
      <c r="D38" s="65">
        <v>1100</v>
      </c>
      <c r="E38" s="222">
        <v>0</v>
      </c>
      <c r="F38" s="14">
        <f t="shared" si="2"/>
        <v>0</v>
      </c>
      <c r="G38" s="66">
        <f>D38+'2018MAY'!G38</f>
        <v>6600</v>
      </c>
      <c r="H38" s="66">
        <f>E38+'2018MAY'!H38</f>
        <v>0</v>
      </c>
      <c r="I38" s="14">
        <f t="shared" si="3"/>
        <v>0</v>
      </c>
      <c r="J38" s="525"/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214"/>
      <c r="E39" s="214"/>
      <c r="F39" s="14" t="e">
        <f t="shared" si="2"/>
        <v>#DIV/0!</v>
      </c>
      <c r="G39" s="214"/>
      <c r="H39" s="214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220">
        <f>SUM(D38:D39)</f>
        <v>1100</v>
      </c>
      <c r="E40" s="220">
        <f>SUM(E38:E39)</f>
        <v>0</v>
      </c>
      <c r="F40" s="16">
        <f t="shared" si="2"/>
        <v>0</v>
      </c>
      <c r="G40" s="220">
        <f>SUM(G38:G39)</f>
        <v>6600</v>
      </c>
      <c r="H40" s="220">
        <f>SUM(H38:H39)</f>
        <v>0</v>
      </c>
      <c r="I40" s="16">
        <f t="shared" si="3"/>
        <v>0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219">
        <f>SUM(D37,D40)</f>
        <v>37332</v>
      </c>
      <c r="E41" s="219">
        <f>SUM(E37,E40)</f>
        <v>0</v>
      </c>
      <c r="F41" s="19">
        <f t="shared" si="2"/>
        <v>0</v>
      </c>
      <c r="G41" s="219">
        <f>SUM(G37,G40)</f>
        <v>223992</v>
      </c>
      <c r="H41" s="219">
        <f>SUM(H37,H40)</f>
        <v>0</v>
      </c>
      <c r="I41" s="19">
        <f t="shared" si="3"/>
        <v>0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178">
        <v>11500</v>
      </c>
      <c r="E42" s="76">
        <f>C140+E140+G140+I140</f>
        <v>5850</v>
      </c>
      <c r="F42" s="21">
        <f t="shared" si="2"/>
        <v>0.50869565217391299</v>
      </c>
      <c r="G42" s="180">
        <f>D42+'2018MAY'!G42</f>
        <v>67500</v>
      </c>
      <c r="H42" s="77">
        <f>E42+'2018MAY'!H42</f>
        <v>98706</v>
      </c>
      <c r="I42" s="21">
        <f t="shared" si="3"/>
        <v>1.4623111111111111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67">
        <v>12000</v>
      </c>
      <c r="E43" s="20">
        <v>0</v>
      </c>
      <c r="F43" s="21">
        <f t="shared" si="2"/>
        <v>0</v>
      </c>
      <c r="G43" s="68">
        <f>D43+'2018MAY'!G43</f>
        <v>24000</v>
      </c>
      <c r="H43" s="68">
        <f>E43+'2018MAY'!H43</f>
        <v>0</v>
      </c>
      <c r="I43" s="21">
        <f t="shared" si="3"/>
        <v>0</v>
      </c>
      <c r="J43" s="572"/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67">
        <v>33500</v>
      </c>
      <c r="E44" s="202">
        <v>0</v>
      </c>
      <c r="F44" s="21">
        <f t="shared" si="2"/>
        <v>0</v>
      </c>
      <c r="G44" s="68">
        <f>D44+'2018MAY'!G44</f>
        <v>201000</v>
      </c>
      <c r="H44" s="180">
        <f>E44+'2018MAY'!H44</f>
        <v>199970</v>
      </c>
      <c r="I44" s="21">
        <f t="shared" si="3"/>
        <v>0.99487562189054723</v>
      </c>
      <c r="J44" s="570"/>
      <c r="K44" s="570"/>
      <c r="L44" s="570"/>
      <c r="M44" s="571"/>
    </row>
    <row r="45" spans="1:13" s="8" customFormat="1">
      <c r="A45" s="587" t="s">
        <v>46</v>
      </c>
      <c r="B45" s="588"/>
      <c r="C45" s="589"/>
      <c r="D45" s="218">
        <f>SUM(D28,D34,D41,D42:D44)</f>
        <v>122228.4</v>
      </c>
      <c r="E45" s="78">
        <f>SUM(E28,E34,E41,E42:E44)</f>
        <v>35499</v>
      </c>
      <c r="F45" s="22">
        <f t="shared" si="2"/>
        <v>0.29043168363489991</v>
      </c>
      <c r="G45" s="218">
        <f>SUM(G28,G34,G41,G42:G44)</f>
        <v>668006.19999999995</v>
      </c>
      <c r="H45" s="218">
        <f>SUM(H28,H34,H41,H42:H44)</f>
        <v>483491</v>
      </c>
      <c r="I45" s="22">
        <f t="shared" si="3"/>
        <v>0.72378220441666563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218">
        <f>D45-D42</f>
        <v>110728.4</v>
      </c>
      <c r="E46" s="218">
        <f>E45-E42</f>
        <v>29649</v>
      </c>
      <c r="F46" s="22">
        <f t="shared" si="2"/>
        <v>0.26776328385490988</v>
      </c>
      <c r="G46" s="218">
        <f>G45-G42</f>
        <v>600506.19999999995</v>
      </c>
      <c r="H46" s="218">
        <f>H45-H42</f>
        <v>384785</v>
      </c>
      <c r="I46" s="22">
        <f t="shared" si="3"/>
        <v>0.64076773895090511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217">
        <f>D46-D44</f>
        <v>77228.399999999994</v>
      </c>
      <c r="E47" s="217">
        <f>E46-E44</f>
        <v>29649</v>
      </c>
      <c r="F47" s="23">
        <f t="shared" si="2"/>
        <v>0.38391317183833928</v>
      </c>
      <c r="G47" s="217">
        <f>G46-G44</f>
        <v>399506.19999999995</v>
      </c>
      <c r="H47" s="217">
        <f>H46-H44</f>
        <v>184815</v>
      </c>
      <c r="I47" s="23">
        <f t="shared" si="3"/>
        <v>0.46260859030473123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215" t="s">
        <v>23</v>
      </c>
      <c r="E52" s="215" t="s">
        <v>24</v>
      </c>
      <c r="F52" s="215" t="s">
        <v>25</v>
      </c>
      <c r="G52" s="215" t="s">
        <v>23</v>
      </c>
      <c r="H52" s="215" t="s">
        <v>24</v>
      </c>
      <c r="I52" s="215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12</v>
      </c>
      <c r="E53" s="222">
        <v>3</v>
      </c>
      <c r="F53" s="28">
        <f t="shared" ref="F53:F79" si="4">E53/D53</f>
        <v>0.25</v>
      </c>
      <c r="G53" s="66">
        <f>D53+'2018MAY'!G53</f>
        <v>68</v>
      </c>
      <c r="H53" s="66">
        <f>E53+'2018MAY'!H53</f>
        <v>74</v>
      </c>
      <c r="I53" s="28">
        <f t="shared" ref="I53:I79" si="5">H53/G53</f>
        <v>1.088235294117647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300</v>
      </c>
      <c r="E54" s="222">
        <v>356</v>
      </c>
      <c r="F54" s="28">
        <f t="shared" si="4"/>
        <v>1.1866666666666668</v>
      </c>
      <c r="G54" s="66">
        <f>D54+'2018MAY'!G54</f>
        <v>1800</v>
      </c>
      <c r="H54" s="66">
        <f>E54+'2018MAY'!H54</f>
        <v>2044</v>
      </c>
      <c r="I54" s="28">
        <f t="shared" si="5"/>
        <v>1.1355555555555557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220">
        <f>SUM(D53:D54)</f>
        <v>312</v>
      </c>
      <c r="E55" s="220">
        <f>SUM(E53:E54)</f>
        <v>359</v>
      </c>
      <c r="F55" s="30">
        <f t="shared" si="4"/>
        <v>1.1506410256410255</v>
      </c>
      <c r="G55" s="220">
        <f>SUM(G53:G54)</f>
        <v>1868</v>
      </c>
      <c r="H55" s="220">
        <f>SUM(H53:H54)</f>
        <v>2118</v>
      </c>
      <c r="I55" s="30">
        <f t="shared" si="5"/>
        <v>1.133832976445396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40</v>
      </c>
      <c r="E56" s="222">
        <v>18</v>
      </c>
      <c r="F56" s="28">
        <f t="shared" si="4"/>
        <v>0.45</v>
      </c>
      <c r="G56" s="66">
        <f>D56+'2018MAY'!G56</f>
        <v>240</v>
      </c>
      <c r="H56" s="66">
        <f>E56+'2018MAY'!H56</f>
        <v>245</v>
      </c>
      <c r="I56" s="28">
        <f t="shared" si="5"/>
        <v>1.0208333333333333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600</v>
      </c>
      <c r="E57" s="222">
        <v>837</v>
      </c>
      <c r="F57" s="28">
        <f t="shared" si="4"/>
        <v>1.395</v>
      </c>
      <c r="G57" s="66">
        <f>D57+'2018MAY'!G57</f>
        <v>3600</v>
      </c>
      <c r="H57" s="66">
        <f>E57+'2018MAY'!H57</f>
        <v>4588</v>
      </c>
      <c r="I57" s="28">
        <f t="shared" si="5"/>
        <v>1.2744444444444445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212">
        <f>SUM(D56:D57)</f>
        <v>640</v>
      </c>
      <c r="E58" s="212">
        <f>SUM(E56:E57)</f>
        <v>855</v>
      </c>
      <c r="F58" s="28">
        <f t="shared" si="4"/>
        <v>1.3359375</v>
      </c>
      <c r="G58" s="212">
        <f>SUM(G56:G57)</f>
        <v>3840</v>
      </c>
      <c r="H58" s="212">
        <f>SUM(H56:H57)</f>
        <v>4833</v>
      </c>
      <c r="I58" s="31">
        <f t="shared" si="5"/>
        <v>1.25859375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208">
        <f>SUM(D53,D56)</f>
        <v>52</v>
      </c>
      <c r="E59" s="208">
        <f>SUM(E53,E56)</f>
        <v>21</v>
      </c>
      <c r="F59" s="32">
        <f t="shared" si="4"/>
        <v>0.40384615384615385</v>
      </c>
      <c r="G59" s="208">
        <f>SUM(G53,G56)</f>
        <v>308</v>
      </c>
      <c r="H59" s="208">
        <f>SUM(H53,H56)</f>
        <v>319</v>
      </c>
      <c r="I59" s="32">
        <f t="shared" si="5"/>
        <v>1.0357142857142858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208">
        <f>SUM(D54,D57)</f>
        <v>900</v>
      </c>
      <c r="E60" s="208">
        <f>SUM(E54,E57)</f>
        <v>1193</v>
      </c>
      <c r="F60" s="32">
        <f t="shared" si="4"/>
        <v>1.3255555555555556</v>
      </c>
      <c r="G60" s="208">
        <f>SUM(G54,G57)</f>
        <v>5400</v>
      </c>
      <c r="H60" s="208">
        <f>SUM(H54,H57)</f>
        <v>6632</v>
      </c>
      <c r="I60" s="32">
        <f t="shared" si="5"/>
        <v>1.2281481481481482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216">
        <f>SUM(D59:D60)</f>
        <v>952</v>
      </c>
      <c r="E61" s="216">
        <f>SUM(E59:E60)</f>
        <v>1214</v>
      </c>
      <c r="F61" s="33">
        <f t="shared" si="4"/>
        <v>1.2752100840336134</v>
      </c>
      <c r="G61" s="216">
        <f>SUM(G59:G60)</f>
        <v>5708</v>
      </c>
      <c r="H61" s="216">
        <f>SUM(H59:H60)</f>
        <v>6951</v>
      </c>
      <c r="I61" s="33">
        <f t="shared" si="5"/>
        <v>1.2177645409950946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42</v>
      </c>
      <c r="E62" s="214">
        <f>E71/10</f>
        <v>10.4</v>
      </c>
      <c r="F62" s="28">
        <f t="shared" si="4"/>
        <v>0.24761904761904763</v>
      </c>
      <c r="G62" s="66">
        <f>D62+'2018MAY'!G62</f>
        <v>238</v>
      </c>
      <c r="H62" s="66">
        <f>E62+'2018MAY'!H62</f>
        <v>257.2</v>
      </c>
      <c r="I62" s="28">
        <f t="shared" si="5"/>
        <v>1.080672268907563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65">
        <v>1044</v>
      </c>
      <c r="E63" s="214">
        <f>E72/10</f>
        <v>1238.3</v>
      </c>
      <c r="F63" s="28">
        <f t="shared" si="4"/>
        <v>1.1861111111111111</v>
      </c>
      <c r="G63" s="66">
        <f>D63+'2018MAY'!G63</f>
        <v>6264</v>
      </c>
      <c r="H63" s="66">
        <f>E63+'2018MAY'!H63</f>
        <v>7109.8</v>
      </c>
      <c r="I63" s="28">
        <f t="shared" si="5"/>
        <v>1.1350255427841636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1086</v>
      </c>
      <c r="E64" s="220">
        <f>SUM(E62:E63)</f>
        <v>1248.7</v>
      </c>
      <c r="F64" s="30">
        <f t="shared" si="4"/>
        <v>1.1498158379373848</v>
      </c>
      <c r="G64" s="220">
        <f>SUM(G62:G63)</f>
        <v>6502</v>
      </c>
      <c r="H64" s="220">
        <f>SUM(H62:H63)</f>
        <v>7367</v>
      </c>
      <c r="I64" s="30">
        <f t="shared" si="5"/>
        <v>1.1330359889264841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64</v>
      </c>
      <c r="E65" s="214">
        <f>E74/10</f>
        <v>24.3</v>
      </c>
      <c r="F65" s="28">
        <f t="shared" si="4"/>
        <v>0.37968750000000001</v>
      </c>
      <c r="G65" s="66">
        <f>D65+'2018MAY'!G65</f>
        <v>384</v>
      </c>
      <c r="H65" s="66">
        <f>E65+'2018MAY'!H65</f>
        <v>314.20000000000005</v>
      </c>
      <c r="I65" s="28">
        <f t="shared" si="5"/>
        <v>0.81822916666666679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960</v>
      </c>
      <c r="E66" s="214">
        <f>E75/10</f>
        <v>1284</v>
      </c>
      <c r="F66" s="28">
        <f t="shared" si="4"/>
        <v>1.3374999999999999</v>
      </c>
      <c r="G66" s="66">
        <f>D66+'2018MAY'!G66</f>
        <v>5760</v>
      </c>
      <c r="H66" s="66">
        <f>E66+'2018MAY'!H66</f>
        <v>7175.8</v>
      </c>
      <c r="I66" s="28">
        <f t="shared" si="5"/>
        <v>1.2457986111111112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212">
        <f>SUM(D65:D66)</f>
        <v>1024</v>
      </c>
      <c r="E67" s="212">
        <f>SUM(E65:E66)</f>
        <v>1308.3</v>
      </c>
      <c r="F67" s="31">
        <f t="shared" si="4"/>
        <v>1.27763671875</v>
      </c>
      <c r="G67" s="212">
        <f>SUM(G65:G66)</f>
        <v>6144</v>
      </c>
      <c r="H67" s="212">
        <f>SUM(H65:H66)</f>
        <v>7490</v>
      </c>
      <c r="I67" s="31">
        <f t="shared" si="5"/>
        <v>1.2190755208333333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208">
        <f>SUM(D62,D65)</f>
        <v>106</v>
      </c>
      <c r="E68" s="208">
        <f>SUM(E62,E65)</f>
        <v>34.700000000000003</v>
      </c>
      <c r="F68" s="32">
        <f t="shared" si="4"/>
        <v>0.32735849056603777</v>
      </c>
      <c r="G68" s="208">
        <f>SUM(G62,G65)</f>
        <v>622</v>
      </c>
      <c r="H68" s="208">
        <f>SUM(H62,H65)</f>
        <v>571.40000000000009</v>
      </c>
      <c r="I68" s="32">
        <f t="shared" si="5"/>
        <v>0.91864951768488756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208">
        <f>SUM(D63,D66)</f>
        <v>2004</v>
      </c>
      <c r="E69" s="208">
        <f>SUM(E63,E66)</f>
        <v>2522.3000000000002</v>
      </c>
      <c r="F69" s="32">
        <f t="shared" si="4"/>
        <v>1.2586327345309383</v>
      </c>
      <c r="G69" s="208">
        <f>SUM(G63,G66)</f>
        <v>12024</v>
      </c>
      <c r="H69" s="208">
        <f>SUM(H63,H66)</f>
        <v>14285.6</v>
      </c>
      <c r="I69" s="32">
        <f t="shared" si="5"/>
        <v>1.1880904856952761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216">
        <f>SUM(D68:D69)</f>
        <v>2110</v>
      </c>
      <c r="E70" s="216">
        <f>SUM(E68:E69)</f>
        <v>2557</v>
      </c>
      <c r="F70" s="34">
        <f t="shared" si="4"/>
        <v>1.2118483412322274</v>
      </c>
      <c r="G70" s="216">
        <f>SUM(G68:G69)</f>
        <v>12646</v>
      </c>
      <c r="H70" s="216">
        <f>SUM(H68:H69)</f>
        <v>14857</v>
      </c>
      <c r="I70" s="34">
        <f t="shared" si="5"/>
        <v>1.1748378934050292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2366.3999999999996</v>
      </c>
      <c r="E71" s="222">
        <v>104</v>
      </c>
      <c r="F71" s="28">
        <f t="shared" si="4"/>
        <v>4.3948613928329959E-2</v>
      </c>
      <c r="G71" s="179">
        <f>D71+'2018MAY'!G71</f>
        <v>7934.1999999999989</v>
      </c>
      <c r="H71" s="66">
        <f>E71+'2018MAY'!H71</f>
        <v>2572</v>
      </c>
      <c r="I71" s="28">
        <f t="shared" si="5"/>
        <v>0.32416626755060374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65">
        <v>10440</v>
      </c>
      <c r="E72" s="223">
        <f>E23-E71</f>
        <v>12383</v>
      </c>
      <c r="F72" s="28">
        <f t="shared" si="4"/>
        <v>1.1861111111111111</v>
      </c>
      <c r="G72" s="66">
        <f>D72+'2018MAY'!G72</f>
        <v>62640</v>
      </c>
      <c r="H72" s="66">
        <f>E72+'2018MAY'!H72</f>
        <v>71098</v>
      </c>
      <c r="I72" s="28">
        <f t="shared" si="5"/>
        <v>1.1350255427841636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220">
        <f>SUM(D71:D72)</f>
        <v>12806.4</v>
      </c>
      <c r="E73" s="220">
        <f>SUM(E71:E72)</f>
        <v>12487</v>
      </c>
      <c r="F73" s="30">
        <f t="shared" si="4"/>
        <v>0.9750593453273364</v>
      </c>
      <c r="G73" s="220">
        <f>SUM(G71:G72)</f>
        <v>70574.2</v>
      </c>
      <c r="H73" s="220">
        <f>SUM(H71:H72)</f>
        <v>73670</v>
      </c>
      <c r="I73" s="30">
        <f t="shared" si="5"/>
        <v>1.0438658886675301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3840</v>
      </c>
      <c r="E74" s="222">
        <v>243</v>
      </c>
      <c r="F74" s="28">
        <f t="shared" si="4"/>
        <v>6.3281249999999997E-2</v>
      </c>
      <c r="G74" s="179">
        <f>D74+'2018MAY'!G74</f>
        <v>13440</v>
      </c>
      <c r="H74" s="66">
        <f>E74+'2018MAY'!H74</f>
        <v>3142</v>
      </c>
      <c r="I74" s="28">
        <f t="shared" si="5"/>
        <v>0.23377976190476191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65">
        <v>9600</v>
      </c>
      <c r="E75" s="223">
        <f>E25-E74</f>
        <v>12840</v>
      </c>
      <c r="F75" s="28">
        <f t="shared" si="4"/>
        <v>1.3374999999999999</v>
      </c>
      <c r="G75" s="66">
        <f>D75+'2018MAY'!G75</f>
        <v>57600</v>
      </c>
      <c r="H75" s="66">
        <f>E75+'2018MAY'!H75</f>
        <v>71758</v>
      </c>
      <c r="I75" s="28">
        <f t="shared" si="5"/>
        <v>1.245798611111111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212">
        <f>SUM(D74:D75)</f>
        <v>13440</v>
      </c>
      <c r="E76" s="212">
        <f>SUM(E74:E75)</f>
        <v>13083</v>
      </c>
      <c r="F76" s="31">
        <f t="shared" si="4"/>
        <v>0.97343749999999996</v>
      </c>
      <c r="G76" s="212">
        <f>SUM(G74:G75)</f>
        <v>71040</v>
      </c>
      <c r="H76" s="212">
        <f>SUM(H74:H75)</f>
        <v>74900</v>
      </c>
      <c r="I76" s="31">
        <f t="shared" si="5"/>
        <v>1.0543355855855856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208">
        <f>SUM(D71,D74)</f>
        <v>6206.4</v>
      </c>
      <c r="E77" s="208">
        <f>SUM(E71,E74)</f>
        <v>347</v>
      </c>
      <c r="F77" s="32">
        <f t="shared" si="4"/>
        <v>5.5910028357824187E-2</v>
      </c>
      <c r="G77" s="208">
        <f>SUM(G71,G74)</f>
        <v>21374.199999999997</v>
      </c>
      <c r="H77" s="208">
        <f>SUM(H71,H74)</f>
        <v>5714</v>
      </c>
      <c r="I77" s="32">
        <f t="shared" si="5"/>
        <v>0.26733164282171967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208">
        <f>SUM(D72,D75)</f>
        <v>20040</v>
      </c>
      <c r="E78" s="208">
        <f>SUM(E72,E75)</f>
        <v>25223</v>
      </c>
      <c r="F78" s="32">
        <f t="shared" si="4"/>
        <v>1.258632734530938</v>
      </c>
      <c r="G78" s="208">
        <f>SUM(G72,G75)</f>
        <v>120240</v>
      </c>
      <c r="H78" s="208">
        <f>SUM(H72,H75)</f>
        <v>142856</v>
      </c>
      <c r="I78" s="32">
        <f t="shared" si="5"/>
        <v>1.1880904856952761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216">
        <f>SUM(D77:D78)</f>
        <v>26246.400000000001</v>
      </c>
      <c r="E79" s="216">
        <f>SUM(E77:E78)</f>
        <v>25570</v>
      </c>
      <c r="F79" s="34">
        <f t="shared" si="4"/>
        <v>0.97422884662277487</v>
      </c>
      <c r="G79" s="216">
        <f>SUM(G77:G78)</f>
        <v>141614.20000000001</v>
      </c>
      <c r="H79" s="216">
        <f>SUM(H77:H78)</f>
        <v>148570</v>
      </c>
      <c r="I79" s="34">
        <f t="shared" si="5"/>
        <v>1.0491179556852348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359</v>
      </c>
      <c r="E87" s="130"/>
      <c r="F87" s="134">
        <f>D87+'2018MAY'!F87</f>
        <v>2118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3</v>
      </c>
      <c r="E88" s="128"/>
      <c r="F88" s="134">
        <f>D88+'2018MAY'!F88</f>
        <v>74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4</v>
      </c>
      <c r="E89" s="128">
        <f>D89/D87</f>
        <v>1.1142061281337047E-2</v>
      </c>
      <c r="F89" s="134">
        <f>D89+'2018MAY'!F89</f>
        <v>9</v>
      </c>
      <c r="G89" s="128">
        <f>F89/F87</f>
        <v>4.24929178470255E-3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5</v>
      </c>
      <c r="E90" s="128">
        <f>D90/D92</f>
        <v>2.2727272727272728E-2</v>
      </c>
      <c r="F90" s="134">
        <f>D90+'2018MAY'!F90</f>
        <v>121</v>
      </c>
      <c r="G90" s="128">
        <f>F90/F92</f>
        <v>0.10033167495854063</v>
      </c>
      <c r="H90" s="128"/>
    </row>
    <row r="91" spans="1:13" ht="15" customHeight="1">
      <c r="A91" s="774"/>
      <c r="B91" s="775" t="s">
        <v>202</v>
      </c>
      <c r="C91" s="775"/>
      <c r="D91" s="131">
        <v>222</v>
      </c>
      <c r="E91" s="128">
        <f>D91/D92</f>
        <v>1.009090909090909</v>
      </c>
      <c r="F91" s="134">
        <f>D91+'2018MAY'!F91</f>
        <v>1169</v>
      </c>
      <c r="G91" s="128">
        <f>F91/F92</f>
        <v>0.96932006633499168</v>
      </c>
      <c r="H91" s="128"/>
    </row>
    <row r="92" spans="1:13" ht="15" customHeight="1">
      <c r="A92" s="774"/>
      <c r="B92" s="775" t="s">
        <v>203</v>
      </c>
      <c r="C92" s="775"/>
      <c r="D92" s="131">
        <v>220</v>
      </c>
      <c r="E92" s="130"/>
      <c r="F92" s="134">
        <f>D92+'2018MAY'!F92</f>
        <v>1206</v>
      </c>
      <c r="G92" s="130"/>
      <c r="H92" s="128"/>
    </row>
    <row r="93" spans="1:13">
      <c r="C93" s="126" t="s">
        <v>210</v>
      </c>
      <c r="D93" s="132">
        <v>579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215" t="s">
        <v>23</v>
      </c>
      <c r="E97" s="215" t="s">
        <v>24</v>
      </c>
      <c r="F97" s="215" t="s">
        <v>25</v>
      </c>
      <c r="G97" s="215" t="s">
        <v>23</v>
      </c>
      <c r="H97" s="215" t="s">
        <v>24</v>
      </c>
      <c r="I97" s="215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222">
        <v>0</v>
      </c>
      <c r="F98" s="37" t="e">
        <f>E98/D98</f>
        <v>#DIV/0!</v>
      </c>
      <c r="G98" s="66">
        <f>D98+'2018MAY'!G98</f>
        <v>0</v>
      </c>
      <c r="H98" s="66">
        <f>E98+'2018MAY'!H98</f>
        <v>1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41</v>
      </c>
      <c r="E99" s="222">
        <v>40</v>
      </c>
      <c r="F99" s="28">
        <f t="shared" ref="F99:F115" si="6">E99/D99</f>
        <v>0.97560975609756095</v>
      </c>
      <c r="G99" s="66">
        <f>D99+'2018MAY'!G99</f>
        <v>246</v>
      </c>
      <c r="H99" s="66">
        <f>E99+'2018MAY'!H99</f>
        <v>246</v>
      </c>
      <c r="I99" s="28">
        <f t="shared" ref="I99:I115" si="7">H99/G99</f>
        <v>1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220">
        <f>SUM(D98:D99)</f>
        <v>41</v>
      </c>
      <c r="E100" s="220">
        <f>SUM(E98:E99)</f>
        <v>40</v>
      </c>
      <c r="F100" s="30">
        <f t="shared" si="6"/>
        <v>0.97560975609756095</v>
      </c>
      <c r="G100" s="220">
        <f>SUM(G98:G99)</f>
        <v>246</v>
      </c>
      <c r="H100" s="220">
        <f>SUM(H98:H99)</f>
        <v>247</v>
      </c>
      <c r="I100" s="30">
        <f t="shared" si="7"/>
        <v>1.0040650406504066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222">
        <v>0</v>
      </c>
      <c r="F101" s="28" t="e">
        <f t="shared" si="6"/>
        <v>#DIV/0!</v>
      </c>
      <c r="G101" s="66">
        <f>D101+'2018MAY'!G101</f>
        <v>0</v>
      </c>
      <c r="H101" s="66">
        <f>E101+'2018MAY'!H101</f>
        <v>0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11</v>
      </c>
      <c r="E102" s="222">
        <v>9</v>
      </c>
      <c r="F102" s="28">
        <f t="shared" si="6"/>
        <v>0.81818181818181823</v>
      </c>
      <c r="G102" s="66">
        <f>D102+'2018MAY'!G102</f>
        <v>66</v>
      </c>
      <c r="H102" s="66">
        <f>E102+'2018MAY'!H102</f>
        <v>60</v>
      </c>
      <c r="I102" s="28">
        <f t="shared" si="7"/>
        <v>0.90909090909090906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220">
        <f>SUM(D101:D102)</f>
        <v>11</v>
      </c>
      <c r="E103" s="220">
        <f>SUM(E101:E102)</f>
        <v>9</v>
      </c>
      <c r="F103" s="30">
        <f t="shared" si="6"/>
        <v>0.81818181818181823</v>
      </c>
      <c r="G103" s="220">
        <f>SUM(G101:G102)</f>
        <v>66</v>
      </c>
      <c r="H103" s="220">
        <f>SUM(H101:H102)</f>
        <v>60</v>
      </c>
      <c r="I103" s="30">
        <f t="shared" si="7"/>
        <v>0.90909090909090906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0</v>
      </c>
      <c r="E104" s="222">
        <v>1</v>
      </c>
      <c r="F104" s="28" t="e">
        <f t="shared" si="6"/>
        <v>#DIV/0!</v>
      </c>
      <c r="G104" s="66">
        <f>D104+'2018MAY'!G104</f>
        <v>0</v>
      </c>
      <c r="H104" s="66">
        <f>E104+'2018MAY'!H104</f>
        <v>6</v>
      </c>
      <c r="I104" s="28" t="e">
        <f t="shared" si="7"/>
        <v>#DIV/0!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63</v>
      </c>
      <c r="E105" s="222">
        <v>61</v>
      </c>
      <c r="F105" s="28">
        <f t="shared" si="6"/>
        <v>0.96825396825396826</v>
      </c>
      <c r="G105" s="66">
        <f>D105+'2018MAY'!G105</f>
        <v>378</v>
      </c>
      <c r="H105" s="66">
        <f>E105+'2018MAY'!H105</f>
        <v>351</v>
      </c>
      <c r="I105" s="28">
        <f t="shared" si="7"/>
        <v>0.9285714285714286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220">
        <f>SUM(D104:D105)</f>
        <v>63</v>
      </c>
      <c r="E106" s="220">
        <f>SUM(E104:E105)</f>
        <v>62</v>
      </c>
      <c r="F106" s="30">
        <f t="shared" si="6"/>
        <v>0.98412698412698407</v>
      </c>
      <c r="G106" s="220">
        <f>SUM(G104:G105)</f>
        <v>378</v>
      </c>
      <c r="H106" s="220">
        <f>SUM(H104:H105)</f>
        <v>357</v>
      </c>
      <c r="I106" s="30">
        <f t="shared" si="7"/>
        <v>0.94444444444444442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2</v>
      </c>
      <c r="E107" s="222">
        <v>0</v>
      </c>
      <c r="F107" s="28">
        <f>E107/D107</f>
        <v>0</v>
      </c>
      <c r="G107" s="66">
        <f>D107+'2018MAY'!G107</f>
        <v>10</v>
      </c>
      <c r="H107" s="66">
        <f>E107+'2018MAY'!H107</f>
        <v>16</v>
      </c>
      <c r="I107" s="28">
        <f>H107/G107</f>
        <v>1.6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108</v>
      </c>
      <c r="E108" s="222">
        <v>107</v>
      </c>
      <c r="F108" s="28">
        <f>E108/D108</f>
        <v>0.9907407407407407</v>
      </c>
      <c r="G108" s="66">
        <f>D108+'2018MAY'!G108</f>
        <v>620</v>
      </c>
      <c r="H108" s="66">
        <f>E108+'2018MAY'!H108</f>
        <v>612</v>
      </c>
      <c r="I108" s="28">
        <f t="shared" si="7"/>
        <v>0.98709677419354835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220">
        <f>SUM(D107:D108)</f>
        <v>110</v>
      </c>
      <c r="E109" s="220">
        <f>SUM(E107:E108)</f>
        <v>107</v>
      </c>
      <c r="F109" s="30">
        <f t="shared" si="6"/>
        <v>0.97272727272727277</v>
      </c>
      <c r="G109" s="220">
        <f>SUM(G107:G108)</f>
        <v>630</v>
      </c>
      <c r="H109" s="220">
        <f>SUM(H107:H108)</f>
        <v>628</v>
      </c>
      <c r="I109" s="30">
        <f t="shared" si="7"/>
        <v>0.99682539682539684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8</v>
      </c>
      <c r="E110" s="222">
        <v>1</v>
      </c>
      <c r="F110" s="30">
        <f>E110/D110</f>
        <v>0.125</v>
      </c>
      <c r="G110" s="66">
        <f>D110+'2018MAY'!G110</f>
        <v>48</v>
      </c>
      <c r="H110" s="66">
        <f>E110+'2018MAY'!H110</f>
        <v>35</v>
      </c>
      <c r="I110" s="30">
        <f>H110/G110</f>
        <v>0.72916666666666663</v>
      </c>
      <c r="J110" s="209"/>
      <c r="K110" s="210"/>
      <c r="L110" s="210"/>
      <c r="M110" s="211"/>
    </row>
    <row r="111" spans="1:13">
      <c r="A111" s="573"/>
      <c r="B111" s="777"/>
      <c r="C111" s="27" t="s">
        <v>70</v>
      </c>
      <c r="D111" s="65">
        <v>40</v>
      </c>
      <c r="E111" s="222">
        <v>36</v>
      </c>
      <c r="F111" s="30">
        <f t="shared" ref="F111:F112" si="8">E111/D111</f>
        <v>0.9</v>
      </c>
      <c r="G111" s="66">
        <f>D111+'2018MAY'!G111</f>
        <v>120</v>
      </c>
      <c r="H111" s="66">
        <f>E111+'2018MAY'!H111</f>
        <v>164</v>
      </c>
      <c r="I111" s="30">
        <f t="shared" ref="I111:I112" si="9">H111/G111</f>
        <v>1.3666666666666667</v>
      </c>
      <c r="J111" s="209"/>
      <c r="K111" s="210"/>
      <c r="L111" s="210"/>
      <c r="M111" s="211"/>
    </row>
    <row r="112" spans="1:13">
      <c r="A112" s="573"/>
      <c r="B112" s="778"/>
      <c r="C112" s="38" t="s">
        <v>166</v>
      </c>
      <c r="D112" s="220">
        <f>SUM(D110:D111)</f>
        <v>48</v>
      </c>
      <c r="E112" s="220">
        <f>SUM(E110:E111)</f>
        <v>37</v>
      </c>
      <c r="F112" s="30">
        <f t="shared" si="8"/>
        <v>0.77083333333333337</v>
      </c>
      <c r="G112" s="220">
        <f>SUM(G110:G111)</f>
        <v>168</v>
      </c>
      <c r="H112" s="220">
        <f>SUM(H110:H111)</f>
        <v>199</v>
      </c>
      <c r="I112" s="30">
        <f t="shared" si="9"/>
        <v>1.1845238095238095</v>
      </c>
      <c r="J112" s="209"/>
      <c r="K112" s="210"/>
      <c r="L112" s="210"/>
      <c r="M112" s="211"/>
    </row>
    <row r="113" spans="1:13">
      <c r="A113" s="573"/>
      <c r="B113" s="603" t="s">
        <v>46</v>
      </c>
      <c r="C113" s="39" t="s">
        <v>69</v>
      </c>
      <c r="D113" s="212">
        <f>SUM(D98,D101,D104,D107,D110)</f>
        <v>10</v>
      </c>
      <c r="E113" s="212">
        <f>SUM(E98,E101,E104,E107,E110)</f>
        <v>2</v>
      </c>
      <c r="F113" s="31">
        <f t="shared" si="6"/>
        <v>0.2</v>
      </c>
      <c r="G113" s="212">
        <f>SUM(G98,G101,G104,G107,G110)</f>
        <v>58</v>
      </c>
      <c r="H113" s="212">
        <f>SUM(H98,H101,H104,H107,H110)</f>
        <v>58</v>
      </c>
      <c r="I113" s="31">
        <f t="shared" si="7"/>
        <v>1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212">
        <f>SUM(D99,D102,D105,D108,D111)</f>
        <v>263</v>
      </c>
      <c r="E114" s="212">
        <f>SUM(E99,E102,E105,E108,E111)</f>
        <v>253</v>
      </c>
      <c r="F114" s="31">
        <f t="shared" si="6"/>
        <v>0.96197718631178708</v>
      </c>
      <c r="G114" s="212">
        <f>SUM(G99,G102,G105,G108,G111)</f>
        <v>1430</v>
      </c>
      <c r="H114" s="212">
        <f>SUM(H99,H102,H105,H108,H111)</f>
        <v>1433</v>
      </c>
      <c r="I114" s="31">
        <f t="shared" si="7"/>
        <v>1.0020979020979022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213">
        <f>SUM(D113:D114)</f>
        <v>273</v>
      </c>
      <c r="E115" s="213">
        <f>SUM(E113:E114)</f>
        <v>255</v>
      </c>
      <c r="F115" s="41">
        <f t="shared" si="6"/>
        <v>0.93406593406593408</v>
      </c>
      <c r="G115" s="213">
        <f>SUM(G113:G114)</f>
        <v>1488</v>
      </c>
      <c r="H115" s="213">
        <f>SUM(H113:H114)</f>
        <v>1491</v>
      </c>
      <c r="I115" s="41">
        <f t="shared" si="7"/>
        <v>1.002016129032258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2</v>
      </c>
      <c r="E116" s="64">
        <v>1</v>
      </c>
      <c r="F116" s="43">
        <f>E116/D116</f>
        <v>0.5</v>
      </c>
      <c r="G116" s="70">
        <f>D116+'2018MAY'!G116</f>
        <v>10</v>
      </c>
      <c r="H116" s="70">
        <f>E116+'2018MAY'!H116</f>
        <v>11</v>
      </c>
      <c r="I116" s="43">
        <f>H116/G116</f>
        <v>1.1000000000000001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56</v>
      </c>
      <c r="E117" s="222">
        <v>57</v>
      </c>
      <c r="F117" s="28">
        <f t="shared" ref="F117:F126" si="10">E117/D117</f>
        <v>1.0178571428571428</v>
      </c>
      <c r="G117" s="71">
        <f>D117+'2018MAY'!G117</f>
        <v>308</v>
      </c>
      <c r="H117" s="71">
        <f>E117+'2018MAY'!H117</f>
        <v>336</v>
      </c>
      <c r="I117" s="28">
        <f t="shared" ref="I117:I126" si="11">H117/G117</f>
        <v>1.0909090909090908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220">
        <f>SUM(D116:D117)</f>
        <v>58</v>
      </c>
      <c r="E118" s="220">
        <f>SUM(E116:E117)</f>
        <v>58</v>
      </c>
      <c r="F118" s="30">
        <f t="shared" si="10"/>
        <v>1</v>
      </c>
      <c r="G118" s="220">
        <f>SUM(G116:G117)</f>
        <v>318</v>
      </c>
      <c r="H118" s="220">
        <f>SUM(H116:H117)</f>
        <v>347</v>
      </c>
      <c r="I118" s="30">
        <f t="shared" si="11"/>
        <v>1.0911949685534592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222">
        <v>0</v>
      </c>
      <c r="F119" s="28" t="e">
        <f t="shared" si="10"/>
        <v>#DIV/0!</v>
      </c>
      <c r="G119" s="66">
        <f>D119+'2018MAY'!G119</f>
        <v>0</v>
      </c>
      <c r="H119" s="66">
        <f>E119+'2018MAY'!H119</f>
        <v>5</v>
      </c>
      <c r="I119" s="28" t="e">
        <f t="shared" si="11"/>
        <v>#DIV/0!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37</v>
      </c>
      <c r="E120" s="222">
        <v>46</v>
      </c>
      <c r="F120" s="28">
        <f t="shared" si="10"/>
        <v>1.2432432432432432</v>
      </c>
      <c r="G120" s="66">
        <f>D120+'2018MAY'!G120</f>
        <v>222</v>
      </c>
      <c r="H120" s="66">
        <f>E120+'2018MAY'!H120</f>
        <v>275</v>
      </c>
      <c r="I120" s="28">
        <f t="shared" si="11"/>
        <v>1.2387387387387387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220">
        <f>SUM(D119:D120)</f>
        <v>37</v>
      </c>
      <c r="E121" s="220">
        <f>SUM(E119:E120)</f>
        <v>46</v>
      </c>
      <c r="F121" s="30">
        <f t="shared" si="10"/>
        <v>1.2432432432432432</v>
      </c>
      <c r="G121" s="220">
        <f>SUM(G119:G120)</f>
        <v>222</v>
      </c>
      <c r="H121" s="220">
        <f>SUM(H119:H120)</f>
        <v>280</v>
      </c>
      <c r="I121" s="30">
        <f t="shared" si="11"/>
        <v>1.2612612612612613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212">
        <f>SUM(D116,D119)</f>
        <v>2</v>
      </c>
      <c r="E122" s="212">
        <f>SUM(E116,E119)</f>
        <v>1</v>
      </c>
      <c r="F122" s="30">
        <f t="shared" si="10"/>
        <v>0.5</v>
      </c>
      <c r="G122" s="212">
        <f>SUM(G116,G119)</f>
        <v>10</v>
      </c>
      <c r="H122" s="212">
        <f>SUM(H116,H119)</f>
        <v>16</v>
      </c>
      <c r="I122" s="30">
        <f t="shared" si="11"/>
        <v>1.6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212">
        <f>SUM(D117,D120)</f>
        <v>93</v>
      </c>
      <c r="E123" s="212">
        <f>SUM(E117,E120)</f>
        <v>103</v>
      </c>
      <c r="F123" s="30">
        <f t="shared" si="10"/>
        <v>1.10752688172043</v>
      </c>
      <c r="G123" s="212">
        <f>SUM(G117,G120)</f>
        <v>530</v>
      </c>
      <c r="H123" s="212">
        <f>SUM(H117,H120)</f>
        <v>611</v>
      </c>
      <c r="I123" s="30">
        <f t="shared" si="11"/>
        <v>1.1528301886792454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213">
        <f>SUM(D122:D123)</f>
        <v>95</v>
      </c>
      <c r="E124" s="213">
        <f>SUM(E122:E123)</f>
        <v>104</v>
      </c>
      <c r="F124" s="41">
        <f t="shared" si="10"/>
        <v>1.0947368421052632</v>
      </c>
      <c r="G124" s="213">
        <f>SUM(G122:G123)</f>
        <v>540</v>
      </c>
      <c r="H124" s="213">
        <f>SUM(H122:H123)</f>
        <v>627</v>
      </c>
      <c r="I124" s="41">
        <f t="shared" si="11"/>
        <v>1.1611111111111112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207">
        <f>SUM(D113,D122)</f>
        <v>12</v>
      </c>
      <c r="E125" s="207">
        <f>SUM(E113,E122)</f>
        <v>3</v>
      </c>
      <c r="F125" s="45">
        <f t="shared" si="10"/>
        <v>0.25</v>
      </c>
      <c r="G125" s="46">
        <f>SUM(G113,G122)</f>
        <v>68</v>
      </c>
      <c r="H125" s="46">
        <f>SUM(H113,H122)</f>
        <v>74</v>
      </c>
      <c r="I125" s="45">
        <f t="shared" si="11"/>
        <v>1.088235294117647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208">
        <f>SUM(D114,D123)</f>
        <v>356</v>
      </c>
      <c r="E126" s="208">
        <f>SUM(E114,E123)</f>
        <v>356</v>
      </c>
      <c r="F126" s="32">
        <f t="shared" si="10"/>
        <v>1</v>
      </c>
      <c r="G126" s="208">
        <f>SUM(G114,G123)</f>
        <v>1960</v>
      </c>
      <c r="H126" s="208">
        <f>SUM(H114,H123)</f>
        <v>2044</v>
      </c>
      <c r="I126" s="32">
        <f t="shared" si="11"/>
        <v>1.0428571428571429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208">
        <f>SUM(D125:D126)</f>
        <v>368</v>
      </c>
      <c r="E127" s="208">
        <f>SUM(E125:E126)</f>
        <v>359</v>
      </c>
      <c r="F127" s="49">
        <f>E127/D127</f>
        <v>0.97554347826086951</v>
      </c>
      <c r="G127" s="207">
        <f>SUM(G125:G126)</f>
        <v>2028</v>
      </c>
      <c r="H127" s="207">
        <f>SUM(H125:H126)</f>
        <v>2118</v>
      </c>
      <c r="I127" s="49">
        <f>H127/G127</f>
        <v>1.044378698224852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148</v>
      </c>
      <c r="J134" s="631"/>
      <c r="K134" s="632"/>
      <c r="L134" s="634"/>
    </row>
    <row r="135" spans="1:12">
      <c r="A135" s="628" t="s">
        <v>91</v>
      </c>
      <c r="B135" s="629"/>
      <c r="C135" s="649">
        <v>81</v>
      </c>
      <c r="D135" s="650"/>
      <c r="E135" s="649">
        <v>3</v>
      </c>
      <c r="F135" s="650"/>
      <c r="G135" s="649">
        <v>1</v>
      </c>
      <c r="H135" s="650"/>
      <c r="I135" s="649">
        <v>9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206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206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206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206" t="s">
        <v>99</v>
      </c>
      <c r="C140" s="656">
        <v>779</v>
      </c>
      <c r="D140" s="656"/>
      <c r="E140" s="656">
        <v>44</v>
      </c>
      <c r="F140" s="656"/>
      <c r="G140" s="656">
        <v>3</v>
      </c>
      <c r="H140" s="656"/>
      <c r="I140" s="770">
        <v>5024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221</v>
      </c>
      <c r="D145" s="663"/>
      <c r="E145" s="664"/>
      <c r="F145" s="662" t="s">
        <v>217</v>
      </c>
      <c r="G145" s="663"/>
      <c r="H145" s="663"/>
      <c r="I145" s="664"/>
      <c r="J145" s="663" t="s">
        <v>222</v>
      </c>
      <c r="K145" s="663"/>
      <c r="L145" s="663"/>
      <c r="M145" s="665"/>
    </row>
    <row r="146" spans="1:13" ht="35.25" customHeight="1">
      <c r="A146" s="716" t="s">
        <v>103</v>
      </c>
      <c r="B146" s="717"/>
      <c r="C146" s="718" t="s">
        <v>223</v>
      </c>
      <c r="D146" s="723"/>
      <c r="E146" s="724"/>
      <c r="F146" s="744" t="s">
        <v>224</v>
      </c>
      <c r="G146" s="748"/>
      <c r="H146" s="748"/>
      <c r="I146" s="749"/>
      <c r="J146" s="745" t="s">
        <v>224</v>
      </c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151</v>
      </c>
      <c r="D148" s="719"/>
      <c r="E148" s="720"/>
      <c r="F148" s="744" t="s">
        <v>151</v>
      </c>
      <c r="G148" s="745"/>
      <c r="H148" s="745"/>
      <c r="I148" s="746"/>
      <c r="J148" s="744" t="s">
        <v>151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204" t="s">
        <v>109</v>
      </c>
      <c r="C154" s="204" t="s">
        <v>110</v>
      </c>
      <c r="D154" s="204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>
        <f>E44</f>
        <v>0</v>
      </c>
      <c r="B155" s="124">
        <f>'2018MAY'!H155</f>
        <v>80993</v>
      </c>
      <c r="C155" s="63">
        <f>E45-E44</f>
        <v>35499</v>
      </c>
      <c r="D155" s="73">
        <v>81072</v>
      </c>
      <c r="E155" s="681" t="s">
        <v>114</v>
      </c>
      <c r="F155" s="681"/>
      <c r="G155" s="681"/>
      <c r="H155" s="72">
        <f>C155+A155+B155-D155</f>
        <v>35420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15412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223"/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18293</v>
      </c>
      <c r="H165" s="790"/>
      <c r="I165" s="791"/>
      <c r="J165" s="791"/>
      <c r="K165" s="792"/>
    </row>
    <row r="166" spans="1:11" ht="14">
      <c r="A166" s="203" t="s">
        <v>126</v>
      </c>
      <c r="B166" s="789" t="s">
        <v>127</v>
      </c>
      <c r="C166" s="789"/>
      <c r="D166" s="789"/>
      <c r="E166" s="789"/>
      <c r="F166" s="789"/>
      <c r="G166" s="222">
        <v>1920</v>
      </c>
      <c r="H166" s="790"/>
      <c r="I166" s="791"/>
      <c r="J166" s="791"/>
      <c r="K166" s="792"/>
    </row>
    <row r="167" spans="1:11" ht="14">
      <c r="A167" s="203" t="s">
        <v>128</v>
      </c>
      <c r="B167" s="789" t="s">
        <v>129</v>
      </c>
      <c r="C167" s="789"/>
      <c r="D167" s="789"/>
      <c r="E167" s="789"/>
      <c r="F167" s="789"/>
      <c r="G167" s="223"/>
      <c r="H167" s="790"/>
      <c r="I167" s="791"/>
      <c r="J167" s="791"/>
      <c r="K167" s="792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G1" xr:uid="{00000000-0002-0000-1200-000000000000}">
      <formula1>"Jan, Feb, March, April, May, June, July, Aug, Sep, Oct, Nov, Dec"</formula1>
    </dataValidation>
    <dataValidation type="list" allowBlank="1" showInputMessage="1" showErrorMessage="1" sqref="L3" xr:uid="{00000000-0002-0000-1200-000001000000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pageSetUpPr fitToPage="1"/>
  </sheetPr>
  <dimension ref="A1:N167"/>
  <sheetViews>
    <sheetView topLeftCell="A22" zoomScale="98" zoomScaleNormal="98" zoomScaleSheetLayoutView="85" workbookViewId="0">
      <selection activeCell="D151" sqref="D151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144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>
        <v>43325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225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224" t="s">
        <v>176</v>
      </c>
      <c r="C10" s="61">
        <v>2</v>
      </c>
      <c r="D10" s="227">
        <v>2</v>
      </c>
      <c r="E10" s="538" t="s">
        <v>182</v>
      </c>
      <c r="F10" s="538"/>
      <c r="G10" s="538"/>
      <c r="H10" s="538"/>
      <c r="I10" s="539"/>
    </row>
    <row r="11" spans="1:13">
      <c r="A11" s="537"/>
      <c r="B11" s="224" t="s">
        <v>177</v>
      </c>
      <c r="C11" s="61">
        <v>2</v>
      </c>
      <c r="D11" s="227">
        <v>2</v>
      </c>
      <c r="E11" s="540" t="s">
        <v>183</v>
      </c>
      <c r="F11" s="541"/>
      <c r="G11" s="541"/>
      <c r="H11" s="541"/>
      <c r="I11" s="542"/>
    </row>
    <row r="12" spans="1:13">
      <c r="A12" s="537"/>
      <c r="B12" s="224" t="s">
        <v>179</v>
      </c>
      <c r="C12" s="61">
        <v>2</v>
      </c>
      <c r="D12" s="227">
        <v>4</v>
      </c>
      <c r="E12" s="768" t="s">
        <v>238</v>
      </c>
      <c r="F12" s="538"/>
      <c r="G12" s="538"/>
      <c r="H12" s="538"/>
      <c r="I12" s="539"/>
    </row>
    <row r="13" spans="1:13">
      <c r="A13" s="537"/>
      <c r="B13" s="224" t="s">
        <v>180</v>
      </c>
      <c r="C13" s="61">
        <v>3</v>
      </c>
      <c r="D13" s="227">
        <v>1</v>
      </c>
      <c r="E13" s="538" t="s">
        <v>212</v>
      </c>
      <c r="F13" s="538"/>
      <c r="G13" s="538"/>
      <c r="H13" s="538"/>
      <c r="I13" s="539"/>
    </row>
    <row r="14" spans="1:13">
      <c r="A14" s="537"/>
      <c r="B14" s="224" t="s">
        <v>12</v>
      </c>
      <c r="C14" s="61">
        <v>0</v>
      </c>
      <c r="D14" s="227">
        <v>0</v>
      </c>
      <c r="E14" s="540"/>
      <c r="F14" s="541"/>
      <c r="G14" s="541"/>
      <c r="H14" s="541"/>
      <c r="I14" s="542"/>
    </row>
    <row r="15" spans="1:13">
      <c r="A15" s="537"/>
      <c r="B15" s="224" t="s">
        <v>13</v>
      </c>
      <c r="C15" s="61">
        <v>2</v>
      </c>
      <c r="D15" s="227">
        <v>2</v>
      </c>
      <c r="E15" s="768" t="s">
        <v>232</v>
      </c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11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19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226" t="s">
        <v>23</v>
      </c>
      <c r="E21" s="226" t="s">
        <v>24</v>
      </c>
      <c r="F21" s="226" t="s">
        <v>25</v>
      </c>
      <c r="G21" s="226" t="s">
        <v>23</v>
      </c>
      <c r="H21" s="226" t="s">
        <v>24</v>
      </c>
      <c r="I21" s="226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177">
        <v>13224</v>
      </c>
      <c r="E23" s="227">
        <v>12417</v>
      </c>
      <c r="F23" s="14">
        <f t="shared" ref="F23:F28" si="0">E23/D23</f>
        <v>0.93897459165154262</v>
      </c>
      <c r="G23" s="179">
        <f>D23+'2018JUN'!G23</f>
        <v>83798.2</v>
      </c>
      <c r="H23" s="66">
        <f>E23+'2018JUN'!H23</f>
        <v>86087</v>
      </c>
      <c r="I23" s="14">
        <f t="shared" ref="I23:I28" si="1">H23/G23</f>
        <v>1.0273132358451613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228">
        <f>SUM(D23:D23)</f>
        <v>13224</v>
      </c>
      <c r="E24" s="228">
        <f>SUM(E23:E23)</f>
        <v>12417</v>
      </c>
      <c r="F24" s="16">
        <f t="shared" si="0"/>
        <v>0.93897459165154262</v>
      </c>
      <c r="G24" s="228">
        <f>SUM(G23:G23)</f>
        <v>83798.2</v>
      </c>
      <c r="H24" s="228">
        <f>SUM(H23:H23)</f>
        <v>86087</v>
      </c>
      <c r="I24" s="16">
        <f t="shared" si="1"/>
        <v>1.0273132358451613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177">
        <v>14080</v>
      </c>
      <c r="E25" s="227">
        <v>13114</v>
      </c>
      <c r="F25" s="14">
        <f t="shared" si="0"/>
        <v>0.93139204545454546</v>
      </c>
      <c r="G25" s="179">
        <f>D25+'2018JUN'!G25</f>
        <v>85120</v>
      </c>
      <c r="H25" s="66">
        <f>E25+'2018JUN'!H25</f>
        <v>88014</v>
      </c>
      <c r="I25" s="14">
        <f t="shared" si="1"/>
        <v>1.0339990601503759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65">
        <v>0</v>
      </c>
      <c r="E26" s="227">
        <v>0</v>
      </c>
      <c r="F26" s="14" t="e">
        <f t="shared" si="0"/>
        <v>#DIV/0!</v>
      </c>
      <c r="G26" s="224">
        <f>D26</f>
        <v>0</v>
      </c>
      <c r="H26" s="224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228">
        <f>SUM(D25:D26)</f>
        <v>14080</v>
      </c>
      <c r="E27" s="228">
        <f>SUM(E25:E26)</f>
        <v>13114</v>
      </c>
      <c r="F27" s="16">
        <f t="shared" si="0"/>
        <v>0.93139204545454546</v>
      </c>
      <c r="G27" s="228">
        <f>SUM(G25:G26)</f>
        <v>85120</v>
      </c>
      <c r="H27" s="228">
        <f>SUM(H25:H26)</f>
        <v>88014</v>
      </c>
      <c r="I27" s="16">
        <f t="shared" si="1"/>
        <v>1.0339990601503759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229">
        <f>SUM(D24,D27)</f>
        <v>27304</v>
      </c>
      <c r="E28" s="229">
        <f>SUM(E24,E27)</f>
        <v>25531</v>
      </c>
      <c r="F28" s="17">
        <f t="shared" si="0"/>
        <v>0.93506445941986527</v>
      </c>
      <c r="G28" s="229">
        <f>SUM(G24,G27)</f>
        <v>168918.2</v>
      </c>
      <c r="H28" s="229">
        <f>SUM(H24,H27)</f>
        <v>174101</v>
      </c>
      <c r="I28" s="17">
        <f t="shared" si="1"/>
        <v>1.0306823065838968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35</v>
      </c>
      <c r="C30" s="128" t="s">
        <v>29</v>
      </c>
      <c r="D30" s="65">
        <v>1000</v>
      </c>
      <c r="E30" s="227">
        <f>6759-3070</f>
        <v>3689</v>
      </c>
      <c r="F30" s="14">
        <f>E30/D30</f>
        <v>3.6890000000000001</v>
      </c>
      <c r="G30" s="66">
        <f>D30+'2018JUN'!G30</f>
        <v>7000</v>
      </c>
      <c r="H30" s="66">
        <f>E30+'2018JUN'!H30</f>
        <v>22168</v>
      </c>
      <c r="I30" s="14">
        <f>H30/G30</f>
        <v>3.1668571428571428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65">
        <v>0</v>
      </c>
      <c r="E31" s="227">
        <f>235+3070</f>
        <v>3305</v>
      </c>
      <c r="F31" s="14" t="e">
        <f t="shared" ref="F31:F47" si="2">E31/D31</f>
        <v>#DIV/0!</v>
      </c>
      <c r="G31" s="66">
        <f>D31+'2018JUN'!G31</f>
        <v>0</v>
      </c>
      <c r="H31" s="66">
        <f>E31+'2018JUN'!H31</f>
        <v>16339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228">
        <f>SUM(D30:D31)</f>
        <v>1000</v>
      </c>
      <c r="E32" s="228">
        <f>SUM(E30:E31)</f>
        <v>6994</v>
      </c>
      <c r="F32" s="14">
        <f t="shared" si="2"/>
        <v>6.9939999999999998</v>
      </c>
      <c r="G32" s="228">
        <f>SUM(G30:G31)</f>
        <v>7000</v>
      </c>
      <c r="H32" s="228">
        <f>SUM(H30:H31)</f>
        <v>38507</v>
      </c>
      <c r="I32" s="14">
        <f t="shared" si="3"/>
        <v>5.5010000000000003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65">
        <v>650</v>
      </c>
      <c r="E33" s="227">
        <v>244</v>
      </c>
      <c r="F33" s="14">
        <f t="shared" si="2"/>
        <v>0.37538461538461537</v>
      </c>
      <c r="G33" s="66">
        <f>D33+'2018JUN'!G33</f>
        <v>4550</v>
      </c>
      <c r="H33" s="66">
        <f>E33+'2018JUN'!H33</f>
        <v>4976</v>
      </c>
      <c r="I33" s="14">
        <f t="shared" si="3"/>
        <v>1.0936263736263736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226">
        <f>SUM(D32,D33)</f>
        <v>1650</v>
      </c>
      <c r="E34" s="226">
        <f>SUM(E32,E33)</f>
        <v>7238</v>
      </c>
      <c r="F34" s="14">
        <f t="shared" si="2"/>
        <v>4.3866666666666667</v>
      </c>
      <c r="G34" s="226">
        <f>SUM(G32,G33)</f>
        <v>11550</v>
      </c>
      <c r="H34" s="226">
        <f>SUM(H32,H33)</f>
        <v>43483</v>
      </c>
      <c r="I34" s="14">
        <f t="shared" si="3"/>
        <v>3.764761904761905</v>
      </c>
      <c r="J34" s="534"/>
      <c r="K34" s="534"/>
      <c r="L34" s="534"/>
      <c r="M34" s="543"/>
    </row>
    <row r="35" spans="1:13">
      <c r="A35" s="573" t="s">
        <v>37</v>
      </c>
      <c r="B35" s="555" t="s">
        <v>38</v>
      </c>
      <c r="C35" s="18" t="s">
        <v>39</v>
      </c>
      <c r="D35" s="65">
        <v>36232</v>
      </c>
      <c r="E35" s="224">
        <v>40435</v>
      </c>
      <c r="F35" s="14">
        <f t="shared" si="2"/>
        <v>1.1160024287922279</v>
      </c>
      <c r="G35" s="66">
        <f>D35+'2018JUN'!G35</f>
        <v>253624</v>
      </c>
      <c r="H35" s="66">
        <f>E35+'2018JUN'!H35</f>
        <v>40435</v>
      </c>
      <c r="I35" s="14">
        <f t="shared" si="3"/>
        <v>0.1594289183988897</v>
      </c>
      <c r="J35" s="525" t="s">
        <v>225</v>
      </c>
      <c r="K35" s="525"/>
      <c r="L35" s="525"/>
      <c r="M35" s="552"/>
    </row>
    <row r="36" spans="1:13">
      <c r="A36" s="573"/>
      <c r="B36" s="555"/>
      <c r="C36" s="128" t="s">
        <v>40</v>
      </c>
      <c r="D36" s="224"/>
      <c r="E36" s="224"/>
      <c r="F36" s="14" t="e">
        <f t="shared" si="2"/>
        <v>#DIV/0!</v>
      </c>
      <c r="G36" s="224"/>
      <c r="H36" s="224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228">
        <f>SUM(D35:D36)</f>
        <v>36232</v>
      </c>
      <c r="E37" s="228">
        <f>SUM(E35:E36)</f>
        <v>40435</v>
      </c>
      <c r="F37" s="16">
        <f t="shared" si="2"/>
        <v>1.1160024287922279</v>
      </c>
      <c r="G37" s="244">
        <f>SUM(G35:G36)</f>
        <v>253624</v>
      </c>
      <c r="H37" s="244">
        <f>SUM(H35:H36)</f>
        <v>40435</v>
      </c>
      <c r="I37" s="16">
        <f t="shared" si="3"/>
        <v>0.1594289183988897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40</v>
      </c>
      <c r="D38" s="65">
        <v>1100</v>
      </c>
      <c r="E38" s="227">
        <v>0</v>
      </c>
      <c r="F38" s="14">
        <f t="shared" si="2"/>
        <v>0</v>
      </c>
      <c r="G38" s="66">
        <f>D38+'2018JUN'!G38</f>
        <v>7700</v>
      </c>
      <c r="H38" s="66">
        <f>E38+'2018JUN'!H38</f>
        <v>0</v>
      </c>
      <c r="I38" s="14">
        <f t="shared" si="3"/>
        <v>0</v>
      </c>
      <c r="J38" s="525"/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224"/>
      <c r="E39" s="224"/>
      <c r="F39" s="14" t="e">
        <f t="shared" si="2"/>
        <v>#DIV/0!</v>
      </c>
      <c r="G39" s="224"/>
      <c r="H39" s="224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228">
        <f>SUM(D38:D39)</f>
        <v>1100</v>
      </c>
      <c r="E40" s="228">
        <f>SUM(E38:E39)</f>
        <v>0</v>
      </c>
      <c r="F40" s="16">
        <f t="shared" si="2"/>
        <v>0</v>
      </c>
      <c r="G40" s="228">
        <f>SUM(G38:G39)</f>
        <v>7700</v>
      </c>
      <c r="H40" s="228">
        <f>SUM(H38:H39)</f>
        <v>0</v>
      </c>
      <c r="I40" s="16">
        <f t="shared" si="3"/>
        <v>0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226">
        <f>SUM(D37,D40)</f>
        <v>37332</v>
      </c>
      <c r="E41" s="226">
        <f>SUM(E37,E40)</f>
        <v>40435</v>
      </c>
      <c r="F41" s="19">
        <f t="shared" si="2"/>
        <v>1.0831190399657131</v>
      </c>
      <c r="G41" s="226">
        <f>SUM(G37,G40)</f>
        <v>261324</v>
      </c>
      <c r="H41" s="226">
        <f>SUM(H37,H40)</f>
        <v>40435</v>
      </c>
      <c r="I41" s="19">
        <f t="shared" si="3"/>
        <v>0.15473129142367328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178">
        <v>12000</v>
      </c>
      <c r="E42" s="76">
        <f>C140+E140+G140+I140</f>
        <v>26227</v>
      </c>
      <c r="F42" s="21">
        <f t="shared" si="2"/>
        <v>2.1855833333333332</v>
      </c>
      <c r="G42" s="180">
        <f>D42+'2018JUN'!G42</f>
        <v>79500</v>
      </c>
      <c r="H42" s="77">
        <f>E42+'2018JUN'!H42</f>
        <v>124933</v>
      </c>
      <c r="I42" s="21">
        <f t="shared" si="3"/>
        <v>1.5714842767295598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245">
        <v>6000</v>
      </c>
      <c r="E43" s="20">
        <v>870</v>
      </c>
      <c r="F43" s="21">
        <f t="shared" si="2"/>
        <v>0.14499999999999999</v>
      </c>
      <c r="G43" s="247">
        <f>D43+'2018JUN'!G43</f>
        <v>30000</v>
      </c>
      <c r="H43" s="68">
        <f>E43+'2018JUN'!H43</f>
        <v>870</v>
      </c>
      <c r="I43" s="21">
        <f t="shared" si="3"/>
        <v>2.9000000000000001E-2</v>
      </c>
      <c r="J43" s="572"/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245">
        <v>33500</v>
      </c>
      <c r="E44" s="202">
        <v>100000</v>
      </c>
      <c r="F44" s="21">
        <f t="shared" si="2"/>
        <v>2.9850746268656718</v>
      </c>
      <c r="G44" s="247">
        <f>D44+'2018JUN'!G44</f>
        <v>234500</v>
      </c>
      <c r="H44" s="180">
        <f>E44+'2018JUN'!H44</f>
        <v>299970</v>
      </c>
      <c r="I44" s="21">
        <f t="shared" si="3"/>
        <v>1.2791897654584221</v>
      </c>
      <c r="J44" s="570"/>
      <c r="K44" s="570"/>
      <c r="L44" s="570"/>
      <c r="M44" s="571"/>
    </row>
    <row r="45" spans="1:13" s="8" customFormat="1">
      <c r="A45" s="587" t="s">
        <v>46</v>
      </c>
      <c r="B45" s="588"/>
      <c r="C45" s="589"/>
      <c r="D45" s="232">
        <f>SUM(D28,D34,D41,D42:D44)</f>
        <v>117786</v>
      </c>
      <c r="E45" s="78">
        <f>SUM(E28,E34,E41,E42:E44)</f>
        <v>200301</v>
      </c>
      <c r="F45" s="22">
        <f t="shared" si="2"/>
        <v>1.7005501502725282</v>
      </c>
      <c r="G45" s="232">
        <f>SUM(G28,G34,G41,G42:G44)</f>
        <v>785792.2</v>
      </c>
      <c r="H45" s="232">
        <f>SUM(H28,H34,H41,H42:H44)</f>
        <v>683792</v>
      </c>
      <c r="I45" s="22">
        <f t="shared" si="3"/>
        <v>0.87019443562814702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232">
        <f>D45-D42</f>
        <v>105786</v>
      </c>
      <c r="E46" s="232">
        <f>E45-E42</f>
        <v>174074</v>
      </c>
      <c r="F46" s="22">
        <f t="shared" si="2"/>
        <v>1.645529654207551</v>
      </c>
      <c r="G46" s="232">
        <f>G45-G42</f>
        <v>706292.2</v>
      </c>
      <c r="H46" s="232">
        <f>H45-H42</f>
        <v>558859</v>
      </c>
      <c r="I46" s="22">
        <f t="shared" si="3"/>
        <v>0.79125749937490464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230">
        <f>D46-D44</f>
        <v>72286</v>
      </c>
      <c r="E47" s="230">
        <f>E46-E44</f>
        <v>74074</v>
      </c>
      <c r="F47" s="23">
        <f t="shared" si="2"/>
        <v>1.0247350800984976</v>
      </c>
      <c r="G47" s="230">
        <f>G46-G44</f>
        <v>471792.19999999995</v>
      </c>
      <c r="H47" s="230">
        <f>H46-H44</f>
        <v>258889</v>
      </c>
      <c r="I47" s="23">
        <f t="shared" si="3"/>
        <v>0.54873522707666644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231" t="s">
        <v>23</v>
      </c>
      <c r="E52" s="231" t="s">
        <v>24</v>
      </c>
      <c r="F52" s="231" t="s">
        <v>25</v>
      </c>
      <c r="G52" s="231" t="s">
        <v>23</v>
      </c>
      <c r="H52" s="231" t="s">
        <v>24</v>
      </c>
      <c r="I52" s="231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12</v>
      </c>
      <c r="E53" s="227">
        <v>2</v>
      </c>
      <c r="F53" s="28">
        <f t="shared" ref="F53:F79" si="4">E53/D53</f>
        <v>0.16666666666666666</v>
      </c>
      <c r="G53" s="66">
        <f>D53+'2018JUN'!G53</f>
        <v>80</v>
      </c>
      <c r="H53" s="66">
        <f>E53+'2018JUN'!H53</f>
        <v>76</v>
      </c>
      <c r="I53" s="28">
        <f t="shared" ref="I53:I79" si="5">H53/G53</f>
        <v>0.95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300</v>
      </c>
      <c r="E54" s="227">
        <v>355</v>
      </c>
      <c r="F54" s="28">
        <f t="shared" si="4"/>
        <v>1.1833333333333333</v>
      </c>
      <c r="G54" s="66">
        <f>D54+'2018JUN'!G54</f>
        <v>2100</v>
      </c>
      <c r="H54" s="66">
        <f>E54+'2018JUN'!H54</f>
        <v>2399</v>
      </c>
      <c r="I54" s="28">
        <f t="shared" si="5"/>
        <v>1.1423809523809523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228">
        <f>SUM(D53:D54)</f>
        <v>312</v>
      </c>
      <c r="E55" s="228">
        <f>SUM(E53:E54)</f>
        <v>357</v>
      </c>
      <c r="F55" s="30">
        <f t="shared" si="4"/>
        <v>1.1442307692307692</v>
      </c>
      <c r="G55" s="228">
        <f>SUM(G53:G54)</f>
        <v>2180</v>
      </c>
      <c r="H55" s="228">
        <f>SUM(H53:H54)</f>
        <v>2475</v>
      </c>
      <c r="I55" s="30">
        <f t="shared" si="5"/>
        <v>1.1353211009174311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40</v>
      </c>
      <c r="E56" s="227">
        <v>17</v>
      </c>
      <c r="F56" s="28">
        <f t="shared" si="4"/>
        <v>0.42499999999999999</v>
      </c>
      <c r="G56" s="66">
        <f>D56+'2018JUN'!G56</f>
        <v>280</v>
      </c>
      <c r="H56" s="66">
        <f>E56+'2018JUN'!H56</f>
        <v>262</v>
      </c>
      <c r="I56" s="28">
        <f t="shared" si="5"/>
        <v>0.93571428571428572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600</v>
      </c>
      <c r="E57" s="227">
        <v>843</v>
      </c>
      <c r="F57" s="28">
        <f t="shared" si="4"/>
        <v>1.405</v>
      </c>
      <c r="G57" s="66">
        <f>D57+'2018JUN'!G57</f>
        <v>4200</v>
      </c>
      <c r="H57" s="66">
        <f>E57+'2018JUN'!H57</f>
        <v>5431</v>
      </c>
      <c r="I57" s="28">
        <f t="shared" si="5"/>
        <v>1.2930952380952381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236">
        <f>SUM(D56:D57)</f>
        <v>640</v>
      </c>
      <c r="E58" s="236">
        <f>SUM(E56:E57)</f>
        <v>860</v>
      </c>
      <c r="F58" s="28">
        <f t="shared" si="4"/>
        <v>1.34375</v>
      </c>
      <c r="G58" s="236">
        <f>SUM(G56:G57)</f>
        <v>4480</v>
      </c>
      <c r="H58" s="236">
        <f>SUM(H56:H57)</f>
        <v>5693</v>
      </c>
      <c r="I58" s="31">
        <f t="shared" si="5"/>
        <v>1.2707589285714285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237">
        <f>SUM(D53,D56)</f>
        <v>52</v>
      </c>
      <c r="E59" s="237">
        <f>SUM(E53,E56)</f>
        <v>19</v>
      </c>
      <c r="F59" s="32">
        <f t="shared" si="4"/>
        <v>0.36538461538461536</v>
      </c>
      <c r="G59" s="237">
        <f>SUM(G53,G56)</f>
        <v>360</v>
      </c>
      <c r="H59" s="237">
        <f>SUM(H53,H56)</f>
        <v>338</v>
      </c>
      <c r="I59" s="32">
        <f t="shared" si="5"/>
        <v>0.93888888888888888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237">
        <f>SUM(D54,D57)</f>
        <v>900</v>
      </c>
      <c r="E60" s="237">
        <f>SUM(E54,E57)</f>
        <v>1198</v>
      </c>
      <c r="F60" s="32">
        <f t="shared" si="4"/>
        <v>1.3311111111111111</v>
      </c>
      <c r="G60" s="237">
        <f>SUM(G54,G57)</f>
        <v>6300</v>
      </c>
      <c r="H60" s="237">
        <f>SUM(H54,H57)</f>
        <v>7830</v>
      </c>
      <c r="I60" s="32">
        <f t="shared" si="5"/>
        <v>1.2428571428571429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238">
        <f>SUM(D59:D60)</f>
        <v>952</v>
      </c>
      <c r="E61" s="238">
        <f>SUM(E59:E60)</f>
        <v>1217</v>
      </c>
      <c r="F61" s="33">
        <f t="shared" si="4"/>
        <v>1.278361344537815</v>
      </c>
      <c r="G61" s="238">
        <f>SUM(G59:G60)</f>
        <v>6660</v>
      </c>
      <c r="H61" s="238">
        <f>SUM(H59:H60)</f>
        <v>8168</v>
      </c>
      <c r="I61" s="33">
        <f t="shared" si="5"/>
        <v>1.2264264264264264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42</v>
      </c>
      <c r="E62" s="224">
        <f>E71/10</f>
        <v>7</v>
      </c>
      <c r="F62" s="28">
        <f t="shared" si="4"/>
        <v>0.16666666666666666</v>
      </c>
      <c r="G62" s="66">
        <f>D62+'2018JUN'!G62</f>
        <v>280</v>
      </c>
      <c r="H62" s="66">
        <f>E62+'2018JUN'!H62</f>
        <v>264.2</v>
      </c>
      <c r="I62" s="28">
        <f t="shared" si="5"/>
        <v>0.94357142857142851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246">
        <v>1044</v>
      </c>
      <c r="E63" s="224">
        <f>E72/10</f>
        <v>1234.7</v>
      </c>
      <c r="F63" s="28">
        <f t="shared" si="4"/>
        <v>1.1826628352490423</v>
      </c>
      <c r="G63" s="248">
        <f>D63+'2018JUN'!G63</f>
        <v>7308</v>
      </c>
      <c r="H63" s="66">
        <f>E63+'2018JUN'!H63</f>
        <v>8344.5</v>
      </c>
      <c r="I63" s="28">
        <f t="shared" si="5"/>
        <v>1.1418308702791462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1086</v>
      </c>
      <c r="E64" s="228">
        <f>SUM(E62:E63)</f>
        <v>1241.7</v>
      </c>
      <c r="F64" s="30">
        <f t="shared" si="4"/>
        <v>1.1433701657458564</v>
      </c>
      <c r="G64" s="228">
        <f>SUM(G62:G63)</f>
        <v>7588</v>
      </c>
      <c r="H64" s="228">
        <f>SUM(H62:H63)</f>
        <v>8608.7000000000007</v>
      </c>
      <c r="I64" s="30">
        <f t="shared" si="5"/>
        <v>1.1345150237216659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64</v>
      </c>
      <c r="E65" s="224">
        <f>E74/10</f>
        <v>21.7</v>
      </c>
      <c r="F65" s="28">
        <f t="shared" si="4"/>
        <v>0.33906249999999999</v>
      </c>
      <c r="G65" s="66">
        <f>D65+'2018JUN'!G65</f>
        <v>448</v>
      </c>
      <c r="H65" s="66">
        <f>E65+'2018JUN'!H65</f>
        <v>335.90000000000003</v>
      </c>
      <c r="I65" s="28">
        <f t="shared" si="5"/>
        <v>0.74977678571428574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960</v>
      </c>
      <c r="E66" s="224">
        <f>E75/10</f>
        <v>1289.7</v>
      </c>
      <c r="F66" s="28">
        <f t="shared" si="4"/>
        <v>1.3434375000000001</v>
      </c>
      <c r="G66" s="66">
        <f>D66+'2018JUN'!G66</f>
        <v>6720</v>
      </c>
      <c r="H66" s="66">
        <f>E66+'2018JUN'!H66</f>
        <v>8465.5</v>
      </c>
      <c r="I66" s="28">
        <f t="shared" si="5"/>
        <v>1.2597470238095239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236">
        <f>SUM(D65:D66)</f>
        <v>1024</v>
      </c>
      <c r="E67" s="236">
        <f>SUM(E65:E66)</f>
        <v>1311.4</v>
      </c>
      <c r="F67" s="31">
        <f t="shared" si="4"/>
        <v>1.2806640625000001</v>
      </c>
      <c r="G67" s="236">
        <f>SUM(G65:G66)</f>
        <v>7168</v>
      </c>
      <c r="H67" s="236">
        <f>SUM(H65:H66)</f>
        <v>8801.4</v>
      </c>
      <c r="I67" s="31">
        <f t="shared" si="5"/>
        <v>1.2278738839285714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237">
        <f>SUM(D62,D65)</f>
        <v>106</v>
      </c>
      <c r="E68" s="237">
        <f>SUM(E62,E65)</f>
        <v>28.7</v>
      </c>
      <c r="F68" s="32">
        <f t="shared" si="4"/>
        <v>0.27075471698113207</v>
      </c>
      <c r="G68" s="237">
        <f>SUM(G62,G65)</f>
        <v>728</v>
      </c>
      <c r="H68" s="237">
        <f>SUM(H62,H65)</f>
        <v>600.1</v>
      </c>
      <c r="I68" s="32">
        <f t="shared" si="5"/>
        <v>0.82431318681318688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237">
        <f>SUM(D63,D66)</f>
        <v>2004</v>
      </c>
      <c r="E69" s="237">
        <f>SUM(E63,E66)</f>
        <v>2524.4</v>
      </c>
      <c r="F69" s="32">
        <f t="shared" si="4"/>
        <v>1.259680638722555</v>
      </c>
      <c r="G69" s="237">
        <f>SUM(G63,G66)</f>
        <v>14028</v>
      </c>
      <c r="H69" s="237">
        <f>SUM(H63,H66)</f>
        <v>16810</v>
      </c>
      <c r="I69" s="32">
        <f t="shared" si="5"/>
        <v>1.1983176504134587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238">
        <f>SUM(D68:D69)</f>
        <v>2110</v>
      </c>
      <c r="E70" s="238">
        <f>SUM(E68:E69)</f>
        <v>2553.1</v>
      </c>
      <c r="F70" s="34">
        <f t="shared" si="4"/>
        <v>1.21</v>
      </c>
      <c r="G70" s="238">
        <f>SUM(G68:G69)</f>
        <v>14756</v>
      </c>
      <c r="H70" s="238">
        <f>SUM(H68:H69)</f>
        <v>17410.099999999999</v>
      </c>
      <c r="I70" s="34">
        <f t="shared" si="5"/>
        <v>1.1798658172946597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2783.9999999999995</v>
      </c>
      <c r="E71" s="227">
        <v>70</v>
      </c>
      <c r="F71" s="28">
        <f t="shared" si="4"/>
        <v>2.5143678160919544E-2</v>
      </c>
      <c r="G71" s="179">
        <f>D71+'2018JUN'!G71</f>
        <v>10718.199999999999</v>
      </c>
      <c r="H71" s="66">
        <f>E71+'2018JUN'!H71</f>
        <v>2642</v>
      </c>
      <c r="I71" s="28">
        <f t="shared" si="5"/>
        <v>0.24649661323729732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246">
        <v>10440</v>
      </c>
      <c r="E72" s="244">
        <f>E23-E71</f>
        <v>12347</v>
      </c>
      <c r="F72" s="28">
        <f t="shared" si="4"/>
        <v>1.1826628352490423</v>
      </c>
      <c r="G72" s="248">
        <f>D72+'2018JUN'!G72</f>
        <v>73080</v>
      </c>
      <c r="H72" s="66">
        <f>E72+'2018JUN'!H72</f>
        <v>83445</v>
      </c>
      <c r="I72" s="28">
        <f t="shared" si="5"/>
        <v>1.1418308702791462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228">
        <f>SUM(D71:D72)</f>
        <v>13224</v>
      </c>
      <c r="E73" s="228">
        <f>SUM(E71:E72)</f>
        <v>12417</v>
      </c>
      <c r="F73" s="30">
        <f t="shared" si="4"/>
        <v>0.93897459165154262</v>
      </c>
      <c r="G73" s="228">
        <f>SUM(G71:G72)</f>
        <v>83798.2</v>
      </c>
      <c r="H73" s="228">
        <f>SUM(H71:H72)</f>
        <v>86087</v>
      </c>
      <c r="I73" s="30">
        <f t="shared" si="5"/>
        <v>1.0273132358451613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4480</v>
      </c>
      <c r="E74" s="227">
        <v>217</v>
      </c>
      <c r="F74" s="28">
        <f t="shared" si="4"/>
        <v>4.8437500000000001E-2</v>
      </c>
      <c r="G74" s="179">
        <f>D74+'2018JUN'!G74</f>
        <v>17920</v>
      </c>
      <c r="H74" s="66">
        <f>E74+'2018JUN'!H74</f>
        <v>3359</v>
      </c>
      <c r="I74" s="28">
        <f t="shared" si="5"/>
        <v>0.18744419642857144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246">
        <v>9600</v>
      </c>
      <c r="E75" s="244">
        <f>E25-E74</f>
        <v>12897</v>
      </c>
      <c r="F75" s="28">
        <f t="shared" si="4"/>
        <v>1.3434375000000001</v>
      </c>
      <c r="G75" s="248">
        <f>D75+'2018JUN'!G75</f>
        <v>67200</v>
      </c>
      <c r="H75" s="66">
        <f>E75+'2018JUN'!H75</f>
        <v>84655</v>
      </c>
      <c r="I75" s="28">
        <f t="shared" si="5"/>
        <v>1.2597470238095239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236">
        <f>SUM(D74:D75)</f>
        <v>14080</v>
      </c>
      <c r="E76" s="236">
        <f>SUM(E74:E75)</f>
        <v>13114</v>
      </c>
      <c r="F76" s="31">
        <f t="shared" si="4"/>
        <v>0.93139204545454546</v>
      </c>
      <c r="G76" s="236">
        <f>SUM(G74:G75)</f>
        <v>85120</v>
      </c>
      <c r="H76" s="236">
        <f>SUM(H74:H75)</f>
        <v>88014</v>
      </c>
      <c r="I76" s="31">
        <f t="shared" si="5"/>
        <v>1.0339990601503759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237">
        <f>SUM(D71,D74)</f>
        <v>7264</v>
      </c>
      <c r="E77" s="237">
        <f>SUM(E71,E74)</f>
        <v>287</v>
      </c>
      <c r="F77" s="32">
        <f t="shared" si="4"/>
        <v>3.9509911894273129E-2</v>
      </c>
      <c r="G77" s="237">
        <f>SUM(G71,G74)</f>
        <v>28638.199999999997</v>
      </c>
      <c r="H77" s="237">
        <f>SUM(H71,H74)</f>
        <v>6001</v>
      </c>
      <c r="I77" s="32">
        <f t="shared" si="5"/>
        <v>0.20954529265107447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237">
        <f>SUM(D72,D75)</f>
        <v>20040</v>
      </c>
      <c r="E78" s="237">
        <f>SUM(E72,E75)</f>
        <v>25244</v>
      </c>
      <c r="F78" s="32">
        <f t="shared" si="4"/>
        <v>1.259680638722555</v>
      </c>
      <c r="G78" s="237">
        <f>SUM(G72,G75)</f>
        <v>140280</v>
      </c>
      <c r="H78" s="237">
        <f>SUM(H72,H75)</f>
        <v>168100</v>
      </c>
      <c r="I78" s="32">
        <f t="shared" si="5"/>
        <v>1.1983176504134587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238">
        <f>SUM(D77:D78)</f>
        <v>27304</v>
      </c>
      <c r="E79" s="238">
        <f>SUM(E77:E78)</f>
        <v>25531</v>
      </c>
      <c r="F79" s="34">
        <f t="shared" si="4"/>
        <v>0.93506445941986527</v>
      </c>
      <c r="G79" s="238">
        <f>SUM(G77:G78)</f>
        <v>168918.2</v>
      </c>
      <c r="H79" s="238">
        <f>SUM(H77:H78)</f>
        <v>174101</v>
      </c>
      <c r="I79" s="34">
        <f t="shared" si="5"/>
        <v>1.0306823065838968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357</v>
      </c>
      <c r="E87" s="130"/>
      <c r="F87" s="134">
        <f>D87+'2018JUN'!F87</f>
        <v>2475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2</v>
      </c>
      <c r="E88" s="128"/>
      <c r="F88" s="134">
        <f>D88+'2018JUN'!F88</f>
        <v>76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2</v>
      </c>
      <c r="E89" s="128">
        <f>D89/D87</f>
        <v>5.6022408963585435E-3</v>
      </c>
      <c r="F89" s="134">
        <f>D89+'2018JUN'!F89</f>
        <v>11</v>
      </c>
      <c r="G89" s="128">
        <f>F89/F87</f>
        <v>4.4444444444444444E-3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4</v>
      </c>
      <c r="E90" s="128">
        <f>D90/D92</f>
        <v>1.8518518518518517E-2</v>
      </c>
      <c r="F90" s="134">
        <f>D90+'2018JUN'!F90</f>
        <v>125</v>
      </c>
      <c r="G90" s="128">
        <f>F90/F92</f>
        <v>8.790436005625879E-2</v>
      </c>
      <c r="H90" s="128"/>
    </row>
    <row r="91" spans="1:13" ht="15" customHeight="1">
      <c r="A91" s="774"/>
      <c r="B91" s="775" t="s">
        <v>202</v>
      </c>
      <c r="C91" s="775"/>
      <c r="D91" s="131">
        <v>220</v>
      </c>
      <c r="E91" s="128">
        <f>D91/D92</f>
        <v>1.0185185185185186</v>
      </c>
      <c r="F91" s="134">
        <f>D91+'2018JUN'!F91</f>
        <v>1389</v>
      </c>
      <c r="G91" s="128">
        <f>F91/F92</f>
        <v>0.97679324894514763</v>
      </c>
      <c r="H91" s="128"/>
    </row>
    <row r="92" spans="1:13" ht="15" customHeight="1">
      <c r="A92" s="774"/>
      <c r="B92" s="775" t="s">
        <v>203</v>
      </c>
      <c r="C92" s="775"/>
      <c r="D92" s="131">
        <v>216</v>
      </c>
      <c r="E92" s="130"/>
      <c r="F92" s="134">
        <f>D92+'2018JUN'!F92</f>
        <v>1422</v>
      </c>
      <c r="G92" s="130"/>
      <c r="H92" s="128"/>
    </row>
    <row r="93" spans="1:13">
      <c r="C93" s="126" t="s">
        <v>210</v>
      </c>
      <c r="D93" s="132">
        <v>576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231" t="s">
        <v>23</v>
      </c>
      <c r="E97" s="231" t="s">
        <v>24</v>
      </c>
      <c r="F97" s="231" t="s">
        <v>25</v>
      </c>
      <c r="G97" s="231" t="s">
        <v>23</v>
      </c>
      <c r="H97" s="231" t="s">
        <v>24</v>
      </c>
      <c r="I97" s="231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227">
        <v>0</v>
      </c>
      <c r="F98" s="37" t="e">
        <f>E98/D98</f>
        <v>#DIV/0!</v>
      </c>
      <c r="G98" s="66">
        <f>D98+'2018JUN'!G98</f>
        <v>0</v>
      </c>
      <c r="H98" s="66">
        <f>E98+'2018JUN'!H98</f>
        <v>1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41</v>
      </c>
      <c r="E99" s="227">
        <v>39</v>
      </c>
      <c r="F99" s="28">
        <f t="shared" ref="F99:F115" si="6">E99/D99</f>
        <v>0.95121951219512191</v>
      </c>
      <c r="G99" s="66">
        <f>D99+'2018JUN'!G99</f>
        <v>287</v>
      </c>
      <c r="H99" s="66">
        <f>E99+'2018JUN'!H99</f>
        <v>285</v>
      </c>
      <c r="I99" s="28">
        <f t="shared" ref="I99:I115" si="7">H99/G99</f>
        <v>0.99303135888501737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228">
        <f>SUM(D98:D99)</f>
        <v>41</v>
      </c>
      <c r="E100" s="228">
        <f>SUM(E98:E99)</f>
        <v>39</v>
      </c>
      <c r="F100" s="30">
        <f t="shared" si="6"/>
        <v>0.95121951219512191</v>
      </c>
      <c r="G100" s="228">
        <f>SUM(G98:G99)</f>
        <v>287</v>
      </c>
      <c r="H100" s="228">
        <f>SUM(H98:H99)</f>
        <v>286</v>
      </c>
      <c r="I100" s="30">
        <f t="shared" si="7"/>
        <v>0.99651567944250874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227">
        <v>0</v>
      </c>
      <c r="F101" s="28" t="e">
        <f t="shared" si="6"/>
        <v>#DIV/0!</v>
      </c>
      <c r="G101" s="66">
        <f>D101+'2018JUN'!G101</f>
        <v>0</v>
      </c>
      <c r="H101" s="66">
        <f>E101+'2018JUN'!H101</f>
        <v>0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11</v>
      </c>
      <c r="E102" s="227">
        <v>9</v>
      </c>
      <c r="F102" s="28">
        <f t="shared" si="6"/>
        <v>0.81818181818181823</v>
      </c>
      <c r="G102" s="66">
        <f>D102+'2018JUN'!G102</f>
        <v>77</v>
      </c>
      <c r="H102" s="66">
        <f>E102+'2018JUN'!H102</f>
        <v>69</v>
      </c>
      <c r="I102" s="28">
        <f t="shared" si="7"/>
        <v>0.89610389610389607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228">
        <f>SUM(D101:D102)</f>
        <v>11</v>
      </c>
      <c r="E103" s="228">
        <f>SUM(E101:E102)</f>
        <v>9</v>
      </c>
      <c r="F103" s="30">
        <f t="shared" si="6"/>
        <v>0.81818181818181823</v>
      </c>
      <c r="G103" s="228">
        <f>SUM(G101:G102)</f>
        <v>77</v>
      </c>
      <c r="H103" s="228">
        <f>SUM(H101:H102)</f>
        <v>69</v>
      </c>
      <c r="I103" s="30">
        <f t="shared" si="7"/>
        <v>0.89610389610389607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0</v>
      </c>
      <c r="E104" s="227">
        <v>0</v>
      </c>
      <c r="F104" s="28" t="e">
        <f t="shared" si="6"/>
        <v>#DIV/0!</v>
      </c>
      <c r="G104" s="66">
        <f>D104+'2018JUN'!G104</f>
        <v>0</v>
      </c>
      <c r="H104" s="66">
        <f>E104+'2018JUN'!H104</f>
        <v>6</v>
      </c>
      <c r="I104" s="28" t="e">
        <f t="shared" si="7"/>
        <v>#DIV/0!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63</v>
      </c>
      <c r="E105" s="227">
        <v>62</v>
      </c>
      <c r="F105" s="28">
        <f t="shared" si="6"/>
        <v>0.98412698412698407</v>
      </c>
      <c r="G105" s="66">
        <f>D105+'2018JUN'!G105</f>
        <v>441</v>
      </c>
      <c r="H105" s="66">
        <f>E105+'2018JUN'!H105</f>
        <v>413</v>
      </c>
      <c r="I105" s="28">
        <f t="shared" si="7"/>
        <v>0.93650793650793651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228">
        <f>SUM(D104:D105)</f>
        <v>63</v>
      </c>
      <c r="E106" s="228">
        <f>SUM(E104:E105)</f>
        <v>62</v>
      </c>
      <c r="F106" s="30">
        <f t="shared" si="6"/>
        <v>0.98412698412698407</v>
      </c>
      <c r="G106" s="228">
        <f>SUM(G104:G105)</f>
        <v>441</v>
      </c>
      <c r="H106" s="228">
        <f>SUM(H104:H105)</f>
        <v>419</v>
      </c>
      <c r="I106" s="30">
        <f t="shared" si="7"/>
        <v>0.95011337868480727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2</v>
      </c>
      <c r="E107" s="227">
        <v>1</v>
      </c>
      <c r="F107" s="28">
        <f>E107/D107</f>
        <v>0.5</v>
      </c>
      <c r="G107" s="66">
        <f>D107+'2018JUN'!G107</f>
        <v>12</v>
      </c>
      <c r="H107" s="66">
        <f>E107+'2018JUN'!H107</f>
        <v>17</v>
      </c>
      <c r="I107" s="28">
        <f>H107/G107</f>
        <v>1.4166666666666667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110</v>
      </c>
      <c r="E108" s="227">
        <v>105</v>
      </c>
      <c r="F108" s="28">
        <f>E108/D108</f>
        <v>0.95454545454545459</v>
      </c>
      <c r="G108" s="66">
        <f>D108+'2018JUN'!G108</f>
        <v>730</v>
      </c>
      <c r="H108" s="66">
        <f>E108+'2018JUN'!H108</f>
        <v>717</v>
      </c>
      <c r="I108" s="28">
        <f t="shared" si="7"/>
        <v>0.98219178082191783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228">
        <f>SUM(D107:D108)</f>
        <v>112</v>
      </c>
      <c r="E109" s="228">
        <f>SUM(E107:E108)</f>
        <v>106</v>
      </c>
      <c r="F109" s="30">
        <f t="shared" si="6"/>
        <v>0.9464285714285714</v>
      </c>
      <c r="G109" s="228">
        <f>SUM(G107:G108)</f>
        <v>742</v>
      </c>
      <c r="H109" s="228">
        <f>SUM(H107:H108)</f>
        <v>734</v>
      </c>
      <c r="I109" s="30">
        <f t="shared" si="7"/>
        <v>0.98921832884097038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8</v>
      </c>
      <c r="E110" s="227">
        <v>0</v>
      </c>
      <c r="F110" s="30">
        <f>E110/D110</f>
        <v>0</v>
      </c>
      <c r="G110" s="66">
        <f>D110+'2018JUN'!G110</f>
        <v>56</v>
      </c>
      <c r="H110" s="66">
        <f>E110+'2018JUN'!H110</f>
        <v>35</v>
      </c>
      <c r="I110" s="30">
        <f>H110/G110</f>
        <v>0.625</v>
      </c>
      <c r="J110" s="233"/>
      <c r="K110" s="234"/>
      <c r="L110" s="234"/>
      <c r="M110" s="235"/>
    </row>
    <row r="111" spans="1:13">
      <c r="A111" s="573"/>
      <c r="B111" s="777"/>
      <c r="C111" s="27" t="s">
        <v>70</v>
      </c>
      <c r="D111" s="65">
        <v>48</v>
      </c>
      <c r="E111" s="227">
        <v>37</v>
      </c>
      <c r="F111" s="30">
        <f t="shared" ref="F111:F112" si="8">E111/D111</f>
        <v>0.77083333333333337</v>
      </c>
      <c r="G111" s="66">
        <f>D111+'2018JUN'!G111</f>
        <v>168</v>
      </c>
      <c r="H111" s="66">
        <f>E111+'2018JUN'!H111</f>
        <v>201</v>
      </c>
      <c r="I111" s="30">
        <f t="shared" ref="I111:I112" si="9">H111/G111</f>
        <v>1.1964285714285714</v>
      </c>
      <c r="J111" s="233"/>
      <c r="K111" s="234"/>
      <c r="L111" s="234"/>
      <c r="M111" s="235"/>
    </row>
    <row r="112" spans="1:13">
      <c r="A112" s="573"/>
      <c r="B112" s="778"/>
      <c r="C112" s="38" t="s">
        <v>166</v>
      </c>
      <c r="D112" s="228">
        <f>SUM(D110:D111)</f>
        <v>56</v>
      </c>
      <c r="E112" s="228">
        <f>SUM(E110:E111)</f>
        <v>37</v>
      </c>
      <c r="F112" s="30">
        <f t="shared" si="8"/>
        <v>0.6607142857142857</v>
      </c>
      <c r="G112" s="228">
        <f>SUM(G110:G111)</f>
        <v>224</v>
      </c>
      <c r="H112" s="228">
        <f>SUM(H110:H111)</f>
        <v>236</v>
      </c>
      <c r="I112" s="30">
        <f t="shared" si="9"/>
        <v>1.0535714285714286</v>
      </c>
      <c r="J112" s="233"/>
      <c r="K112" s="234"/>
      <c r="L112" s="234"/>
      <c r="M112" s="235"/>
    </row>
    <row r="113" spans="1:13">
      <c r="A113" s="573"/>
      <c r="B113" s="603" t="s">
        <v>46</v>
      </c>
      <c r="C113" s="39" t="s">
        <v>69</v>
      </c>
      <c r="D113" s="236">
        <f>SUM(D98,D101,D104,D107,D110)</f>
        <v>10</v>
      </c>
      <c r="E113" s="236">
        <f>SUM(E98,E101,E104,E107,E110)</f>
        <v>1</v>
      </c>
      <c r="F113" s="31">
        <f t="shared" si="6"/>
        <v>0.1</v>
      </c>
      <c r="G113" s="236">
        <f>SUM(G98,G101,G104,G107,G110)</f>
        <v>68</v>
      </c>
      <c r="H113" s="236">
        <f>SUM(H98,H101,H104,H107,H110)</f>
        <v>59</v>
      </c>
      <c r="I113" s="31">
        <f t="shared" si="7"/>
        <v>0.86764705882352944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236">
        <f>SUM(D99,D102,D105,D108,D111)</f>
        <v>273</v>
      </c>
      <c r="E114" s="236">
        <f>SUM(E99,E102,E105,E108,E111)</f>
        <v>252</v>
      </c>
      <c r="F114" s="31">
        <f t="shared" si="6"/>
        <v>0.92307692307692313</v>
      </c>
      <c r="G114" s="236">
        <f>SUM(G99,G102,G105,G108,G111)</f>
        <v>1703</v>
      </c>
      <c r="H114" s="236">
        <f>SUM(H99,H102,H105,H108,H111)</f>
        <v>1685</v>
      </c>
      <c r="I114" s="31">
        <f t="shared" si="7"/>
        <v>0.98943041691133293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239">
        <f>SUM(D113:D114)</f>
        <v>283</v>
      </c>
      <c r="E115" s="239">
        <f>SUM(E113:E114)</f>
        <v>253</v>
      </c>
      <c r="F115" s="41">
        <f t="shared" si="6"/>
        <v>0.89399293286219084</v>
      </c>
      <c r="G115" s="239">
        <f>SUM(G113:G114)</f>
        <v>1771</v>
      </c>
      <c r="H115" s="239">
        <f>SUM(H113:H114)</f>
        <v>1744</v>
      </c>
      <c r="I115" s="41">
        <f t="shared" si="7"/>
        <v>0.98475437605872385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2</v>
      </c>
      <c r="E116" s="64">
        <v>1</v>
      </c>
      <c r="F116" s="43">
        <f>E116/D116</f>
        <v>0.5</v>
      </c>
      <c r="G116" s="70">
        <f>D116+'2018JUN'!G116</f>
        <v>12</v>
      </c>
      <c r="H116" s="70">
        <f>E116+'2018JUN'!H116</f>
        <v>12</v>
      </c>
      <c r="I116" s="43">
        <f>H116/G116</f>
        <v>1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58</v>
      </c>
      <c r="E117" s="227">
        <v>57</v>
      </c>
      <c r="F117" s="28">
        <f t="shared" ref="F117:F126" si="10">E117/D117</f>
        <v>0.98275862068965514</v>
      </c>
      <c r="G117" s="71">
        <f>D117+'2018JUN'!G117</f>
        <v>366</v>
      </c>
      <c r="H117" s="71">
        <f>E117+'2018JUN'!H117</f>
        <v>393</v>
      </c>
      <c r="I117" s="28">
        <f t="shared" ref="I117:I126" si="11">H117/G117</f>
        <v>1.0737704918032787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228">
        <f>SUM(D116:D117)</f>
        <v>60</v>
      </c>
      <c r="E118" s="228">
        <f>SUM(E116:E117)</f>
        <v>58</v>
      </c>
      <c r="F118" s="30">
        <f t="shared" si="10"/>
        <v>0.96666666666666667</v>
      </c>
      <c r="G118" s="228">
        <f>SUM(G116:G117)</f>
        <v>378</v>
      </c>
      <c r="H118" s="228">
        <f>SUM(H116:H117)</f>
        <v>405</v>
      </c>
      <c r="I118" s="30">
        <f t="shared" si="11"/>
        <v>1.0714285714285714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227">
        <v>0</v>
      </c>
      <c r="F119" s="28" t="e">
        <f t="shared" si="10"/>
        <v>#DIV/0!</v>
      </c>
      <c r="G119" s="66">
        <f>D119+'2018JUN'!G119</f>
        <v>0</v>
      </c>
      <c r="H119" s="66">
        <f>E119+'2018JUN'!H119</f>
        <v>5</v>
      </c>
      <c r="I119" s="28" t="e">
        <f t="shared" si="11"/>
        <v>#DIV/0!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37</v>
      </c>
      <c r="E120" s="227">
        <v>46</v>
      </c>
      <c r="F120" s="28">
        <f t="shared" si="10"/>
        <v>1.2432432432432432</v>
      </c>
      <c r="G120" s="66">
        <f>D120+'2018JUN'!G120</f>
        <v>259</v>
      </c>
      <c r="H120" s="66">
        <f>E120+'2018JUN'!H120</f>
        <v>321</v>
      </c>
      <c r="I120" s="28">
        <f t="shared" si="11"/>
        <v>1.2393822393822393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228">
        <f>SUM(D119:D120)</f>
        <v>37</v>
      </c>
      <c r="E121" s="228">
        <f>SUM(E119:E120)</f>
        <v>46</v>
      </c>
      <c r="F121" s="30">
        <f t="shared" si="10"/>
        <v>1.2432432432432432</v>
      </c>
      <c r="G121" s="228">
        <f>SUM(G119:G120)</f>
        <v>259</v>
      </c>
      <c r="H121" s="228">
        <f>SUM(H119:H120)</f>
        <v>326</v>
      </c>
      <c r="I121" s="30">
        <f t="shared" si="11"/>
        <v>1.2586872586872586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236">
        <f>SUM(D116,D119)</f>
        <v>2</v>
      </c>
      <c r="E122" s="236">
        <f>SUM(E116,E119)</f>
        <v>1</v>
      </c>
      <c r="F122" s="30">
        <f t="shared" si="10"/>
        <v>0.5</v>
      </c>
      <c r="G122" s="236">
        <f>SUM(G116,G119)</f>
        <v>12</v>
      </c>
      <c r="H122" s="236">
        <f>SUM(H116,H119)</f>
        <v>17</v>
      </c>
      <c r="I122" s="30">
        <f t="shared" si="11"/>
        <v>1.4166666666666667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236">
        <f>SUM(D117,D120)</f>
        <v>95</v>
      </c>
      <c r="E123" s="236">
        <f>SUM(E117,E120)</f>
        <v>103</v>
      </c>
      <c r="F123" s="30">
        <f t="shared" si="10"/>
        <v>1.0842105263157895</v>
      </c>
      <c r="G123" s="236">
        <f>SUM(G117,G120)</f>
        <v>625</v>
      </c>
      <c r="H123" s="236">
        <f>SUM(H117,H120)</f>
        <v>714</v>
      </c>
      <c r="I123" s="30">
        <f t="shared" si="11"/>
        <v>1.1424000000000001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239">
        <f>SUM(D122:D123)</f>
        <v>97</v>
      </c>
      <c r="E124" s="239">
        <f>SUM(E122:E123)</f>
        <v>104</v>
      </c>
      <c r="F124" s="41">
        <f t="shared" si="10"/>
        <v>1.0721649484536082</v>
      </c>
      <c r="G124" s="239">
        <f>SUM(G122:G123)</f>
        <v>637</v>
      </c>
      <c r="H124" s="239">
        <f>SUM(H122:H123)</f>
        <v>731</v>
      </c>
      <c r="I124" s="41">
        <f t="shared" si="11"/>
        <v>1.1475667189952905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241">
        <f>SUM(D113,D122)</f>
        <v>12</v>
      </c>
      <c r="E125" s="241">
        <f>SUM(E113,E122)</f>
        <v>2</v>
      </c>
      <c r="F125" s="45">
        <f t="shared" si="10"/>
        <v>0.16666666666666666</v>
      </c>
      <c r="G125" s="46">
        <f>SUM(G113,G122)</f>
        <v>80</v>
      </c>
      <c r="H125" s="46">
        <f>SUM(H113,H122)</f>
        <v>76</v>
      </c>
      <c r="I125" s="45">
        <f t="shared" si="11"/>
        <v>0.95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237">
        <f>SUM(D114,D123)</f>
        <v>368</v>
      </c>
      <c r="E126" s="237">
        <f>SUM(E114,E123)</f>
        <v>355</v>
      </c>
      <c r="F126" s="32">
        <f t="shared" si="10"/>
        <v>0.96467391304347827</v>
      </c>
      <c r="G126" s="237">
        <f>SUM(G114,G123)</f>
        <v>2328</v>
      </c>
      <c r="H126" s="237">
        <f>SUM(H114,H123)</f>
        <v>2399</v>
      </c>
      <c r="I126" s="32">
        <f t="shared" si="11"/>
        <v>1.0304982817869415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237">
        <f>SUM(D125:D126)</f>
        <v>380</v>
      </c>
      <c r="E127" s="237">
        <f>SUM(E125:E126)</f>
        <v>357</v>
      </c>
      <c r="F127" s="49">
        <f>E127/D127</f>
        <v>0.93947368421052635</v>
      </c>
      <c r="G127" s="241">
        <f>SUM(G125:G126)</f>
        <v>2408</v>
      </c>
      <c r="H127" s="241">
        <f>SUM(H125:H126)</f>
        <v>2475</v>
      </c>
      <c r="I127" s="49">
        <f>H127/G127</f>
        <v>1.0278239202657806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226</v>
      </c>
      <c r="J134" s="631"/>
      <c r="K134" s="632"/>
      <c r="L134" s="634"/>
    </row>
    <row r="135" spans="1:12">
      <c r="A135" s="628" t="s">
        <v>91</v>
      </c>
      <c r="B135" s="629"/>
      <c r="C135" s="649">
        <v>102</v>
      </c>
      <c r="D135" s="650"/>
      <c r="E135" s="649">
        <v>0</v>
      </c>
      <c r="F135" s="650"/>
      <c r="G135" s="649">
        <v>0</v>
      </c>
      <c r="H135" s="650"/>
      <c r="I135" s="649">
        <v>16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240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240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240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240" t="s">
        <v>99</v>
      </c>
      <c r="C140" s="656">
        <v>108</v>
      </c>
      <c r="D140" s="656"/>
      <c r="E140" s="656">
        <v>0</v>
      </c>
      <c r="F140" s="656"/>
      <c r="G140" s="656">
        <v>0</v>
      </c>
      <c r="H140" s="656"/>
      <c r="I140" s="770">
        <v>26119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227</v>
      </c>
      <c r="D145" s="663"/>
      <c r="E145" s="664"/>
      <c r="F145" s="662" t="s">
        <v>222</v>
      </c>
      <c r="G145" s="663"/>
      <c r="H145" s="663"/>
      <c r="I145" s="664"/>
      <c r="J145" s="663" t="s">
        <v>228</v>
      </c>
      <c r="K145" s="663"/>
      <c r="L145" s="663"/>
      <c r="M145" s="665"/>
    </row>
    <row r="146" spans="1:13" ht="35.25" customHeight="1">
      <c r="A146" s="716" t="s">
        <v>103</v>
      </c>
      <c r="B146" s="717"/>
      <c r="C146" s="718" t="s">
        <v>229</v>
      </c>
      <c r="D146" s="723"/>
      <c r="E146" s="724"/>
      <c r="F146" s="744" t="s">
        <v>230</v>
      </c>
      <c r="G146" s="748"/>
      <c r="H146" s="748"/>
      <c r="I146" s="749"/>
      <c r="J146" s="745" t="s">
        <v>231</v>
      </c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151</v>
      </c>
      <c r="D148" s="719"/>
      <c r="E148" s="720"/>
      <c r="F148" s="744" t="s">
        <v>151</v>
      </c>
      <c r="G148" s="745"/>
      <c r="H148" s="745"/>
      <c r="I148" s="746"/>
      <c r="J148" s="744" t="s">
        <v>151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243" t="s">
        <v>109</v>
      </c>
      <c r="C154" s="243" t="s">
        <v>110</v>
      </c>
      <c r="D154" s="243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>
        <f>E44</f>
        <v>100000</v>
      </c>
      <c r="B155" s="124">
        <f>'2018JUN'!H155</f>
        <v>35420</v>
      </c>
      <c r="C155" s="63">
        <f>E45-E44</f>
        <v>100301</v>
      </c>
      <c r="D155" s="73">
        <v>121072</v>
      </c>
      <c r="E155" s="681" t="s">
        <v>114</v>
      </c>
      <c r="F155" s="681"/>
      <c r="G155" s="681"/>
      <c r="H155" s="72">
        <f>C155+A155+B155-D155</f>
        <v>114649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14684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244"/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18304</v>
      </c>
      <c r="H165" s="790"/>
      <c r="I165" s="791"/>
      <c r="J165" s="791"/>
      <c r="K165" s="792"/>
    </row>
    <row r="166" spans="1:11" ht="14">
      <c r="A166" s="242" t="s">
        <v>126</v>
      </c>
      <c r="B166" s="789" t="s">
        <v>127</v>
      </c>
      <c r="C166" s="789"/>
      <c r="D166" s="789"/>
      <c r="E166" s="789"/>
      <c r="F166" s="789"/>
      <c r="G166" s="227">
        <v>1918</v>
      </c>
      <c r="H166" s="790"/>
      <c r="I166" s="791"/>
      <c r="J166" s="791"/>
      <c r="K166" s="792"/>
    </row>
    <row r="167" spans="1:11" ht="14">
      <c r="A167" s="242" t="s">
        <v>128</v>
      </c>
      <c r="B167" s="789" t="s">
        <v>129</v>
      </c>
      <c r="C167" s="789"/>
      <c r="D167" s="789"/>
      <c r="E167" s="789"/>
      <c r="F167" s="789"/>
      <c r="G167" s="244"/>
      <c r="H167" s="790"/>
      <c r="I167" s="791"/>
      <c r="J167" s="791"/>
      <c r="K167" s="792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L3" xr:uid="{00000000-0002-0000-1300-000000000000}">
      <formula1>"USA, JAPAN"</formula1>
    </dataValidation>
    <dataValidation type="list" allowBlank="1" showInputMessage="1" showErrorMessage="1" sqref="G1" xr:uid="{00000000-0002-0000-1300-000001000000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pageSetUpPr fitToPage="1"/>
  </sheetPr>
  <dimension ref="A1:N167"/>
  <sheetViews>
    <sheetView topLeftCell="A31" zoomScale="98" zoomScaleNormal="98" zoomScaleSheetLayoutView="85" workbookViewId="0">
      <selection activeCell="H155" sqref="H15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145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>
        <v>43357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250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249" t="s">
        <v>176</v>
      </c>
      <c r="C10" s="61">
        <v>2</v>
      </c>
      <c r="D10" s="252">
        <v>2</v>
      </c>
      <c r="E10" s="538" t="s">
        <v>182</v>
      </c>
      <c r="F10" s="538"/>
      <c r="G10" s="538"/>
      <c r="H10" s="538"/>
      <c r="I10" s="539"/>
    </row>
    <row r="11" spans="1:13">
      <c r="A11" s="537"/>
      <c r="B11" s="249" t="s">
        <v>177</v>
      </c>
      <c r="C11" s="61">
        <v>2</v>
      </c>
      <c r="D11" s="252">
        <v>2</v>
      </c>
      <c r="E11" s="540" t="s">
        <v>183</v>
      </c>
      <c r="F11" s="541"/>
      <c r="G11" s="541"/>
      <c r="H11" s="541"/>
      <c r="I11" s="542"/>
    </row>
    <row r="12" spans="1:13">
      <c r="A12" s="537"/>
      <c r="B12" s="249" t="s">
        <v>179</v>
      </c>
      <c r="C12" s="61">
        <v>2</v>
      </c>
      <c r="D12" s="252">
        <v>5</v>
      </c>
      <c r="E12" s="768" t="s">
        <v>239</v>
      </c>
      <c r="F12" s="538"/>
      <c r="G12" s="538"/>
      <c r="H12" s="538"/>
      <c r="I12" s="539"/>
    </row>
    <row r="13" spans="1:13">
      <c r="A13" s="537"/>
      <c r="B13" s="249" t="s">
        <v>180</v>
      </c>
      <c r="C13" s="61">
        <v>3</v>
      </c>
      <c r="D13" s="252">
        <v>1</v>
      </c>
      <c r="E13" s="538" t="s">
        <v>212</v>
      </c>
      <c r="F13" s="538"/>
      <c r="G13" s="538"/>
      <c r="H13" s="538"/>
      <c r="I13" s="539"/>
    </row>
    <row r="14" spans="1:13">
      <c r="A14" s="537"/>
      <c r="B14" s="249" t="s">
        <v>12</v>
      </c>
      <c r="C14" s="61">
        <v>0</v>
      </c>
      <c r="D14" s="252">
        <v>0</v>
      </c>
      <c r="E14" s="540"/>
      <c r="F14" s="541"/>
      <c r="G14" s="541"/>
      <c r="H14" s="541"/>
      <c r="I14" s="542"/>
    </row>
    <row r="15" spans="1:13">
      <c r="A15" s="537"/>
      <c r="B15" s="249" t="s">
        <v>13</v>
      </c>
      <c r="C15" s="61">
        <v>2</v>
      </c>
      <c r="D15" s="252">
        <v>2</v>
      </c>
      <c r="E15" s="768" t="s">
        <v>233</v>
      </c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12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19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251" t="s">
        <v>23</v>
      </c>
      <c r="E21" s="251" t="s">
        <v>24</v>
      </c>
      <c r="F21" s="251" t="s">
        <v>25</v>
      </c>
      <c r="G21" s="251" t="s">
        <v>23</v>
      </c>
      <c r="H21" s="251" t="s">
        <v>24</v>
      </c>
      <c r="I21" s="251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177">
        <v>13641.599999999999</v>
      </c>
      <c r="E23" s="252">
        <v>13322</v>
      </c>
      <c r="F23" s="14">
        <f t="shared" ref="F23:F28" si="0">E23/D23</f>
        <v>0.97657166314801791</v>
      </c>
      <c r="G23" s="179">
        <f>D23+'2018JUL'!G23</f>
        <v>97439.799999999988</v>
      </c>
      <c r="H23" s="66">
        <f>E23+'2018JUL'!H23</f>
        <v>99409</v>
      </c>
      <c r="I23" s="14">
        <f t="shared" ref="I23:I28" si="1">H23/G23</f>
        <v>1.0202094010866198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253">
        <f>SUM(D23:D23)</f>
        <v>13641.599999999999</v>
      </c>
      <c r="E24" s="253">
        <f>SUM(E23:E23)</f>
        <v>13322</v>
      </c>
      <c r="F24" s="16">
        <f t="shared" si="0"/>
        <v>0.97657166314801791</v>
      </c>
      <c r="G24" s="253">
        <f>SUM(G23:G23)</f>
        <v>97439.799999999988</v>
      </c>
      <c r="H24" s="253">
        <f>SUM(H23:H23)</f>
        <v>99409</v>
      </c>
      <c r="I24" s="16">
        <f t="shared" si="1"/>
        <v>1.0202094010866198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177">
        <v>14720</v>
      </c>
      <c r="E25" s="252">
        <v>14410</v>
      </c>
      <c r="F25" s="14">
        <f t="shared" si="0"/>
        <v>0.97894021739130432</v>
      </c>
      <c r="G25" s="179">
        <f>D25+'2018JUL'!G25</f>
        <v>99840</v>
      </c>
      <c r="H25" s="66">
        <f>E25+'2018JUL'!H25</f>
        <v>102424</v>
      </c>
      <c r="I25" s="14">
        <f t="shared" si="1"/>
        <v>1.0258814102564102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65">
        <v>0</v>
      </c>
      <c r="E26" s="252">
        <v>0</v>
      </c>
      <c r="F26" s="14" t="e">
        <f t="shared" si="0"/>
        <v>#DIV/0!</v>
      </c>
      <c r="G26" s="249">
        <f>D26</f>
        <v>0</v>
      </c>
      <c r="H26" s="249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253">
        <f>SUM(D25:D26)</f>
        <v>14720</v>
      </c>
      <c r="E27" s="253">
        <f>SUM(E25:E26)</f>
        <v>14410</v>
      </c>
      <c r="F27" s="16">
        <f t="shared" si="0"/>
        <v>0.97894021739130432</v>
      </c>
      <c r="G27" s="253">
        <f>SUM(G25:G26)</f>
        <v>99840</v>
      </c>
      <c r="H27" s="253">
        <f>SUM(H25:H26)</f>
        <v>102424</v>
      </c>
      <c r="I27" s="16">
        <f t="shared" si="1"/>
        <v>1.0258814102564102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254">
        <f>SUM(D24,D27)</f>
        <v>28361.599999999999</v>
      </c>
      <c r="E28" s="254">
        <f>SUM(E24,E27)</f>
        <v>27732</v>
      </c>
      <c r="F28" s="17">
        <f t="shared" si="0"/>
        <v>0.97780097032607471</v>
      </c>
      <c r="G28" s="254">
        <f>SUM(G24,G27)</f>
        <v>197279.8</v>
      </c>
      <c r="H28" s="254">
        <f>SUM(H24,H27)</f>
        <v>201833</v>
      </c>
      <c r="I28" s="17">
        <f t="shared" si="1"/>
        <v>1.0230799098539232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35</v>
      </c>
      <c r="C30" s="128" t="s">
        <v>29</v>
      </c>
      <c r="D30" s="65">
        <v>1000</v>
      </c>
      <c r="E30" s="252">
        <v>1633</v>
      </c>
      <c r="F30" s="14">
        <f>E30/D30</f>
        <v>1.633</v>
      </c>
      <c r="G30" s="66">
        <f>D30+'2018JUL'!G30</f>
        <v>8000</v>
      </c>
      <c r="H30" s="66">
        <f>E30+'2018JUL'!H30</f>
        <v>23801</v>
      </c>
      <c r="I30" s="14">
        <f>H30/G30</f>
        <v>2.9751249999999998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65">
        <v>0</v>
      </c>
      <c r="E31" s="252">
        <v>5858</v>
      </c>
      <c r="F31" s="14" t="e">
        <f t="shared" ref="F31:F47" si="2">E31/D31</f>
        <v>#DIV/0!</v>
      </c>
      <c r="G31" s="66">
        <f>D31+'2018JUL'!G31</f>
        <v>0</v>
      </c>
      <c r="H31" s="66">
        <f>E31+'2018JUL'!H31</f>
        <v>22197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253">
        <f>SUM(D30:D31)</f>
        <v>1000</v>
      </c>
      <c r="E32" s="253">
        <f>SUM(E30:E31)</f>
        <v>7491</v>
      </c>
      <c r="F32" s="14">
        <f t="shared" si="2"/>
        <v>7.4909999999999997</v>
      </c>
      <c r="G32" s="253">
        <f>SUM(G30:G31)</f>
        <v>8000</v>
      </c>
      <c r="H32" s="253">
        <f>SUM(H30:H31)</f>
        <v>45998</v>
      </c>
      <c r="I32" s="14">
        <f t="shared" si="3"/>
        <v>5.7497499999999997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65">
        <v>650</v>
      </c>
      <c r="E33" s="252">
        <v>566</v>
      </c>
      <c r="F33" s="14">
        <f t="shared" si="2"/>
        <v>0.87076923076923074</v>
      </c>
      <c r="G33" s="66">
        <f>D33+'2018JUL'!G33</f>
        <v>5200</v>
      </c>
      <c r="H33" s="66">
        <f>E33+'2018JUL'!H33</f>
        <v>5542</v>
      </c>
      <c r="I33" s="14">
        <f t="shared" si="3"/>
        <v>1.0657692307692308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251">
        <f>SUM(D32,D33)</f>
        <v>1650</v>
      </c>
      <c r="E34" s="251">
        <f>SUM(E32,E33)</f>
        <v>8057</v>
      </c>
      <c r="F34" s="14">
        <f t="shared" si="2"/>
        <v>4.8830303030303028</v>
      </c>
      <c r="G34" s="251">
        <f>SUM(G32,G33)</f>
        <v>13200</v>
      </c>
      <c r="H34" s="251">
        <f>SUM(H32,H33)</f>
        <v>51540</v>
      </c>
      <c r="I34" s="14">
        <f t="shared" si="3"/>
        <v>3.9045454545454548</v>
      </c>
      <c r="J34" s="534"/>
      <c r="K34" s="534"/>
      <c r="L34" s="534"/>
      <c r="M34" s="543"/>
    </row>
    <row r="35" spans="1:13">
      <c r="A35" s="573" t="s">
        <v>37</v>
      </c>
      <c r="B35" s="555" t="s">
        <v>38</v>
      </c>
      <c r="C35" s="18" t="s">
        <v>39</v>
      </c>
      <c r="D35" s="65">
        <v>36232</v>
      </c>
      <c r="E35" s="249">
        <v>129700</v>
      </c>
      <c r="F35" s="14">
        <f t="shared" si="2"/>
        <v>3.579708544932656</v>
      </c>
      <c r="G35" s="66">
        <f>D35+'2018JUL'!G35</f>
        <v>289856</v>
      </c>
      <c r="H35" s="66">
        <f>E35+'2018JUL'!H35</f>
        <v>170135</v>
      </c>
      <c r="I35" s="14">
        <f t="shared" si="3"/>
        <v>0.58696387171561049</v>
      </c>
      <c r="J35" s="775" t="s">
        <v>234</v>
      </c>
      <c r="K35" s="775"/>
      <c r="L35" s="775"/>
      <c r="M35" s="804"/>
    </row>
    <row r="36" spans="1:13">
      <c r="A36" s="573"/>
      <c r="B36" s="555"/>
      <c r="C36" s="128" t="s">
        <v>40</v>
      </c>
      <c r="D36" s="249"/>
      <c r="E36" s="249"/>
      <c r="F36" s="14" t="e">
        <f t="shared" si="2"/>
        <v>#DIV/0!</v>
      </c>
      <c r="G36" s="249"/>
      <c r="H36" s="249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253">
        <f>SUM(D35:D36)</f>
        <v>36232</v>
      </c>
      <c r="E37" s="253">
        <f>SUM(E35:E36)</f>
        <v>129700</v>
      </c>
      <c r="F37" s="16">
        <f t="shared" si="2"/>
        <v>3.579708544932656</v>
      </c>
      <c r="G37" s="269">
        <f>SUM(G35:G36)</f>
        <v>289856</v>
      </c>
      <c r="H37" s="269">
        <f>SUM(H35:H36)</f>
        <v>170135</v>
      </c>
      <c r="I37" s="16">
        <f t="shared" si="3"/>
        <v>0.58696387171561049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40</v>
      </c>
      <c r="D38" s="65">
        <v>1100</v>
      </c>
      <c r="E38" s="252">
        <v>0</v>
      </c>
      <c r="F38" s="14">
        <f t="shared" si="2"/>
        <v>0</v>
      </c>
      <c r="G38" s="66">
        <f>D38+'2018JUL'!G38</f>
        <v>8800</v>
      </c>
      <c r="H38" s="66">
        <f>E38+'2018JUL'!H38</f>
        <v>0</v>
      </c>
      <c r="I38" s="14">
        <f t="shared" si="3"/>
        <v>0</v>
      </c>
      <c r="J38" s="525"/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249"/>
      <c r="E39" s="249"/>
      <c r="F39" s="14" t="e">
        <f t="shared" si="2"/>
        <v>#DIV/0!</v>
      </c>
      <c r="G39" s="249"/>
      <c r="H39" s="249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253">
        <f>SUM(D38:D39)</f>
        <v>1100</v>
      </c>
      <c r="E40" s="253">
        <f>SUM(E38:E39)</f>
        <v>0</v>
      </c>
      <c r="F40" s="16">
        <f t="shared" si="2"/>
        <v>0</v>
      </c>
      <c r="G40" s="253">
        <f>SUM(G38:G39)</f>
        <v>8800</v>
      </c>
      <c r="H40" s="253">
        <f>SUM(H38:H39)</f>
        <v>0</v>
      </c>
      <c r="I40" s="16">
        <f t="shared" si="3"/>
        <v>0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251">
        <f>SUM(D37,D40)</f>
        <v>37332</v>
      </c>
      <c r="E41" s="251">
        <f>SUM(E37,E40)</f>
        <v>129700</v>
      </c>
      <c r="F41" s="19">
        <f t="shared" si="2"/>
        <v>3.4742312225436622</v>
      </c>
      <c r="G41" s="251">
        <f>SUM(G37,G40)</f>
        <v>298656</v>
      </c>
      <c r="H41" s="251">
        <f>SUM(H37,H40)</f>
        <v>170135</v>
      </c>
      <c r="I41" s="19">
        <f t="shared" si="3"/>
        <v>0.56966878281367195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178">
        <v>12000</v>
      </c>
      <c r="E42" s="76">
        <f>C140+E140+G140+I140</f>
        <v>16866</v>
      </c>
      <c r="F42" s="21">
        <f t="shared" si="2"/>
        <v>1.4055</v>
      </c>
      <c r="G42" s="180">
        <f>D42+'2018JUL'!G42</f>
        <v>91500</v>
      </c>
      <c r="H42" s="77">
        <f>E42+'2018JUL'!H42</f>
        <v>141799</v>
      </c>
      <c r="I42" s="21">
        <f t="shared" si="3"/>
        <v>1.5497158469945356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245">
        <v>6000</v>
      </c>
      <c r="E43" s="20">
        <v>0</v>
      </c>
      <c r="F43" s="21">
        <f t="shared" si="2"/>
        <v>0</v>
      </c>
      <c r="G43" s="247">
        <f>D43+'2018JUL'!G43</f>
        <v>36000</v>
      </c>
      <c r="H43" s="68">
        <f>E43+'2018JUL'!H43</f>
        <v>870</v>
      </c>
      <c r="I43" s="21">
        <f t="shared" si="3"/>
        <v>2.4166666666666666E-2</v>
      </c>
      <c r="J43" s="572"/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245">
        <v>33500</v>
      </c>
      <c r="E44" s="202">
        <v>0</v>
      </c>
      <c r="F44" s="21">
        <f t="shared" si="2"/>
        <v>0</v>
      </c>
      <c r="G44" s="247">
        <f>D44+'2018JUL'!G44</f>
        <v>268000</v>
      </c>
      <c r="H44" s="180">
        <f>E44+'2018JUL'!H44</f>
        <v>299970</v>
      </c>
      <c r="I44" s="21">
        <f t="shared" si="3"/>
        <v>1.1192910447761193</v>
      </c>
      <c r="J44" s="570"/>
      <c r="K44" s="570"/>
      <c r="L44" s="570"/>
      <c r="M44" s="571"/>
    </row>
    <row r="45" spans="1:13" s="8" customFormat="1">
      <c r="A45" s="587" t="s">
        <v>46</v>
      </c>
      <c r="B45" s="588"/>
      <c r="C45" s="589"/>
      <c r="D45" s="257">
        <f>SUM(D28,D34,D41,D42:D44)</f>
        <v>118843.6</v>
      </c>
      <c r="E45" s="78">
        <f>SUM(E28,E34,E41,E42:E44)</f>
        <v>182355</v>
      </c>
      <c r="F45" s="22">
        <f t="shared" si="2"/>
        <v>1.534411613246317</v>
      </c>
      <c r="G45" s="257">
        <f>SUM(G28,G34,G41,G42:G44)</f>
        <v>904635.8</v>
      </c>
      <c r="H45" s="257">
        <f>SUM(H28,H34,H41,H42:H44)</f>
        <v>866147</v>
      </c>
      <c r="I45" s="22">
        <f t="shared" si="3"/>
        <v>0.95745381732626544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257">
        <f>D45-D42</f>
        <v>106843.6</v>
      </c>
      <c r="E46" s="257">
        <f>E45-E42</f>
        <v>165489</v>
      </c>
      <c r="F46" s="22">
        <f t="shared" si="2"/>
        <v>1.5488901534579516</v>
      </c>
      <c r="G46" s="257">
        <f>G45-G42</f>
        <v>813135.8</v>
      </c>
      <c r="H46" s="257">
        <f>H45-H42</f>
        <v>724348</v>
      </c>
      <c r="I46" s="22">
        <f t="shared" si="3"/>
        <v>0.89080815283252801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255">
        <f>D46-D44</f>
        <v>73343.600000000006</v>
      </c>
      <c r="E47" s="255">
        <f>E46-E44</f>
        <v>165489</v>
      </c>
      <c r="F47" s="23">
        <f t="shared" si="2"/>
        <v>2.2563522924972319</v>
      </c>
      <c r="G47" s="255">
        <f>G46-G44</f>
        <v>545135.80000000005</v>
      </c>
      <c r="H47" s="255">
        <f>H46-H44</f>
        <v>424378</v>
      </c>
      <c r="I47" s="23">
        <f t="shared" si="3"/>
        <v>0.77848125182752625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256" t="s">
        <v>23</v>
      </c>
      <c r="E52" s="256" t="s">
        <v>24</v>
      </c>
      <c r="F52" s="256" t="s">
        <v>25</v>
      </c>
      <c r="G52" s="256" t="s">
        <v>23</v>
      </c>
      <c r="H52" s="256" t="s">
        <v>24</v>
      </c>
      <c r="I52" s="256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12</v>
      </c>
      <c r="E53" s="252">
        <v>30</v>
      </c>
      <c r="F53" s="28">
        <f t="shared" ref="F53:F79" si="4">E53/D53</f>
        <v>2.5</v>
      </c>
      <c r="G53" s="66">
        <f>D53+'2018JUL'!G53</f>
        <v>92</v>
      </c>
      <c r="H53" s="66">
        <f>E53+'2018JUL'!H53</f>
        <v>106</v>
      </c>
      <c r="I53" s="28">
        <f t="shared" ref="I53:I79" si="5">H53/G53</f>
        <v>1.1521739130434783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300</v>
      </c>
      <c r="E54" s="252">
        <v>353</v>
      </c>
      <c r="F54" s="28">
        <f t="shared" si="4"/>
        <v>1.1766666666666667</v>
      </c>
      <c r="G54" s="66">
        <f>D54+'2018JUL'!G54</f>
        <v>2400</v>
      </c>
      <c r="H54" s="66">
        <f>E54+'2018JUL'!H54</f>
        <v>2752</v>
      </c>
      <c r="I54" s="28">
        <f t="shared" si="5"/>
        <v>1.1466666666666667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253">
        <f>SUM(D53:D54)</f>
        <v>312</v>
      </c>
      <c r="E55" s="253">
        <f>SUM(E53:E54)</f>
        <v>383</v>
      </c>
      <c r="F55" s="30">
        <f t="shared" si="4"/>
        <v>1.2275641025641026</v>
      </c>
      <c r="G55" s="253">
        <f>SUM(G53:G54)</f>
        <v>2492</v>
      </c>
      <c r="H55" s="253">
        <f>SUM(H53:H54)</f>
        <v>2858</v>
      </c>
      <c r="I55" s="30">
        <f t="shared" si="5"/>
        <v>1.1468699839486356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40</v>
      </c>
      <c r="E56" s="252">
        <v>120</v>
      </c>
      <c r="F56" s="28">
        <f t="shared" si="4"/>
        <v>3</v>
      </c>
      <c r="G56" s="66">
        <f>D56+'2018JUL'!G56</f>
        <v>320</v>
      </c>
      <c r="H56" s="66">
        <f>E56+'2018JUL'!H56</f>
        <v>382</v>
      </c>
      <c r="I56" s="28">
        <f t="shared" si="5"/>
        <v>1.1937500000000001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600</v>
      </c>
      <c r="E57" s="252">
        <v>844</v>
      </c>
      <c r="F57" s="28">
        <f t="shared" si="4"/>
        <v>1.4066666666666667</v>
      </c>
      <c r="G57" s="66">
        <f>D57+'2018JUL'!G57</f>
        <v>4800</v>
      </c>
      <c r="H57" s="66">
        <f>E57+'2018JUL'!H57</f>
        <v>6275</v>
      </c>
      <c r="I57" s="28">
        <f t="shared" si="5"/>
        <v>1.3072916666666667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261">
        <f>SUM(D56:D57)</f>
        <v>640</v>
      </c>
      <c r="E58" s="261">
        <f>SUM(E56:E57)</f>
        <v>964</v>
      </c>
      <c r="F58" s="28">
        <f t="shared" si="4"/>
        <v>1.5062500000000001</v>
      </c>
      <c r="G58" s="261">
        <f>SUM(G56:G57)</f>
        <v>5120</v>
      </c>
      <c r="H58" s="261">
        <f>SUM(H56:H57)</f>
        <v>6657</v>
      </c>
      <c r="I58" s="31">
        <f t="shared" si="5"/>
        <v>1.3001953125000001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262">
        <f>SUM(D53,D56)</f>
        <v>52</v>
      </c>
      <c r="E59" s="262">
        <f>SUM(E53,E56)</f>
        <v>150</v>
      </c>
      <c r="F59" s="32">
        <f t="shared" si="4"/>
        <v>2.8846153846153846</v>
      </c>
      <c r="G59" s="262">
        <f>SUM(G53,G56)</f>
        <v>412</v>
      </c>
      <c r="H59" s="262">
        <f>SUM(H53,H56)</f>
        <v>488</v>
      </c>
      <c r="I59" s="32">
        <f t="shared" si="5"/>
        <v>1.1844660194174756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262">
        <f>SUM(D54,D57)</f>
        <v>900</v>
      </c>
      <c r="E60" s="262">
        <f>SUM(E54,E57)</f>
        <v>1197</v>
      </c>
      <c r="F60" s="32">
        <f t="shared" si="4"/>
        <v>1.33</v>
      </c>
      <c r="G60" s="262">
        <f>SUM(G54,G57)</f>
        <v>7200</v>
      </c>
      <c r="H60" s="262">
        <f>SUM(H54,H57)</f>
        <v>9027</v>
      </c>
      <c r="I60" s="32">
        <f t="shared" si="5"/>
        <v>1.2537499999999999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263">
        <f>SUM(D59:D60)</f>
        <v>952</v>
      </c>
      <c r="E61" s="263">
        <f>SUM(E59:E60)</f>
        <v>1347</v>
      </c>
      <c r="F61" s="33">
        <f t="shared" si="4"/>
        <v>1.4149159663865547</v>
      </c>
      <c r="G61" s="263">
        <f>SUM(G59:G60)</f>
        <v>7612</v>
      </c>
      <c r="H61" s="263">
        <f>SUM(H59:H60)</f>
        <v>9515</v>
      </c>
      <c r="I61" s="33">
        <f t="shared" si="5"/>
        <v>1.25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42</v>
      </c>
      <c r="E62" s="249">
        <f>E71/10</f>
        <v>104.3</v>
      </c>
      <c r="F62" s="28">
        <f t="shared" si="4"/>
        <v>2.4833333333333334</v>
      </c>
      <c r="G62" s="66">
        <f>D62+'2018JUL'!G62</f>
        <v>322</v>
      </c>
      <c r="H62" s="66">
        <f>E62+'2018JUL'!H62</f>
        <v>368.5</v>
      </c>
      <c r="I62" s="28">
        <f t="shared" si="5"/>
        <v>1.1444099378881987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246">
        <v>1044</v>
      </c>
      <c r="E63" s="249">
        <f>E72/10</f>
        <v>1227.9000000000001</v>
      </c>
      <c r="F63" s="28">
        <f t="shared" si="4"/>
        <v>1.1761494252873563</v>
      </c>
      <c r="G63" s="248">
        <f>D63+'2018JUL'!G63</f>
        <v>8352</v>
      </c>
      <c r="H63" s="66">
        <f>E63+'2018JUL'!H63</f>
        <v>9572.4</v>
      </c>
      <c r="I63" s="28">
        <f t="shared" si="5"/>
        <v>1.1461206896551723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1086</v>
      </c>
      <c r="E64" s="253">
        <f>SUM(E62:E63)</f>
        <v>1332.2</v>
      </c>
      <c r="F64" s="30">
        <f t="shared" si="4"/>
        <v>1.2267034990791896</v>
      </c>
      <c r="G64" s="253">
        <f>SUM(G62:G63)</f>
        <v>8674</v>
      </c>
      <c r="H64" s="253">
        <f>SUM(H62:H63)</f>
        <v>9940.9</v>
      </c>
      <c r="I64" s="30">
        <f t="shared" si="5"/>
        <v>1.1460571823841366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64</v>
      </c>
      <c r="E65" s="249">
        <f>E74/10</f>
        <v>151.30000000000001</v>
      </c>
      <c r="F65" s="28">
        <f t="shared" si="4"/>
        <v>2.3640625000000002</v>
      </c>
      <c r="G65" s="66">
        <f>D65+'2018JUL'!G65</f>
        <v>512</v>
      </c>
      <c r="H65" s="66">
        <f>E65+'2018JUL'!H65</f>
        <v>487.20000000000005</v>
      </c>
      <c r="I65" s="28">
        <f t="shared" si="5"/>
        <v>0.95156250000000009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960</v>
      </c>
      <c r="E66" s="249">
        <f>E75/10</f>
        <v>1289.7</v>
      </c>
      <c r="F66" s="28">
        <f t="shared" si="4"/>
        <v>1.3434375000000001</v>
      </c>
      <c r="G66" s="66">
        <f>D66+'2018JUL'!G66</f>
        <v>7680</v>
      </c>
      <c r="H66" s="66">
        <f>E66+'2018JUL'!H66</f>
        <v>9755.2000000000007</v>
      </c>
      <c r="I66" s="28">
        <f t="shared" si="5"/>
        <v>1.2702083333333334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261">
        <f>SUM(D65:D66)</f>
        <v>1024</v>
      </c>
      <c r="E67" s="261">
        <f>SUM(E65:E66)</f>
        <v>1441</v>
      </c>
      <c r="F67" s="31">
        <f t="shared" si="4"/>
        <v>1.4072265625</v>
      </c>
      <c r="G67" s="261">
        <f>SUM(G65:G66)</f>
        <v>8192</v>
      </c>
      <c r="H67" s="261">
        <f>SUM(H65:H66)</f>
        <v>10242.400000000001</v>
      </c>
      <c r="I67" s="31">
        <f t="shared" si="5"/>
        <v>1.2502929687500002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262">
        <f>SUM(D62,D65)</f>
        <v>106</v>
      </c>
      <c r="E68" s="262">
        <f>SUM(E62,E65)</f>
        <v>255.60000000000002</v>
      </c>
      <c r="F68" s="32">
        <f t="shared" si="4"/>
        <v>2.4113207547169813</v>
      </c>
      <c r="G68" s="262">
        <f>SUM(G62,G65)</f>
        <v>834</v>
      </c>
      <c r="H68" s="262">
        <f>SUM(H62,H65)</f>
        <v>855.7</v>
      </c>
      <c r="I68" s="32">
        <f t="shared" si="5"/>
        <v>1.0260191846522781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262">
        <f>SUM(D63,D66)</f>
        <v>2004</v>
      </c>
      <c r="E69" s="262">
        <f>SUM(E63,E66)</f>
        <v>2517.6000000000004</v>
      </c>
      <c r="F69" s="32">
        <f t="shared" si="4"/>
        <v>1.2562874251497007</v>
      </c>
      <c r="G69" s="262">
        <f>SUM(G63,G66)</f>
        <v>16032</v>
      </c>
      <c r="H69" s="262">
        <f>SUM(H63,H66)</f>
        <v>19327.599999999999</v>
      </c>
      <c r="I69" s="32">
        <f t="shared" si="5"/>
        <v>1.2055638722554889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263">
        <f>SUM(D68:D69)</f>
        <v>2110</v>
      </c>
      <c r="E70" s="263">
        <f>SUM(E68:E69)</f>
        <v>2773.2000000000003</v>
      </c>
      <c r="F70" s="34">
        <f t="shared" si="4"/>
        <v>1.314312796208531</v>
      </c>
      <c r="G70" s="263">
        <f>SUM(G68:G69)</f>
        <v>16866</v>
      </c>
      <c r="H70" s="263">
        <f>SUM(H68:H69)</f>
        <v>20183.3</v>
      </c>
      <c r="I70" s="34">
        <f t="shared" si="5"/>
        <v>1.1966856397486065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3201.5999999999995</v>
      </c>
      <c r="E71" s="252">
        <v>1043</v>
      </c>
      <c r="F71" s="28">
        <f t="shared" si="4"/>
        <v>0.32577461269365321</v>
      </c>
      <c r="G71" s="179">
        <f>D71+'2018JUL'!G71</f>
        <v>13919.8</v>
      </c>
      <c r="H71" s="66">
        <f>E71+'2018JUL'!H71</f>
        <v>3685</v>
      </c>
      <c r="I71" s="28">
        <f t="shared" si="5"/>
        <v>0.26473081509791807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246">
        <v>10440</v>
      </c>
      <c r="E72" s="269">
        <f>E23-E71</f>
        <v>12279</v>
      </c>
      <c r="F72" s="28">
        <f t="shared" si="4"/>
        <v>1.1761494252873563</v>
      </c>
      <c r="G72" s="248">
        <f>D72+'2018JUL'!G72</f>
        <v>83520</v>
      </c>
      <c r="H72" s="66">
        <f>E72+'2018JUL'!H72</f>
        <v>95724</v>
      </c>
      <c r="I72" s="28">
        <f t="shared" si="5"/>
        <v>1.1461206896551723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253">
        <f>SUM(D71:D72)</f>
        <v>13641.599999999999</v>
      </c>
      <c r="E73" s="253">
        <f>SUM(E71:E72)</f>
        <v>13322</v>
      </c>
      <c r="F73" s="30">
        <f t="shared" si="4"/>
        <v>0.97657166314801791</v>
      </c>
      <c r="G73" s="253">
        <f>SUM(G71:G72)</f>
        <v>97439.8</v>
      </c>
      <c r="H73" s="253">
        <f>SUM(H71:H72)</f>
        <v>99409</v>
      </c>
      <c r="I73" s="30">
        <f t="shared" si="5"/>
        <v>1.0202094010866196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5120</v>
      </c>
      <c r="E74" s="252">
        <v>1513</v>
      </c>
      <c r="F74" s="28">
        <f t="shared" si="4"/>
        <v>0.29550781250000002</v>
      </c>
      <c r="G74" s="179">
        <f>D74+'2018JUL'!G74</f>
        <v>23040</v>
      </c>
      <c r="H74" s="66">
        <f>E74+'2018JUL'!H74</f>
        <v>4872</v>
      </c>
      <c r="I74" s="28">
        <f t="shared" si="5"/>
        <v>0.21145833333333333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246">
        <v>9600</v>
      </c>
      <c r="E75" s="269">
        <f>E25-E74</f>
        <v>12897</v>
      </c>
      <c r="F75" s="28">
        <f t="shared" si="4"/>
        <v>1.3434375000000001</v>
      </c>
      <c r="G75" s="248">
        <f>D75+'2018JUL'!G75</f>
        <v>76800</v>
      </c>
      <c r="H75" s="66">
        <f>E75+'2018JUL'!H75</f>
        <v>97552</v>
      </c>
      <c r="I75" s="28">
        <f t="shared" si="5"/>
        <v>1.2702083333333334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261">
        <f>SUM(D74:D75)</f>
        <v>14720</v>
      </c>
      <c r="E76" s="261">
        <f>SUM(E74:E75)</f>
        <v>14410</v>
      </c>
      <c r="F76" s="31">
        <f t="shared" si="4"/>
        <v>0.97894021739130432</v>
      </c>
      <c r="G76" s="261">
        <f>SUM(G74:G75)</f>
        <v>99840</v>
      </c>
      <c r="H76" s="261">
        <f>SUM(H74:H75)</f>
        <v>102424</v>
      </c>
      <c r="I76" s="31">
        <f t="shared" si="5"/>
        <v>1.0258814102564102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262">
        <f>SUM(D71,D74)</f>
        <v>8321.5999999999985</v>
      </c>
      <c r="E77" s="262">
        <f>SUM(E71,E74)</f>
        <v>2556</v>
      </c>
      <c r="F77" s="32">
        <f t="shared" si="4"/>
        <v>0.30715247067871571</v>
      </c>
      <c r="G77" s="262">
        <f>SUM(G71,G74)</f>
        <v>36959.800000000003</v>
      </c>
      <c r="H77" s="262">
        <f>SUM(H71,H74)</f>
        <v>8557</v>
      </c>
      <c r="I77" s="32">
        <f t="shared" si="5"/>
        <v>0.2315218155942402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262">
        <f>SUM(D72,D75)</f>
        <v>20040</v>
      </c>
      <c r="E78" s="262">
        <f>SUM(E72,E75)</f>
        <v>25176</v>
      </c>
      <c r="F78" s="32">
        <f t="shared" si="4"/>
        <v>1.2562874251497007</v>
      </c>
      <c r="G78" s="262">
        <f>SUM(G72,G75)</f>
        <v>160320</v>
      </c>
      <c r="H78" s="262">
        <f>SUM(H72,H75)</f>
        <v>193276</v>
      </c>
      <c r="I78" s="32">
        <f t="shared" si="5"/>
        <v>1.2055638722554891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263">
        <f>SUM(D77:D78)</f>
        <v>28361.599999999999</v>
      </c>
      <c r="E79" s="263">
        <f>SUM(E77:E78)</f>
        <v>27732</v>
      </c>
      <c r="F79" s="34">
        <f t="shared" si="4"/>
        <v>0.97780097032607471</v>
      </c>
      <c r="G79" s="263">
        <f>SUM(G77:G78)</f>
        <v>197279.8</v>
      </c>
      <c r="H79" s="263">
        <f>SUM(H77:H78)</f>
        <v>201833</v>
      </c>
      <c r="I79" s="34">
        <f t="shared" si="5"/>
        <v>1.0230799098539232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383</v>
      </c>
      <c r="E87" s="130"/>
      <c r="F87" s="134">
        <f>D87+'2018JUL'!F87</f>
        <v>2858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30</v>
      </c>
      <c r="E88" s="128"/>
      <c r="F88" s="134">
        <f>D88+'2018JUL'!F88</f>
        <v>106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1</v>
      </c>
      <c r="E89" s="128">
        <f>D89/D87</f>
        <v>2.6109660574412533E-3</v>
      </c>
      <c r="F89" s="134">
        <f>D89+'2018JUL'!F89</f>
        <v>12</v>
      </c>
      <c r="G89" s="128">
        <f>F89/F87</f>
        <v>4.1987403778866337E-3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52</v>
      </c>
      <c r="E90" s="128">
        <f>D90/D92</f>
        <v>0.21576763485477179</v>
      </c>
      <c r="F90" s="134">
        <f>D90+'2018JUL'!F90</f>
        <v>177</v>
      </c>
      <c r="G90" s="128">
        <f>F90/F92</f>
        <v>0.10643415514131088</v>
      </c>
      <c r="H90" s="128"/>
    </row>
    <row r="91" spans="1:13" ht="15" customHeight="1">
      <c r="A91" s="774"/>
      <c r="B91" s="775" t="s">
        <v>202</v>
      </c>
      <c r="C91" s="775"/>
      <c r="D91" s="131">
        <v>216</v>
      </c>
      <c r="E91" s="128">
        <f>D91/D92</f>
        <v>0.89626556016597514</v>
      </c>
      <c r="F91" s="134">
        <f>D91+'2018JUL'!F91</f>
        <v>1605</v>
      </c>
      <c r="G91" s="128">
        <f>F91/F92</f>
        <v>0.96512327119663255</v>
      </c>
      <c r="H91" s="128"/>
    </row>
    <row r="92" spans="1:13" ht="15" customHeight="1">
      <c r="A92" s="774"/>
      <c r="B92" s="775" t="s">
        <v>203</v>
      </c>
      <c r="C92" s="775"/>
      <c r="D92" s="131">
        <v>241</v>
      </c>
      <c r="E92" s="130"/>
      <c r="F92" s="134">
        <f>D92+'2018JUL'!F92</f>
        <v>1663</v>
      </c>
      <c r="G92" s="130"/>
      <c r="H92" s="128"/>
    </row>
    <row r="93" spans="1:13">
      <c r="C93" s="126" t="s">
        <v>210</v>
      </c>
      <c r="D93" s="132">
        <v>624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256" t="s">
        <v>23</v>
      </c>
      <c r="E97" s="256" t="s">
        <v>24</v>
      </c>
      <c r="F97" s="256" t="s">
        <v>25</v>
      </c>
      <c r="G97" s="256" t="s">
        <v>23</v>
      </c>
      <c r="H97" s="256" t="s">
        <v>24</v>
      </c>
      <c r="I97" s="256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252">
        <v>0</v>
      </c>
      <c r="F98" s="37" t="e">
        <f>E98/D98</f>
        <v>#DIV/0!</v>
      </c>
      <c r="G98" s="66">
        <f>D98+'2018JUL'!G98</f>
        <v>0</v>
      </c>
      <c r="H98" s="66">
        <f>E98+'2018JUL'!H98</f>
        <v>1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41</v>
      </c>
      <c r="E99" s="252">
        <v>39</v>
      </c>
      <c r="F99" s="28">
        <f t="shared" ref="F99:F115" si="6">E99/D99</f>
        <v>0.95121951219512191</v>
      </c>
      <c r="G99" s="66">
        <f>D99+'2018JUL'!G99</f>
        <v>328</v>
      </c>
      <c r="H99" s="66">
        <f>E99+'2018JUL'!H99</f>
        <v>324</v>
      </c>
      <c r="I99" s="28">
        <f t="shared" ref="I99:I115" si="7">H99/G99</f>
        <v>0.98780487804878048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253">
        <f>SUM(D98:D99)</f>
        <v>41</v>
      </c>
      <c r="E100" s="253">
        <f>SUM(E98:E99)</f>
        <v>39</v>
      </c>
      <c r="F100" s="30">
        <f t="shared" si="6"/>
        <v>0.95121951219512191</v>
      </c>
      <c r="G100" s="253">
        <f>SUM(G98:G99)</f>
        <v>328</v>
      </c>
      <c r="H100" s="253">
        <f>SUM(H98:H99)</f>
        <v>325</v>
      </c>
      <c r="I100" s="30">
        <f t="shared" si="7"/>
        <v>0.99085365853658536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252">
        <v>0</v>
      </c>
      <c r="F101" s="28" t="e">
        <f t="shared" si="6"/>
        <v>#DIV/0!</v>
      </c>
      <c r="G101" s="66">
        <f>D101+'2018JUL'!G101</f>
        <v>0</v>
      </c>
      <c r="H101" s="66">
        <f>E101+'2018JUL'!H101</f>
        <v>0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11</v>
      </c>
      <c r="E102" s="252">
        <v>9</v>
      </c>
      <c r="F102" s="28">
        <f t="shared" si="6"/>
        <v>0.81818181818181823</v>
      </c>
      <c r="G102" s="66">
        <f>D102+'2018JUL'!G102</f>
        <v>88</v>
      </c>
      <c r="H102" s="66">
        <f>E102+'2018JUL'!H102</f>
        <v>78</v>
      </c>
      <c r="I102" s="28">
        <f t="shared" si="7"/>
        <v>0.88636363636363635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253">
        <f>SUM(D101:D102)</f>
        <v>11</v>
      </c>
      <c r="E103" s="253">
        <f>SUM(E101:E102)</f>
        <v>9</v>
      </c>
      <c r="F103" s="30">
        <f t="shared" si="6"/>
        <v>0.81818181818181823</v>
      </c>
      <c r="G103" s="253">
        <f>SUM(G101:G102)</f>
        <v>88</v>
      </c>
      <c r="H103" s="253">
        <f>SUM(H101:H102)</f>
        <v>78</v>
      </c>
      <c r="I103" s="30">
        <f t="shared" si="7"/>
        <v>0.88636363636363635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0</v>
      </c>
      <c r="E104" s="252">
        <v>1</v>
      </c>
      <c r="F104" s="28" t="e">
        <f t="shared" si="6"/>
        <v>#DIV/0!</v>
      </c>
      <c r="G104" s="66">
        <f>D104+'2018JUL'!G104</f>
        <v>0</v>
      </c>
      <c r="H104" s="66">
        <f>E104+'2018JUL'!H104</f>
        <v>7</v>
      </c>
      <c r="I104" s="28" t="e">
        <f t="shared" si="7"/>
        <v>#DIV/0!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63</v>
      </c>
      <c r="E105" s="252">
        <v>62</v>
      </c>
      <c r="F105" s="28">
        <f t="shared" si="6"/>
        <v>0.98412698412698407</v>
      </c>
      <c r="G105" s="66">
        <f>D105+'2018JUL'!G105</f>
        <v>504</v>
      </c>
      <c r="H105" s="66">
        <f>E105+'2018JUL'!H105</f>
        <v>475</v>
      </c>
      <c r="I105" s="28">
        <f t="shared" si="7"/>
        <v>0.94246031746031744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253">
        <f>SUM(D104:D105)</f>
        <v>63</v>
      </c>
      <c r="E106" s="253">
        <f>SUM(E104:E105)</f>
        <v>63</v>
      </c>
      <c r="F106" s="30">
        <f t="shared" si="6"/>
        <v>1</v>
      </c>
      <c r="G106" s="253">
        <f>SUM(G104:G105)</f>
        <v>504</v>
      </c>
      <c r="H106" s="253">
        <f>SUM(H104:H105)</f>
        <v>482</v>
      </c>
      <c r="I106" s="30">
        <f t="shared" si="7"/>
        <v>0.95634920634920639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2</v>
      </c>
      <c r="E107" s="252">
        <v>17</v>
      </c>
      <c r="F107" s="28">
        <f>E107/D107</f>
        <v>8.5</v>
      </c>
      <c r="G107" s="66">
        <f>D107+'2018JUL'!G107</f>
        <v>14</v>
      </c>
      <c r="H107" s="66">
        <f>E107+'2018JUL'!H107</f>
        <v>34</v>
      </c>
      <c r="I107" s="28">
        <f>H107/G107</f>
        <v>2.4285714285714284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112</v>
      </c>
      <c r="E108" s="252">
        <v>106</v>
      </c>
      <c r="F108" s="28">
        <f>E108/D108</f>
        <v>0.9464285714285714</v>
      </c>
      <c r="G108" s="66">
        <f>D108+'2018JUL'!G108</f>
        <v>842</v>
      </c>
      <c r="H108" s="66">
        <f>E108+'2018JUL'!H108</f>
        <v>823</v>
      </c>
      <c r="I108" s="28">
        <f t="shared" si="7"/>
        <v>0.9774346793349169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253">
        <f>SUM(D107:D108)</f>
        <v>114</v>
      </c>
      <c r="E109" s="253">
        <f>SUM(E107:E108)</f>
        <v>123</v>
      </c>
      <c r="F109" s="30">
        <f t="shared" si="6"/>
        <v>1.0789473684210527</v>
      </c>
      <c r="G109" s="253">
        <f>SUM(G107:G108)</f>
        <v>856</v>
      </c>
      <c r="H109" s="253">
        <f>SUM(H107:H108)</f>
        <v>857</v>
      </c>
      <c r="I109" s="30">
        <f t="shared" si="7"/>
        <v>1.0011682242990654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8</v>
      </c>
      <c r="E110" s="252">
        <v>5</v>
      </c>
      <c r="F110" s="30">
        <f>E110/D110</f>
        <v>0.625</v>
      </c>
      <c r="G110" s="66">
        <f>D110+'2018JUL'!G110</f>
        <v>64</v>
      </c>
      <c r="H110" s="66">
        <f>E110+'2018JUL'!H110</f>
        <v>40</v>
      </c>
      <c r="I110" s="30">
        <f>H110/G110</f>
        <v>0.625</v>
      </c>
      <c r="J110" s="258"/>
      <c r="K110" s="259"/>
      <c r="L110" s="259"/>
      <c r="M110" s="260"/>
    </row>
    <row r="111" spans="1:13">
      <c r="A111" s="573"/>
      <c r="B111" s="777"/>
      <c r="C111" s="27" t="s">
        <v>70</v>
      </c>
      <c r="D111" s="65">
        <v>56</v>
      </c>
      <c r="E111" s="252">
        <v>37</v>
      </c>
      <c r="F111" s="30">
        <f t="shared" ref="F111:F112" si="8">E111/D111</f>
        <v>0.6607142857142857</v>
      </c>
      <c r="G111" s="66">
        <f>D111+'2018JUL'!G111</f>
        <v>224</v>
      </c>
      <c r="H111" s="66">
        <f>E111+'2018JUL'!H111</f>
        <v>238</v>
      </c>
      <c r="I111" s="30">
        <f t="shared" ref="I111:I112" si="9">H111/G111</f>
        <v>1.0625</v>
      </c>
      <c r="J111" s="258"/>
      <c r="K111" s="259"/>
      <c r="L111" s="259"/>
      <c r="M111" s="260"/>
    </row>
    <row r="112" spans="1:13">
      <c r="A112" s="573"/>
      <c r="B112" s="778"/>
      <c r="C112" s="38" t="s">
        <v>166</v>
      </c>
      <c r="D112" s="253">
        <f>SUM(D110:D111)</f>
        <v>64</v>
      </c>
      <c r="E112" s="253">
        <f>SUM(E110:E111)</f>
        <v>42</v>
      </c>
      <c r="F112" s="30">
        <f t="shared" si="8"/>
        <v>0.65625</v>
      </c>
      <c r="G112" s="253">
        <f>SUM(G110:G111)</f>
        <v>288</v>
      </c>
      <c r="H112" s="253">
        <f>SUM(H110:H111)</f>
        <v>278</v>
      </c>
      <c r="I112" s="30">
        <f t="shared" si="9"/>
        <v>0.96527777777777779</v>
      </c>
      <c r="J112" s="258"/>
      <c r="K112" s="259"/>
      <c r="L112" s="259"/>
      <c r="M112" s="260"/>
    </row>
    <row r="113" spans="1:13">
      <c r="A113" s="573"/>
      <c r="B113" s="603" t="s">
        <v>46</v>
      </c>
      <c r="C113" s="39" t="s">
        <v>69</v>
      </c>
      <c r="D113" s="261">
        <f>SUM(D98,D101,D104,D107,D110)</f>
        <v>10</v>
      </c>
      <c r="E113" s="261">
        <f>SUM(E98,E101,E104,E107,E110)</f>
        <v>23</v>
      </c>
      <c r="F113" s="31">
        <f t="shared" si="6"/>
        <v>2.2999999999999998</v>
      </c>
      <c r="G113" s="261">
        <f>SUM(G98,G101,G104,G107,G110)</f>
        <v>78</v>
      </c>
      <c r="H113" s="261">
        <f>SUM(H98,H101,H104,H107,H110)</f>
        <v>82</v>
      </c>
      <c r="I113" s="31">
        <f t="shared" si="7"/>
        <v>1.0512820512820513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261">
        <f>SUM(D99,D102,D105,D108,D111)</f>
        <v>283</v>
      </c>
      <c r="E114" s="261">
        <f>SUM(E99,E102,E105,E108,E111)</f>
        <v>253</v>
      </c>
      <c r="F114" s="31">
        <f t="shared" si="6"/>
        <v>0.89399293286219084</v>
      </c>
      <c r="G114" s="261">
        <f>SUM(G99,G102,G105,G108,G111)</f>
        <v>1986</v>
      </c>
      <c r="H114" s="261">
        <f>SUM(H99,H102,H105,H108,H111)</f>
        <v>1938</v>
      </c>
      <c r="I114" s="31">
        <f t="shared" si="7"/>
        <v>0.97583081570996977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264">
        <f>SUM(D113:D114)</f>
        <v>293</v>
      </c>
      <c r="E115" s="264">
        <f>SUM(E113:E114)</f>
        <v>276</v>
      </c>
      <c r="F115" s="41">
        <f t="shared" si="6"/>
        <v>0.94197952218430037</v>
      </c>
      <c r="G115" s="264">
        <f>SUM(G113:G114)</f>
        <v>2064</v>
      </c>
      <c r="H115" s="264">
        <f>SUM(H113:H114)</f>
        <v>2020</v>
      </c>
      <c r="I115" s="41">
        <f t="shared" si="7"/>
        <v>0.97868217054263562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2</v>
      </c>
      <c r="E116" s="64">
        <v>3</v>
      </c>
      <c r="F116" s="43">
        <f>E116/D116</f>
        <v>1.5</v>
      </c>
      <c r="G116" s="70">
        <f>D116+'2018JUL'!G116</f>
        <v>14</v>
      </c>
      <c r="H116" s="70">
        <f>E116+'2018JUL'!H116</f>
        <v>15</v>
      </c>
      <c r="I116" s="43">
        <f>H116/G116</f>
        <v>1.0714285714285714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60</v>
      </c>
      <c r="E117" s="252">
        <v>58</v>
      </c>
      <c r="F117" s="28">
        <f t="shared" ref="F117:F126" si="10">E117/D117</f>
        <v>0.96666666666666667</v>
      </c>
      <c r="G117" s="71">
        <f>D117+'2018JUL'!G117</f>
        <v>426</v>
      </c>
      <c r="H117" s="71">
        <f>E117+'2018JUL'!H117</f>
        <v>451</v>
      </c>
      <c r="I117" s="28">
        <f t="shared" ref="I117:I126" si="11">H117/G117</f>
        <v>1.0586854460093897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253">
        <f>SUM(D116:D117)</f>
        <v>62</v>
      </c>
      <c r="E118" s="253">
        <f>SUM(E116:E117)</f>
        <v>61</v>
      </c>
      <c r="F118" s="30">
        <f t="shared" si="10"/>
        <v>0.9838709677419355</v>
      </c>
      <c r="G118" s="253">
        <f>SUM(G116:G117)</f>
        <v>440</v>
      </c>
      <c r="H118" s="253">
        <f>SUM(H116:H117)</f>
        <v>466</v>
      </c>
      <c r="I118" s="30">
        <f t="shared" si="11"/>
        <v>1.0590909090909091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252">
        <v>0</v>
      </c>
      <c r="F119" s="28" t="e">
        <f t="shared" si="10"/>
        <v>#DIV/0!</v>
      </c>
      <c r="G119" s="66">
        <f>D119+'2018JUL'!G119</f>
        <v>0</v>
      </c>
      <c r="H119" s="66">
        <f>E119+'2018JUL'!H119</f>
        <v>5</v>
      </c>
      <c r="I119" s="28" t="e">
        <f t="shared" si="11"/>
        <v>#DIV/0!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37</v>
      </c>
      <c r="E120" s="252">
        <v>46</v>
      </c>
      <c r="F120" s="28">
        <f t="shared" si="10"/>
        <v>1.2432432432432432</v>
      </c>
      <c r="G120" s="66">
        <f>D120+'2018JUL'!G120</f>
        <v>296</v>
      </c>
      <c r="H120" s="66">
        <f>E120+'2018JUL'!H120</f>
        <v>367</v>
      </c>
      <c r="I120" s="28">
        <f t="shared" si="11"/>
        <v>1.2398648648648649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253">
        <f>SUM(D119:D120)</f>
        <v>37</v>
      </c>
      <c r="E121" s="253">
        <f>SUM(E119:E120)</f>
        <v>46</v>
      </c>
      <c r="F121" s="30">
        <f t="shared" si="10"/>
        <v>1.2432432432432432</v>
      </c>
      <c r="G121" s="253">
        <f>SUM(G119:G120)</f>
        <v>296</v>
      </c>
      <c r="H121" s="253">
        <f>SUM(H119:H120)</f>
        <v>372</v>
      </c>
      <c r="I121" s="30">
        <f t="shared" si="11"/>
        <v>1.2567567567567568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261">
        <f>SUM(D116,D119)</f>
        <v>2</v>
      </c>
      <c r="E122" s="261">
        <f>SUM(E116,E119)</f>
        <v>3</v>
      </c>
      <c r="F122" s="30">
        <f t="shared" si="10"/>
        <v>1.5</v>
      </c>
      <c r="G122" s="261">
        <f>SUM(G116,G119)</f>
        <v>14</v>
      </c>
      <c r="H122" s="261">
        <f>SUM(H116,H119)</f>
        <v>20</v>
      </c>
      <c r="I122" s="30">
        <f t="shared" si="11"/>
        <v>1.4285714285714286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261">
        <f>SUM(D117,D120)</f>
        <v>97</v>
      </c>
      <c r="E123" s="261">
        <f>SUM(E117,E120)</f>
        <v>104</v>
      </c>
      <c r="F123" s="30">
        <f t="shared" si="10"/>
        <v>1.0721649484536082</v>
      </c>
      <c r="G123" s="261">
        <f>SUM(G117,G120)</f>
        <v>722</v>
      </c>
      <c r="H123" s="261">
        <f>SUM(H117,H120)</f>
        <v>818</v>
      </c>
      <c r="I123" s="30">
        <f t="shared" si="11"/>
        <v>1.1329639889196677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264">
        <f>SUM(D122:D123)</f>
        <v>99</v>
      </c>
      <c r="E124" s="264">
        <f>SUM(E122:E123)</f>
        <v>107</v>
      </c>
      <c r="F124" s="41">
        <f t="shared" si="10"/>
        <v>1.0808080808080809</v>
      </c>
      <c r="G124" s="264">
        <f>SUM(G122:G123)</f>
        <v>736</v>
      </c>
      <c r="H124" s="264">
        <f>SUM(H122:H123)</f>
        <v>838</v>
      </c>
      <c r="I124" s="41">
        <f t="shared" si="11"/>
        <v>1.138586956521739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266">
        <f>SUM(D113,D122)</f>
        <v>12</v>
      </c>
      <c r="E125" s="266">
        <f>SUM(E113,E122)</f>
        <v>26</v>
      </c>
      <c r="F125" s="45">
        <f t="shared" si="10"/>
        <v>2.1666666666666665</v>
      </c>
      <c r="G125" s="46">
        <f>SUM(G113,G122)</f>
        <v>92</v>
      </c>
      <c r="H125" s="46">
        <f>SUM(H113,H122)</f>
        <v>102</v>
      </c>
      <c r="I125" s="45">
        <f t="shared" si="11"/>
        <v>1.1086956521739131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262">
        <f>SUM(D114,D123)</f>
        <v>380</v>
      </c>
      <c r="E126" s="262">
        <f>SUM(E114,E123)</f>
        <v>357</v>
      </c>
      <c r="F126" s="32">
        <f t="shared" si="10"/>
        <v>0.93947368421052635</v>
      </c>
      <c r="G126" s="262">
        <f>SUM(G114,G123)</f>
        <v>2708</v>
      </c>
      <c r="H126" s="262">
        <f>SUM(H114,H123)</f>
        <v>2756</v>
      </c>
      <c r="I126" s="32">
        <f t="shared" si="11"/>
        <v>1.0177252584933529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262">
        <f>SUM(D125:D126)</f>
        <v>392</v>
      </c>
      <c r="E127" s="262">
        <f>SUM(E125:E126)</f>
        <v>383</v>
      </c>
      <c r="F127" s="49">
        <f>E127/D127</f>
        <v>0.97704081632653061</v>
      </c>
      <c r="G127" s="266">
        <f>SUM(G125:G126)</f>
        <v>2800</v>
      </c>
      <c r="H127" s="266">
        <f>SUM(H125:H126)</f>
        <v>2858</v>
      </c>
      <c r="I127" s="49">
        <f>H127/G127</f>
        <v>1.0207142857142857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226</v>
      </c>
      <c r="J134" s="631"/>
      <c r="K134" s="632"/>
      <c r="L134" s="634"/>
    </row>
    <row r="135" spans="1:12">
      <c r="A135" s="628" t="s">
        <v>91</v>
      </c>
      <c r="B135" s="629"/>
      <c r="C135" s="649">
        <v>94</v>
      </c>
      <c r="D135" s="650"/>
      <c r="E135" s="649">
        <v>6</v>
      </c>
      <c r="F135" s="650"/>
      <c r="G135" s="649">
        <v>2</v>
      </c>
      <c r="H135" s="650"/>
      <c r="I135" s="649">
        <v>12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265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265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265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265" t="s">
        <v>99</v>
      </c>
      <c r="C140" s="656">
        <v>299</v>
      </c>
      <c r="D140" s="656"/>
      <c r="E140" s="656">
        <v>182</v>
      </c>
      <c r="F140" s="656"/>
      <c r="G140" s="656">
        <v>173</v>
      </c>
      <c r="H140" s="656"/>
      <c r="I140" s="770">
        <v>16212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235</v>
      </c>
      <c r="D145" s="663"/>
      <c r="E145" s="664"/>
      <c r="F145" s="662" t="s">
        <v>228</v>
      </c>
      <c r="G145" s="663"/>
      <c r="H145" s="663"/>
      <c r="I145" s="664"/>
      <c r="J145" s="663" t="s">
        <v>240</v>
      </c>
      <c r="K145" s="663"/>
      <c r="L145" s="663"/>
      <c r="M145" s="665"/>
    </row>
    <row r="146" spans="1:13" ht="35.25" customHeight="1">
      <c r="A146" s="716" t="s">
        <v>103</v>
      </c>
      <c r="B146" s="717"/>
      <c r="C146" s="718" t="s">
        <v>236</v>
      </c>
      <c r="D146" s="723"/>
      <c r="E146" s="724"/>
      <c r="F146" s="744" t="s">
        <v>237</v>
      </c>
      <c r="G146" s="748"/>
      <c r="H146" s="748"/>
      <c r="I146" s="749"/>
      <c r="J146" s="745" t="s">
        <v>241</v>
      </c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151</v>
      </c>
      <c r="D148" s="719"/>
      <c r="E148" s="720"/>
      <c r="F148" s="744" t="s">
        <v>151</v>
      </c>
      <c r="G148" s="745"/>
      <c r="H148" s="745"/>
      <c r="I148" s="746"/>
      <c r="J148" s="744" t="s">
        <v>151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268" t="s">
        <v>109</v>
      </c>
      <c r="C154" s="268" t="s">
        <v>110</v>
      </c>
      <c r="D154" s="268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>
        <f>E44</f>
        <v>0</v>
      </c>
      <c r="B155" s="291">
        <f>'2018JUL'!H155</f>
        <v>114649</v>
      </c>
      <c r="C155" s="63">
        <f>E45-E44</f>
        <v>182355</v>
      </c>
      <c r="D155" s="73">
        <v>210337</v>
      </c>
      <c r="E155" s="681" t="s">
        <v>114</v>
      </c>
      <c r="F155" s="681"/>
      <c r="G155" s="681"/>
      <c r="H155" s="72">
        <f>C155+A155+B155-D155</f>
        <v>86667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27399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269"/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18497</v>
      </c>
      <c r="H165" s="790"/>
      <c r="I165" s="791"/>
      <c r="J165" s="791"/>
      <c r="K165" s="792"/>
    </row>
    <row r="166" spans="1:11" ht="14">
      <c r="A166" s="267" t="s">
        <v>126</v>
      </c>
      <c r="B166" s="789" t="s">
        <v>127</v>
      </c>
      <c r="C166" s="789"/>
      <c r="D166" s="789"/>
      <c r="E166" s="789"/>
      <c r="F166" s="789"/>
      <c r="G166" s="252">
        <v>1871</v>
      </c>
      <c r="H166" s="790"/>
      <c r="I166" s="791"/>
      <c r="J166" s="791"/>
      <c r="K166" s="792"/>
    </row>
    <row r="167" spans="1:11" ht="14">
      <c r="A167" s="267" t="s">
        <v>128</v>
      </c>
      <c r="B167" s="789" t="s">
        <v>129</v>
      </c>
      <c r="C167" s="789"/>
      <c r="D167" s="789"/>
      <c r="E167" s="789"/>
      <c r="F167" s="789"/>
      <c r="G167" s="269"/>
      <c r="H167" s="790"/>
      <c r="I167" s="791"/>
      <c r="J167" s="791"/>
      <c r="K167" s="792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G1" xr:uid="{00000000-0002-0000-1400-000000000000}">
      <formula1>"Jan, Feb, March, April, May, June, July, Aug, Sep, Oct, Nov, Dec"</formula1>
    </dataValidation>
    <dataValidation type="list" allowBlank="1" showInputMessage="1" showErrorMessage="1" sqref="L3" xr:uid="{00000000-0002-0000-1400-000001000000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83E1D-C107-43A8-A2E5-C135199C7136}">
  <sheetPr codeName="Sheet22">
    <pageSetUpPr fitToPage="1"/>
  </sheetPr>
  <dimension ref="A1:N167"/>
  <sheetViews>
    <sheetView topLeftCell="A22" zoomScale="90" zoomScaleNormal="90" zoomScaleSheetLayoutView="85" workbookViewId="0">
      <selection activeCell="E11" sqref="E11:I11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249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/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271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270" t="s">
        <v>176</v>
      </c>
      <c r="C10" s="61">
        <v>2</v>
      </c>
      <c r="D10" s="273">
        <v>2</v>
      </c>
      <c r="E10" s="538" t="s">
        <v>182</v>
      </c>
      <c r="F10" s="538"/>
      <c r="G10" s="538"/>
      <c r="H10" s="538"/>
      <c r="I10" s="539"/>
    </row>
    <row r="11" spans="1:13">
      <c r="A11" s="537"/>
      <c r="B11" s="270" t="s">
        <v>177</v>
      </c>
      <c r="C11" s="61">
        <v>2</v>
      </c>
      <c r="D11" s="273">
        <v>2</v>
      </c>
      <c r="E11" s="805" t="s">
        <v>242</v>
      </c>
      <c r="F11" s="541"/>
      <c r="G11" s="541"/>
      <c r="H11" s="541"/>
      <c r="I11" s="542"/>
    </row>
    <row r="12" spans="1:13">
      <c r="A12" s="537"/>
      <c r="B12" s="270" t="s">
        <v>179</v>
      </c>
      <c r="C12" s="61">
        <v>2</v>
      </c>
      <c r="D12" s="273">
        <v>7</v>
      </c>
      <c r="E12" s="768" t="s">
        <v>243</v>
      </c>
      <c r="F12" s="538"/>
      <c r="G12" s="538"/>
      <c r="H12" s="538"/>
      <c r="I12" s="539"/>
    </row>
    <row r="13" spans="1:13">
      <c r="A13" s="537"/>
      <c r="B13" s="270" t="s">
        <v>180</v>
      </c>
      <c r="C13" s="61">
        <v>3</v>
      </c>
      <c r="D13" s="273">
        <v>1</v>
      </c>
      <c r="E13" s="538" t="s">
        <v>212</v>
      </c>
      <c r="F13" s="538"/>
      <c r="G13" s="538"/>
      <c r="H13" s="538"/>
      <c r="I13" s="539"/>
    </row>
    <row r="14" spans="1:13">
      <c r="A14" s="537"/>
      <c r="B14" s="270" t="s">
        <v>12</v>
      </c>
      <c r="C14" s="61">
        <v>0</v>
      </c>
      <c r="D14" s="273">
        <v>0</v>
      </c>
      <c r="E14" s="540"/>
      <c r="F14" s="541"/>
      <c r="G14" s="541"/>
      <c r="H14" s="541"/>
      <c r="I14" s="542"/>
    </row>
    <row r="15" spans="1:13">
      <c r="A15" s="537"/>
      <c r="B15" s="270" t="s">
        <v>13</v>
      </c>
      <c r="C15" s="61">
        <v>2</v>
      </c>
      <c r="D15" s="273">
        <v>2</v>
      </c>
      <c r="E15" s="768" t="s">
        <v>252</v>
      </c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14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19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272" t="s">
        <v>23</v>
      </c>
      <c r="E21" s="272" t="s">
        <v>24</v>
      </c>
      <c r="F21" s="272" t="s">
        <v>25</v>
      </c>
      <c r="G21" s="272" t="s">
        <v>23</v>
      </c>
      <c r="H21" s="272" t="s">
        <v>24</v>
      </c>
      <c r="I21" s="272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177">
        <v>14059.199999999999</v>
      </c>
      <c r="E23" s="273">
        <v>13948</v>
      </c>
      <c r="F23" s="14">
        <f t="shared" ref="F23:F28" si="0">E23/D23</f>
        <v>0.99209058836918185</v>
      </c>
      <c r="G23" s="179">
        <f>D23+'2018AUG'!G23</f>
        <v>111498.99999999999</v>
      </c>
      <c r="H23" s="66">
        <f>E23+'2018AUG'!H23</f>
        <v>113357</v>
      </c>
      <c r="I23" s="14">
        <f t="shared" ref="I23:I28" si="1">H23/G23</f>
        <v>1.0166638265814045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274">
        <f>SUM(D23:D23)</f>
        <v>14059.199999999999</v>
      </c>
      <c r="E24" s="274">
        <f>SUM(E23:E23)</f>
        <v>13948</v>
      </c>
      <c r="F24" s="16">
        <f t="shared" si="0"/>
        <v>0.99209058836918185</v>
      </c>
      <c r="G24" s="274">
        <f>SUM(G23:G23)</f>
        <v>111498.99999999999</v>
      </c>
      <c r="H24" s="274">
        <f>SUM(H23:H23)</f>
        <v>113357</v>
      </c>
      <c r="I24" s="16">
        <f t="shared" si="1"/>
        <v>1.0166638265814045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177">
        <v>15360</v>
      </c>
      <c r="E25" s="273">
        <v>15210</v>
      </c>
      <c r="F25" s="14">
        <f t="shared" si="0"/>
        <v>0.990234375</v>
      </c>
      <c r="G25" s="179">
        <f>D25+'2018AUG'!G25</f>
        <v>115200</v>
      </c>
      <c r="H25" s="66">
        <f>E25+'2018AUG'!H25</f>
        <v>117634</v>
      </c>
      <c r="I25" s="14">
        <f t="shared" si="1"/>
        <v>1.0211284722222222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65">
        <v>0</v>
      </c>
      <c r="E26" s="273">
        <v>0</v>
      </c>
      <c r="F26" s="14" t="e">
        <f t="shared" si="0"/>
        <v>#DIV/0!</v>
      </c>
      <c r="G26" s="270">
        <f>D26</f>
        <v>0</v>
      </c>
      <c r="H26" s="270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274">
        <f>SUM(D25:D26)</f>
        <v>15360</v>
      </c>
      <c r="E27" s="274">
        <f>SUM(E25:E26)</f>
        <v>15210</v>
      </c>
      <c r="F27" s="16">
        <f t="shared" si="0"/>
        <v>0.990234375</v>
      </c>
      <c r="G27" s="274">
        <f>SUM(G25:G26)</f>
        <v>115200</v>
      </c>
      <c r="H27" s="274">
        <f>SUM(H25:H26)</f>
        <v>117634</v>
      </c>
      <c r="I27" s="16">
        <f t="shared" si="1"/>
        <v>1.0211284722222222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275">
        <f>SUM(D24,D27)</f>
        <v>29419.199999999997</v>
      </c>
      <c r="E28" s="275">
        <f>SUM(E24,E27)</f>
        <v>29158</v>
      </c>
      <c r="F28" s="17">
        <f t="shared" si="0"/>
        <v>0.99112144449883077</v>
      </c>
      <c r="G28" s="275">
        <f>SUM(G24,G27)</f>
        <v>226699</v>
      </c>
      <c r="H28" s="275">
        <f>SUM(H24,H27)</f>
        <v>230991</v>
      </c>
      <c r="I28" s="17">
        <f t="shared" si="1"/>
        <v>1.0189325934388771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35</v>
      </c>
      <c r="C30" s="128" t="s">
        <v>29</v>
      </c>
      <c r="D30" s="65">
        <v>1000</v>
      </c>
      <c r="E30" s="273">
        <v>5454</v>
      </c>
      <c r="F30" s="14">
        <f>E30/D30</f>
        <v>5.4539999999999997</v>
      </c>
      <c r="G30" s="66">
        <f>D30+'2018AUG'!G30</f>
        <v>9000</v>
      </c>
      <c r="H30" s="66">
        <f>E30+'2018AUG'!H30</f>
        <v>29255</v>
      </c>
      <c r="I30" s="14">
        <f>H30/G30</f>
        <v>3.2505555555555556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65">
        <v>0</v>
      </c>
      <c r="E31" s="273">
        <v>16196</v>
      </c>
      <c r="F31" s="14" t="e">
        <f t="shared" ref="F31:F47" si="2">E31/D31</f>
        <v>#DIV/0!</v>
      </c>
      <c r="G31" s="66">
        <f>D31+'2018AUG'!G31</f>
        <v>0</v>
      </c>
      <c r="H31" s="66">
        <f>E31+'2018AUG'!H31</f>
        <v>38393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274">
        <f>SUM(D30:D31)</f>
        <v>1000</v>
      </c>
      <c r="E32" s="274">
        <f>SUM(E30:E31)</f>
        <v>21650</v>
      </c>
      <c r="F32" s="14">
        <f t="shared" si="2"/>
        <v>21.65</v>
      </c>
      <c r="G32" s="274">
        <f>SUM(G30:G31)</f>
        <v>9000</v>
      </c>
      <c r="H32" s="274">
        <f>SUM(H30:H31)</f>
        <v>67648</v>
      </c>
      <c r="I32" s="14">
        <f t="shared" si="3"/>
        <v>7.5164444444444447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65">
        <v>650</v>
      </c>
      <c r="E33" s="273">
        <v>9</v>
      </c>
      <c r="F33" s="14">
        <f t="shared" si="2"/>
        <v>1.3846153846153847E-2</v>
      </c>
      <c r="G33" s="66">
        <f>D33+'2018AUG'!G33</f>
        <v>5850</v>
      </c>
      <c r="H33" s="66">
        <f>E33+'2018AUG'!H33</f>
        <v>5551</v>
      </c>
      <c r="I33" s="14">
        <f t="shared" si="3"/>
        <v>0.94888888888888889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272">
        <f>SUM(D32,D33)</f>
        <v>1650</v>
      </c>
      <c r="E34" s="272">
        <f>SUM(E32,E33)</f>
        <v>21659</v>
      </c>
      <c r="F34" s="14">
        <f t="shared" si="2"/>
        <v>13.126666666666667</v>
      </c>
      <c r="G34" s="272">
        <f>SUM(G32,G33)</f>
        <v>14850</v>
      </c>
      <c r="H34" s="272">
        <f>SUM(H32,H33)</f>
        <v>73199</v>
      </c>
      <c r="I34" s="14">
        <f t="shared" si="3"/>
        <v>4.929225589225589</v>
      </c>
      <c r="J34" s="534"/>
      <c r="K34" s="534"/>
      <c r="L34" s="534"/>
      <c r="M34" s="543"/>
    </row>
    <row r="35" spans="1:13" ht="24.75" customHeight="1">
      <c r="A35" s="573" t="s">
        <v>37</v>
      </c>
      <c r="B35" s="555" t="s">
        <v>38</v>
      </c>
      <c r="C35" s="18" t="s">
        <v>39</v>
      </c>
      <c r="D35" s="65">
        <v>36232</v>
      </c>
      <c r="E35" s="270">
        <v>108397</v>
      </c>
      <c r="F35" s="14">
        <f t="shared" si="2"/>
        <v>2.9917476264075953</v>
      </c>
      <c r="G35" s="66">
        <f>D35+'2018AUG'!G35</f>
        <v>326088</v>
      </c>
      <c r="H35" s="66">
        <f>E35+'2018AUG'!H35</f>
        <v>278532</v>
      </c>
      <c r="I35" s="14">
        <f t="shared" si="3"/>
        <v>0.85416206668138661</v>
      </c>
      <c r="J35" s="806" t="s">
        <v>244</v>
      </c>
      <c r="K35" s="806"/>
      <c r="L35" s="806"/>
      <c r="M35" s="807"/>
    </row>
    <row r="36" spans="1:13">
      <c r="A36" s="573"/>
      <c r="B36" s="555"/>
      <c r="C36" s="128" t="s">
        <v>40</v>
      </c>
      <c r="D36" s="270"/>
      <c r="E36" s="270"/>
      <c r="F36" s="14" t="e">
        <f t="shared" si="2"/>
        <v>#DIV/0!</v>
      </c>
      <c r="G36" s="270"/>
      <c r="H36" s="270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274">
        <f>SUM(D35:D36)</f>
        <v>36232</v>
      </c>
      <c r="E37" s="274">
        <f>SUM(E35:E36)</f>
        <v>108397</v>
      </c>
      <c r="F37" s="16">
        <f t="shared" si="2"/>
        <v>2.9917476264075953</v>
      </c>
      <c r="G37" s="290">
        <f>SUM(G35:G36)</f>
        <v>326088</v>
      </c>
      <c r="H37" s="290">
        <f>SUM(H35:H36)</f>
        <v>278532</v>
      </c>
      <c r="I37" s="16">
        <f t="shared" si="3"/>
        <v>0.85416206668138661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40</v>
      </c>
      <c r="D38" s="65">
        <v>1100</v>
      </c>
      <c r="E38" s="273">
        <v>0</v>
      </c>
      <c r="F38" s="14">
        <f t="shared" si="2"/>
        <v>0</v>
      </c>
      <c r="G38" s="66">
        <f>D38+'2018AUG'!G38</f>
        <v>9900</v>
      </c>
      <c r="H38" s="66">
        <f>E38+'2018AUG'!H38</f>
        <v>0</v>
      </c>
      <c r="I38" s="14">
        <f t="shared" si="3"/>
        <v>0</v>
      </c>
      <c r="J38" s="525"/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270"/>
      <c r="E39" s="270"/>
      <c r="F39" s="14" t="e">
        <f t="shared" si="2"/>
        <v>#DIV/0!</v>
      </c>
      <c r="G39" s="270"/>
      <c r="H39" s="270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274">
        <f>SUM(D38:D39)</f>
        <v>1100</v>
      </c>
      <c r="E40" s="274">
        <f>SUM(E38:E39)</f>
        <v>0</v>
      </c>
      <c r="F40" s="16">
        <f t="shared" si="2"/>
        <v>0</v>
      </c>
      <c r="G40" s="274">
        <f>SUM(G38:G39)</f>
        <v>9900</v>
      </c>
      <c r="H40" s="274">
        <f>SUM(H38:H39)</f>
        <v>0</v>
      </c>
      <c r="I40" s="16">
        <f t="shared" si="3"/>
        <v>0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272">
        <f>SUM(D37,D40)</f>
        <v>37332</v>
      </c>
      <c r="E41" s="272">
        <f>SUM(E37,E40)</f>
        <v>108397</v>
      </c>
      <c r="F41" s="19">
        <f t="shared" si="2"/>
        <v>2.90359477124183</v>
      </c>
      <c r="G41" s="272">
        <f>SUM(G37,G40)</f>
        <v>335988</v>
      </c>
      <c r="H41" s="272">
        <f>SUM(H37,H40)</f>
        <v>278532</v>
      </c>
      <c r="I41" s="19">
        <f t="shared" si="3"/>
        <v>0.82899389263902279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178">
        <v>12000</v>
      </c>
      <c r="E42" s="76">
        <f>C140+E140+G140+I140</f>
        <v>4569</v>
      </c>
      <c r="F42" s="21">
        <f t="shared" si="2"/>
        <v>0.38074999999999998</v>
      </c>
      <c r="G42" s="180">
        <f>D42+'2018AUG'!G42</f>
        <v>103500</v>
      </c>
      <c r="H42" s="77">
        <f>E42+'2018AUG'!H42</f>
        <v>146368</v>
      </c>
      <c r="I42" s="21">
        <f t="shared" si="3"/>
        <v>1.4141835748792271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245">
        <v>6000</v>
      </c>
      <c r="E43" s="20">
        <v>0</v>
      </c>
      <c r="F43" s="21">
        <f t="shared" si="2"/>
        <v>0</v>
      </c>
      <c r="G43" s="247">
        <f>D43+'2018AUG'!G43</f>
        <v>42000</v>
      </c>
      <c r="H43" s="68">
        <f>E43+'2018AUG'!H43</f>
        <v>870</v>
      </c>
      <c r="I43" s="21">
        <f t="shared" si="3"/>
        <v>2.0714285714285713E-2</v>
      </c>
      <c r="J43" s="572"/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245">
        <v>33500</v>
      </c>
      <c r="E44" s="202">
        <v>0</v>
      </c>
      <c r="F44" s="21">
        <f t="shared" si="2"/>
        <v>0</v>
      </c>
      <c r="G44" s="247">
        <f>D44+'2018AUG'!G44</f>
        <v>301500</v>
      </c>
      <c r="H44" s="180">
        <f>E44+'2018AUG'!H44</f>
        <v>299970</v>
      </c>
      <c r="I44" s="21">
        <f t="shared" si="3"/>
        <v>0.99492537313432838</v>
      </c>
      <c r="J44" s="570"/>
      <c r="K44" s="570"/>
      <c r="L44" s="570"/>
      <c r="M44" s="571"/>
    </row>
    <row r="45" spans="1:13" s="8" customFormat="1">
      <c r="A45" s="587" t="s">
        <v>46</v>
      </c>
      <c r="B45" s="588"/>
      <c r="C45" s="589"/>
      <c r="D45" s="278">
        <f>SUM(D28,D34,D41,D42:D44)</f>
        <v>119901.2</v>
      </c>
      <c r="E45" s="78">
        <f>SUM(E28,E34,E41,E42:E44)</f>
        <v>163783</v>
      </c>
      <c r="F45" s="22">
        <f t="shared" si="2"/>
        <v>1.3659829926639599</v>
      </c>
      <c r="G45" s="278">
        <f>SUM(G28,G34,G41,G42:G44)</f>
        <v>1024537</v>
      </c>
      <c r="H45" s="278">
        <f>SUM(H28,H34,H41,H42:H44)</f>
        <v>1029930</v>
      </c>
      <c r="I45" s="22">
        <f t="shared" si="3"/>
        <v>1.0052638411301886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278">
        <f>D45-D42</f>
        <v>107901.2</v>
      </c>
      <c r="E46" s="278">
        <f>E45-E42</f>
        <v>159214</v>
      </c>
      <c r="F46" s="22">
        <f t="shared" si="2"/>
        <v>1.4755535619622395</v>
      </c>
      <c r="G46" s="278">
        <f>G45-G42</f>
        <v>921037</v>
      </c>
      <c r="H46" s="278">
        <f>H45-H42</f>
        <v>883562</v>
      </c>
      <c r="I46" s="22">
        <f t="shared" si="3"/>
        <v>0.95931216661219909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276">
        <f>D46-D44</f>
        <v>74401.2</v>
      </c>
      <c r="E47" s="276">
        <f>E46-E44</f>
        <v>159214</v>
      </c>
      <c r="F47" s="23">
        <f t="shared" si="2"/>
        <v>2.1399386031408096</v>
      </c>
      <c r="G47" s="276">
        <f>G46-G44</f>
        <v>619537</v>
      </c>
      <c r="H47" s="276">
        <f>H46-H44</f>
        <v>583592</v>
      </c>
      <c r="I47" s="23">
        <f t="shared" si="3"/>
        <v>0.94198086635665024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277" t="s">
        <v>23</v>
      </c>
      <c r="E52" s="277" t="s">
        <v>24</v>
      </c>
      <c r="F52" s="277" t="s">
        <v>25</v>
      </c>
      <c r="G52" s="277" t="s">
        <v>23</v>
      </c>
      <c r="H52" s="277" t="s">
        <v>24</v>
      </c>
      <c r="I52" s="277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12</v>
      </c>
      <c r="E53" s="273">
        <v>21</v>
      </c>
      <c r="F53" s="28">
        <f t="shared" ref="F53:F79" si="4">E53/D53</f>
        <v>1.75</v>
      </c>
      <c r="G53" s="66">
        <f>D53+'2018AUG'!G53</f>
        <v>104</v>
      </c>
      <c r="H53" s="66">
        <f>E53+'2018AUG'!H53</f>
        <v>127</v>
      </c>
      <c r="I53" s="28">
        <f t="shared" ref="I53:I79" si="5">H53/G53</f>
        <v>1.2211538461538463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300</v>
      </c>
      <c r="E54" s="273">
        <v>380</v>
      </c>
      <c r="F54" s="28">
        <f t="shared" si="4"/>
        <v>1.2666666666666666</v>
      </c>
      <c r="G54" s="66">
        <f>D54+'2018AUG'!G54</f>
        <v>2700</v>
      </c>
      <c r="H54" s="66">
        <f>E54+'2018AUG'!H54</f>
        <v>3132</v>
      </c>
      <c r="I54" s="28">
        <f t="shared" si="5"/>
        <v>1.1599999999999999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274">
        <f>SUM(D53:D54)</f>
        <v>312</v>
      </c>
      <c r="E55" s="274">
        <f>SUM(E53:E54)</f>
        <v>401</v>
      </c>
      <c r="F55" s="30">
        <f t="shared" si="4"/>
        <v>1.2852564102564104</v>
      </c>
      <c r="G55" s="274">
        <f>SUM(G53:G54)</f>
        <v>2804</v>
      </c>
      <c r="H55" s="274">
        <f>SUM(H53:H54)</f>
        <v>3259</v>
      </c>
      <c r="I55" s="30">
        <f t="shared" si="5"/>
        <v>1.1622681883024251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40</v>
      </c>
      <c r="E56" s="273">
        <v>63</v>
      </c>
      <c r="F56" s="28">
        <f t="shared" si="4"/>
        <v>1.575</v>
      </c>
      <c r="G56" s="66">
        <f>D56+'2018AUG'!G56</f>
        <v>360</v>
      </c>
      <c r="H56" s="66">
        <f>E56+'2018AUG'!H56</f>
        <v>445</v>
      </c>
      <c r="I56" s="28">
        <f t="shared" si="5"/>
        <v>1.2361111111111112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600</v>
      </c>
      <c r="E57" s="273">
        <v>954</v>
      </c>
      <c r="F57" s="28">
        <f t="shared" si="4"/>
        <v>1.59</v>
      </c>
      <c r="G57" s="66">
        <f>D57+'2018AUG'!G57</f>
        <v>5400</v>
      </c>
      <c r="H57" s="66">
        <f>E57+'2018AUG'!H57</f>
        <v>7229</v>
      </c>
      <c r="I57" s="28">
        <f t="shared" si="5"/>
        <v>1.3387037037037037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282">
        <f>SUM(D56:D57)</f>
        <v>640</v>
      </c>
      <c r="E58" s="282">
        <f>SUM(E56:E57)</f>
        <v>1017</v>
      </c>
      <c r="F58" s="28">
        <f t="shared" si="4"/>
        <v>1.5890625</v>
      </c>
      <c r="G58" s="282">
        <f>SUM(G56:G57)</f>
        <v>5760</v>
      </c>
      <c r="H58" s="282">
        <f>SUM(H56:H57)</f>
        <v>7674</v>
      </c>
      <c r="I58" s="31">
        <f t="shared" si="5"/>
        <v>1.3322916666666667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283">
        <f>SUM(D53,D56)</f>
        <v>52</v>
      </c>
      <c r="E59" s="283">
        <f>SUM(E53,E56)</f>
        <v>84</v>
      </c>
      <c r="F59" s="32">
        <f t="shared" si="4"/>
        <v>1.6153846153846154</v>
      </c>
      <c r="G59" s="283">
        <f>SUM(G53,G56)</f>
        <v>464</v>
      </c>
      <c r="H59" s="283">
        <f>SUM(H53,H56)</f>
        <v>572</v>
      </c>
      <c r="I59" s="32">
        <f t="shared" si="5"/>
        <v>1.2327586206896552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283">
        <f>SUM(D54,D57)</f>
        <v>900</v>
      </c>
      <c r="E60" s="283">
        <f>SUM(E54,E57)</f>
        <v>1334</v>
      </c>
      <c r="F60" s="32">
        <f t="shared" si="4"/>
        <v>1.4822222222222223</v>
      </c>
      <c r="G60" s="283">
        <f>SUM(G54,G57)</f>
        <v>8100</v>
      </c>
      <c r="H60" s="283">
        <f>SUM(H54,H57)</f>
        <v>10361</v>
      </c>
      <c r="I60" s="32">
        <f t="shared" si="5"/>
        <v>1.2791358024691357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284">
        <f>SUM(D59:D60)</f>
        <v>952</v>
      </c>
      <c r="E61" s="284">
        <f>SUM(E59:E60)</f>
        <v>1418</v>
      </c>
      <c r="F61" s="33">
        <f t="shared" si="4"/>
        <v>1.4894957983193278</v>
      </c>
      <c r="G61" s="284">
        <f>SUM(G59:G60)</f>
        <v>8564</v>
      </c>
      <c r="H61" s="284">
        <f>SUM(H59:H60)</f>
        <v>10933</v>
      </c>
      <c r="I61" s="33">
        <f t="shared" si="5"/>
        <v>1.2766230733302195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42</v>
      </c>
      <c r="E62" s="270">
        <f>E71/10</f>
        <v>73</v>
      </c>
      <c r="F62" s="28">
        <f t="shared" si="4"/>
        <v>1.7380952380952381</v>
      </c>
      <c r="G62" s="66">
        <f>D62+'2018AUG'!G62</f>
        <v>364</v>
      </c>
      <c r="H62" s="66">
        <f>E62+'2018AUG'!H62</f>
        <v>441.5</v>
      </c>
      <c r="I62" s="28">
        <f t="shared" si="5"/>
        <v>1.2129120879120878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246">
        <v>1044</v>
      </c>
      <c r="E63" s="270">
        <f>E72/10</f>
        <v>1321.8</v>
      </c>
      <c r="F63" s="28">
        <f t="shared" si="4"/>
        <v>1.2660919540229885</v>
      </c>
      <c r="G63" s="248">
        <f>D63+'2018AUG'!G63</f>
        <v>9396</v>
      </c>
      <c r="H63" s="66">
        <f>E63+'2018AUG'!H63</f>
        <v>10894.199999999999</v>
      </c>
      <c r="I63" s="28">
        <f t="shared" si="5"/>
        <v>1.1594508301404851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1086</v>
      </c>
      <c r="E64" s="274">
        <f>SUM(E62:E63)</f>
        <v>1394.8</v>
      </c>
      <c r="F64" s="30">
        <f t="shared" si="4"/>
        <v>1.2843462246777164</v>
      </c>
      <c r="G64" s="274">
        <f>SUM(G62:G63)</f>
        <v>9760</v>
      </c>
      <c r="H64" s="274">
        <f>SUM(H62:H63)</f>
        <v>11335.699999999999</v>
      </c>
      <c r="I64" s="30">
        <f t="shared" si="5"/>
        <v>1.1614446721311473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64</v>
      </c>
      <c r="E65" s="270">
        <f>E74/10</f>
        <v>92.2</v>
      </c>
      <c r="F65" s="28">
        <f t="shared" si="4"/>
        <v>1.440625</v>
      </c>
      <c r="G65" s="66">
        <f>D65+'2018AUG'!G65</f>
        <v>576</v>
      </c>
      <c r="H65" s="66">
        <f>E65+'2018AUG'!H65</f>
        <v>579.40000000000009</v>
      </c>
      <c r="I65" s="28">
        <f t="shared" si="5"/>
        <v>1.005902777777778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960</v>
      </c>
      <c r="E66" s="270">
        <f>E75/10</f>
        <v>1428.8</v>
      </c>
      <c r="F66" s="28">
        <f t="shared" si="4"/>
        <v>1.4883333333333333</v>
      </c>
      <c r="G66" s="66">
        <f>D66+'2018AUG'!G66</f>
        <v>8640</v>
      </c>
      <c r="H66" s="66">
        <f>E66+'2018AUG'!H66</f>
        <v>11184</v>
      </c>
      <c r="I66" s="28">
        <f t="shared" si="5"/>
        <v>1.2944444444444445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282">
        <f>SUM(D65:D66)</f>
        <v>1024</v>
      </c>
      <c r="E67" s="282">
        <f>SUM(E65:E66)</f>
        <v>1521</v>
      </c>
      <c r="F67" s="31">
        <f t="shared" si="4"/>
        <v>1.4853515625</v>
      </c>
      <c r="G67" s="282">
        <f>SUM(G65:G66)</f>
        <v>9216</v>
      </c>
      <c r="H67" s="282">
        <f>SUM(H65:H66)</f>
        <v>11763.4</v>
      </c>
      <c r="I67" s="31">
        <f t="shared" si="5"/>
        <v>1.2764105902777778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283">
        <f>SUM(D62,D65)</f>
        <v>106</v>
      </c>
      <c r="E68" s="283">
        <f>SUM(E62,E65)</f>
        <v>165.2</v>
      </c>
      <c r="F68" s="32">
        <f t="shared" si="4"/>
        <v>1.5584905660377357</v>
      </c>
      <c r="G68" s="283">
        <f>SUM(G62,G65)</f>
        <v>940</v>
      </c>
      <c r="H68" s="283">
        <f>SUM(H62,H65)</f>
        <v>1020.9000000000001</v>
      </c>
      <c r="I68" s="32">
        <f t="shared" si="5"/>
        <v>1.086063829787234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283">
        <f>SUM(D63,D66)</f>
        <v>2004</v>
      </c>
      <c r="E69" s="283">
        <f>SUM(E63,E66)</f>
        <v>2750.6</v>
      </c>
      <c r="F69" s="32">
        <f t="shared" si="4"/>
        <v>1.3725548902195608</v>
      </c>
      <c r="G69" s="283">
        <f>SUM(G63,G66)</f>
        <v>18036</v>
      </c>
      <c r="H69" s="283">
        <f>SUM(H63,H66)</f>
        <v>22078.199999999997</v>
      </c>
      <c r="I69" s="32">
        <f t="shared" si="5"/>
        <v>1.2241184298070524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284">
        <f>SUM(D68:D69)</f>
        <v>2110</v>
      </c>
      <c r="E70" s="284">
        <f>SUM(E68:E69)</f>
        <v>2915.7999999999997</v>
      </c>
      <c r="F70" s="34">
        <f t="shared" si="4"/>
        <v>1.3818957345971563</v>
      </c>
      <c r="G70" s="284">
        <f>SUM(G68:G69)</f>
        <v>18976</v>
      </c>
      <c r="H70" s="284">
        <f>SUM(H68:H69)</f>
        <v>23099.1</v>
      </c>
      <c r="I70" s="34">
        <f t="shared" si="5"/>
        <v>1.2172797217537943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3619.1999999999994</v>
      </c>
      <c r="E71" s="273">
        <v>730</v>
      </c>
      <c r="F71" s="28">
        <f t="shared" si="4"/>
        <v>0.20170203359858535</v>
      </c>
      <c r="G71" s="179">
        <f>D71+'2018AUG'!G71</f>
        <v>17539</v>
      </c>
      <c r="H71" s="66">
        <f>E71+'2018AUG'!H71</f>
        <v>4415</v>
      </c>
      <c r="I71" s="28">
        <f t="shared" si="5"/>
        <v>0.25172472774958665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246">
        <v>10440</v>
      </c>
      <c r="E72" s="290">
        <f>E23-E71</f>
        <v>13218</v>
      </c>
      <c r="F72" s="28">
        <f t="shared" si="4"/>
        <v>1.2660919540229885</v>
      </c>
      <c r="G72" s="248">
        <f>D72+'2018AUG'!G72</f>
        <v>93960</v>
      </c>
      <c r="H72" s="66">
        <f>E72+'2018AUG'!H72</f>
        <v>108942</v>
      </c>
      <c r="I72" s="28">
        <f t="shared" si="5"/>
        <v>1.1594508301404853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274">
        <f>SUM(D71:D72)</f>
        <v>14059.199999999999</v>
      </c>
      <c r="E73" s="274">
        <f>SUM(E71:E72)</f>
        <v>13948</v>
      </c>
      <c r="F73" s="30">
        <f t="shared" si="4"/>
        <v>0.99209058836918185</v>
      </c>
      <c r="G73" s="274">
        <f>SUM(G71:G72)</f>
        <v>111499</v>
      </c>
      <c r="H73" s="274">
        <f>SUM(H71:H72)</f>
        <v>113357</v>
      </c>
      <c r="I73" s="30">
        <f t="shared" si="5"/>
        <v>1.0166638265814043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5760</v>
      </c>
      <c r="E74" s="273">
        <v>922</v>
      </c>
      <c r="F74" s="28">
        <f t="shared" si="4"/>
        <v>0.16006944444444443</v>
      </c>
      <c r="G74" s="179">
        <f>D74+'2018AUG'!G74</f>
        <v>28800</v>
      </c>
      <c r="H74" s="66">
        <f>E74+'2018AUG'!H74</f>
        <v>5794</v>
      </c>
      <c r="I74" s="28">
        <f t="shared" si="5"/>
        <v>0.20118055555555556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246">
        <v>9600</v>
      </c>
      <c r="E75" s="290">
        <f>E25-E74</f>
        <v>14288</v>
      </c>
      <c r="F75" s="28">
        <f t="shared" si="4"/>
        <v>1.4883333333333333</v>
      </c>
      <c r="G75" s="248">
        <f>D75+'2018AUG'!G75</f>
        <v>86400</v>
      </c>
      <c r="H75" s="66">
        <f>E75+'2018AUG'!H75</f>
        <v>111840</v>
      </c>
      <c r="I75" s="28">
        <f t="shared" si="5"/>
        <v>1.2944444444444445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282">
        <f>SUM(D74:D75)</f>
        <v>15360</v>
      </c>
      <c r="E76" s="282">
        <f>SUM(E74:E75)</f>
        <v>15210</v>
      </c>
      <c r="F76" s="31">
        <f t="shared" si="4"/>
        <v>0.990234375</v>
      </c>
      <c r="G76" s="282">
        <f>SUM(G74:G75)</f>
        <v>115200</v>
      </c>
      <c r="H76" s="282">
        <f>SUM(H74:H75)</f>
        <v>117634</v>
      </c>
      <c r="I76" s="31">
        <f t="shared" si="5"/>
        <v>1.0211284722222222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283">
        <f>SUM(D71,D74)</f>
        <v>9379.1999999999989</v>
      </c>
      <c r="E77" s="283">
        <f>SUM(E71,E74)</f>
        <v>1652</v>
      </c>
      <c r="F77" s="32">
        <f t="shared" si="4"/>
        <v>0.17613442511088367</v>
      </c>
      <c r="G77" s="283">
        <f>SUM(G71,G74)</f>
        <v>46339</v>
      </c>
      <c r="H77" s="283">
        <f>SUM(H71,H74)</f>
        <v>10209</v>
      </c>
      <c r="I77" s="32">
        <f t="shared" si="5"/>
        <v>0.22031118496299013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283">
        <f>SUM(D72,D75)</f>
        <v>20040</v>
      </c>
      <c r="E78" s="283">
        <f>SUM(E72,E75)</f>
        <v>27506</v>
      </c>
      <c r="F78" s="32">
        <f t="shared" si="4"/>
        <v>1.3725548902195608</v>
      </c>
      <c r="G78" s="283">
        <f>SUM(G72,G75)</f>
        <v>180360</v>
      </c>
      <c r="H78" s="283">
        <f>SUM(H72,H75)</f>
        <v>220782</v>
      </c>
      <c r="I78" s="32">
        <f t="shared" si="5"/>
        <v>1.2241184298070527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284">
        <f>SUM(D77:D78)</f>
        <v>29419.199999999997</v>
      </c>
      <c r="E79" s="284">
        <f>SUM(E77:E78)</f>
        <v>29158</v>
      </c>
      <c r="F79" s="34">
        <f t="shared" si="4"/>
        <v>0.99112144449883077</v>
      </c>
      <c r="G79" s="284">
        <f>SUM(G77:G78)</f>
        <v>226699</v>
      </c>
      <c r="H79" s="284">
        <f>SUM(H77:H78)</f>
        <v>230991</v>
      </c>
      <c r="I79" s="34">
        <f t="shared" si="5"/>
        <v>1.0189325934388771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401</v>
      </c>
      <c r="E87" s="130"/>
      <c r="F87" s="134">
        <f>D87+'2018AUG'!F87</f>
        <v>3259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21</v>
      </c>
      <c r="E88" s="128"/>
      <c r="F88" s="134">
        <f>D88+'2018AUG'!F88</f>
        <v>127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0</v>
      </c>
      <c r="E89" s="128">
        <f>D89/D87</f>
        <v>0</v>
      </c>
      <c r="F89" s="134">
        <f>D89+'2018AUG'!F89</f>
        <v>12</v>
      </c>
      <c r="G89" s="128">
        <f>F89/F87</f>
        <v>3.6821110770174901E-3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3</v>
      </c>
      <c r="E90" s="128">
        <f>D90/D92</f>
        <v>1.3452914798206279E-2</v>
      </c>
      <c r="F90" s="134">
        <f>D90+'2018AUG'!F90</f>
        <v>180</v>
      </c>
      <c r="G90" s="128">
        <f>F90/F92</f>
        <v>9.5440084835630962E-2</v>
      </c>
      <c r="H90" s="128"/>
    </row>
    <row r="91" spans="1:13" ht="15" customHeight="1">
      <c r="A91" s="774"/>
      <c r="B91" s="775" t="s">
        <v>202</v>
      </c>
      <c r="C91" s="775"/>
      <c r="D91" s="131">
        <v>241</v>
      </c>
      <c r="E91" s="128">
        <f>D91/D92</f>
        <v>1.0807174887892377</v>
      </c>
      <c r="F91" s="134">
        <f>D91+'2018AUG'!F91</f>
        <v>1846</v>
      </c>
      <c r="G91" s="128">
        <f>F91/F92</f>
        <v>0.97879109225874872</v>
      </c>
      <c r="H91" s="128"/>
    </row>
    <row r="92" spans="1:13" ht="15" customHeight="1">
      <c r="A92" s="774"/>
      <c r="B92" s="775" t="s">
        <v>203</v>
      </c>
      <c r="C92" s="775"/>
      <c r="D92" s="131">
        <v>223</v>
      </c>
      <c r="E92" s="130"/>
      <c r="F92" s="134">
        <f>D92+'2018AUG'!F92</f>
        <v>1886</v>
      </c>
      <c r="G92" s="130"/>
      <c r="H92" s="128"/>
    </row>
    <row r="93" spans="1:13">
      <c r="C93" s="126" t="s">
        <v>210</v>
      </c>
      <c r="D93" s="132">
        <v>624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277" t="s">
        <v>23</v>
      </c>
      <c r="E97" s="277" t="s">
        <v>24</v>
      </c>
      <c r="F97" s="277" t="s">
        <v>25</v>
      </c>
      <c r="G97" s="277" t="s">
        <v>23</v>
      </c>
      <c r="H97" s="277" t="s">
        <v>24</v>
      </c>
      <c r="I97" s="277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273">
        <v>0</v>
      </c>
      <c r="F98" s="37" t="e">
        <f>E98/D98</f>
        <v>#DIV/0!</v>
      </c>
      <c r="G98" s="66">
        <f>D98+'2018AUG'!G98</f>
        <v>0</v>
      </c>
      <c r="H98" s="66">
        <f>E98+'2018AUG'!H98</f>
        <v>1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41</v>
      </c>
      <c r="E99" s="273">
        <v>39</v>
      </c>
      <c r="F99" s="28">
        <f t="shared" ref="F99:F115" si="6">E99/D99</f>
        <v>0.95121951219512191</v>
      </c>
      <c r="G99" s="66">
        <f>D99+'2018AUG'!G99</f>
        <v>369</v>
      </c>
      <c r="H99" s="66">
        <f>E99+'2018AUG'!H99</f>
        <v>363</v>
      </c>
      <c r="I99" s="28">
        <f t="shared" ref="I99:I115" si="7">H99/G99</f>
        <v>0.98373983739837401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274">
        <f>SUM(D98:D99)</f>
        <v>41</v>
      </c>
      <c r="E100" s="274">
        <f>SUM(E98:E99)</f>
        <v>39</v>
      </c>
      <c r="F100" s="30">
        <f t="shared" si="6"/>
        <v>0.95121951219512191</v>
      </c>
      <c r="G100" s="274">
        <f>SUM(G98:G99)</f>
        <v>369</v>
      </c>
      <c r="H100" s="274">
        <f>SUM(H98:H99)</f>
        <v>364</v>
      </c>
      <c r="I100" s="30">
        <f t="shared" si="7"/>
        <v>0.98644986449864502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273">
        <v>0</v>
      </c>
      <c r="F101" s="28" t="e">
        <f t="shared" si="6"/>
        <v>#DIV/0!</v>
      </c>
      <c r="G101" s="66">
        <f>D101+'2018AUG'!G101</f>
        <v>0</v>
      </c>
      <c r="H101" s="66">
        <f>E101+'2018AUG'!H101</f>
        <v>0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11</v>
      </c>
      <c r="E102" s="273">
        <v>9</v>
      </c>
      <c r="F102" s="28">
        <f t="shared" si="6"/>
        <v>0.81818181818181823</v>
      </c>
      <c r="G102" s="66">
        <f>D102+'2018AUG'!G102</f>
        <v>99</v>
      </c>
      <c r="H102" s="66">
        <f>E102+'2018AUG'!H102</f>
        <v>87</v>
      </c>
      <c r="I102" s="28">
        <f t="shared" si="7"/>
        <v>0.87878787878787878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274">
        <f>SUM(D101:D102)</f>
        <v>11</v>
      </c>
      <c r="E103" s="274">
        <f>SUM(E101:E102)</f>
        <v>9</v>
      </c>
      <c r="F103" s="30">
        <f t="shared" si="6"/>
        <v>0.81818181818181823</v>
      </c>
      <c r="G103" s="274">
        <f>SUM(G101:G102)</f>
        <v>99</v>
      </c>
      <c r="H103" s="274">
        <f>SUM(H101:H102)</f>
        <v>87</v>
      </c>
      <c r="I103" s="30">
        <f t="shared" si="7"/>
        <v>0.87878787878787878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0</v>
      </c>
      <c r="E104" s="273">
        <v>2</v>
      </c>
      <c r="F104" s="28" t="e">
        <f t="shared" si="6"/>
        <v>#DIV/0!</v>
      </c>
      <c r="G104" s="66">
        <f>D104+'2018AUG'!G104</f>
        <v>0</v>
      </c>
      <c r="H104" s="66">
        <f>E104+'2018AUG'!H104</f>
        <v>9</v>
      </c>
      <c r="I104" s="28" t="e">
        <f t="shared" si="7"/>
        <v>#DIV/0!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63</v>
      </c>
      <c r="E105" s="273">
        <v>63</v>
      </c>
      <c r="F105" s="28">
        <f t="shared" si="6"/>
        <v>1</v>
      </c>
      <c r="G105" s="66">
        <f>D105+'2018AUG'!G105</f>
        <v>567</v>
      </c>
      <c r="H105" s="66">
        <f>E105+'2018AUG'!H105</f>
        <v>538</v>
      </c>
      <c r="I105" s="28">
        <f t="shared" si="7"/>
        <v>0.94885361552028213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274">
        <f>SUM(D104:D105)</f>
        <v>63</v>
      </c>
      <c r="E106" s="274">
        <f>SUM(E104:E105)</f>
        <v>65</v>
      </c>
      <c r="F106" s="30">
        <f t="shared" si="6"/>
        <v>1.0317460317460319</v>
      </c>
      <c r="G106" s="274">
        <f>SUM(G104:G105)</f>
        <v>567</v>
      </c>
      <c r="H106" s="274">
        <f>SUM(H104:H105)</f>
        <v>547</v>
      </c>
      <c r="I106" s="30">
        <f t="shared" si="7"/>
        <v>0.96472663139329806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2</v>
      </c>
      <c r="E107" s="273">
        <v>7</v>
      </c>
      <c r="F107" s="28">
        <f>E107/D107</f>
        <v>3.5</v>
      </c>
      <c r="G107" s="66">
        <f>D107+'2018AUG'!G107</f>
        <v>16</v>
      </c>
      <c r="H107" s="66">
        <f>E107+'2018AUG'!H107</f>
        <v>41</v>
      </c>
      <c r="I107" s="28">
        <f>H107/G107</f>
        <v>2.5625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114</v>
      </c>
      <c r="E108" s="273">
        <v>123</v>
      </c>
      <c r="F108" s="28">
        <f>E108/D108</f>
        <v>1.0789473684210527</v>
      </c>
      <c r="G108" s="66">
        <f>D108+'2018AUG'!G108</f>
        <v>956</v>
      </c>
      <c r="H108" s="66">
        <f>E108+'2018AUG'!H108</f>
        <v>946</v>
      </c>
      <c r="I108" s="28">
        <f t="shared" si="7"/>
        <v>0.9895397489539749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274">
        <f>SUM(D107:D108)</f>
        <v>116</v>
      </c>
      <c r="E109" s="274">
        <f>SUM(E107:E108)</f>
        <v>130</v>
      </c>
      <c r="F109" s="30">
        <f t="shared" si="6"/>
        <v>1.1206896551724137</v>
      </c>
      <c r="G109" s="274">
        <f>SUM(G107:G108)</f>
        <v>972</v>
      </c>
      <c r="H109" s="274">
        <f>SUM(H107:H108)</f>
        <v>987</v>
      </c>
      <c r="I109" s="30">
        <f t="shared" si="7"/>
        <v>1.0154320987654322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8</v>
      </c>
      <c r="E110" s="273">
        <v>6</v>
      </c>
      <c r="F110" s="30">
        <f>E110/D110</f>
        <v>0.75</v>
      </c>
      <c r="G110" s="66">
        <f>D110+'2018AUG'!G110</f>
        <v>72</v>
      </c>
      <c r="H110" s="66">
        <f>E110+'2018AUG'!H110</f>
        <v>46</v>
      </c>
      <c r="I110" s="30">
        <f>H110/G110</f>
        <v>0.63888888888888884</v>
      </c>
      <c r="J110" s="279"/>
      <c r="K110" s="280"/>
      <c r="L110" s="280"/>
      <c r="M110" s="281"/>
    </row>
    <row r="111" spans="1:13">
      <c r="A111" s="573"/>
      <c r="B111" s="777"/>
      <c r="C111" s="27" t="s">
        <v>70</v>
      </c>
      <c r="D111" s="65">
        <v>64</v>
      </c>
      <c r="E111" s="273">
        <v>42</v>
      </c>
      <c r="F111" s="30">
        <f t="shared" ref="F111:F112" si="8">E111/D111</f>
        <v>0.65625</v>
      </c>
      <c r="G111" s="66">
        <f>D111+'2018AUG'!G111</f>
        <v>288</v>
      </c>
      <c r="H111" s="66">
        <f>E111+'2018AUG'!H111</f>
        <v>280</v>
      </c>
      <c r="I111" s="30">
        <f t="shared" ref="I111:I112" si="9">H111/G111</f>
        <v>0.97222222222222221</v>
      </c>
      <c r="J111" s="279"/>
      <c r="K111" s="280"/>
      <c r="L111" s="280"/>
      <c r="M111" s="281"/>
    </row>
    <row r="112" spans="1:13">
      <c r="A112" s="573"/>
      <c r="B112" s="778"/>
      <c r="C112" s="38" t="s">
        <v>166</v>
      </c>
      <c r="D112" s="274">
        <f>SUM(D110:D111)</f>
        <v>72</v>
      </c>
      <c r="E112" s="274">
        <f>SUM(E110:E111)</f>
        <v>48</v>
      </c>
      <c r="F112" s="30">
        <f t="shared" si="8"/>
        <v>0.66666666666666663</v>
      </c>
      <c r="G112" s="274">
        <f>SUM(G110:G111)</f>
        <v>360</v>
      </c>
      <c r="H112" s="274">
        <f>SUM(H110:H111)</f>
        <v>326</v>
      </c>
      <c r="I112" s="30">
        <f t="shared" si="9"/>
        <v>0.90555555555555556</v>
      </c>
      <c r="J112" s="279"/>
      <c r="K112" s="280"/>
      <c r="L112" s="280"/>
      <c r="M112" s="281"/>
    </row>
    <row r="113" spans="1:13">
      <c r="A113" s="573"/>
      <c r="B113" s="603" t="s">
        <v>46</v>
      </c>
      <c r="C113" s="39" t="s">
        <v>69</v>
      </c>
      <c r="D113" s="282">
        <f>SUM(D98,D101,D104,D107,D110)</f>
        <v>10</v>
      </c>
      <c r="E113" s="282">
        <f>SUM(E98,E101,E104,E107,E110)</f>
        <v>15</v>
      </c>
      <c r="F113" s="31">
        <f t="shared" si="6"/>
        <v>1.5</v>
      </c>
      <c r="G113" s="282">
        <f>SUM(G98,G101,G104,G107,G110)</f>
        <v>88</v>
      </c>
      <c r="H113" s="282">
        <f>SUM(H98,H101,H104,H107,H110)</f>
        <v>97</v>
      </c>
      <c r="I113" s="31">
        <f t="shared" si="7"/>
        <v>1.1022727272727273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282">
        <f>SUM(D99,D102,D105,D108,D111)</f>
        <v>293</v>
      </c>
      <c r="E114" s="282">
        <f>SUM(E99,E102,E105,E108,E111)</f>
        <v>276</v>
      </c>
      <c r="F114" s="31">
        <f t="shared" si="6"/>
        <v>0.94197952218430037</v>
      </c>
      <c r="G114" s="282">
        <f>SUM(G99,G102,G105,G108,G111)</f>
        <v>2279</v>
      </c>
      <c r="H114" s="282">
        <f>SUM(H99,H102,H105,H108,H111)</f>
        <v>2214</v>
      </c>
      <c r="I114" s="31">
        <f t="shared" si="7"/>
        <v>0.97147871873628788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285">
        <f>SUM(D113:D114)</f>
        <v>303</v>
      </c>
      <c r="E115" s="285">
        <f>SUM(E113:E114)</f>
        <v>291</v>
      </c>
      <c r="F115" s="41">
        <f t="shared" si="6"/>
        <v>0.96039603960396036</v>
      </c>
      <c r="G115" s="285">
        <f>SUM(G113:G114)</f>
        <v>2367</v>
      </c>
      <c r="H115" s="285">
        <f>SUM(H113:H114)</f>
        <v>2311</v>
      </c>
      <c r="I115" s="41">
        <f t="shared" si="7"/>
        <v>0.97634136037177865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2</v>
      </c>
      <c r="E116" s="64">
        <v>3</v>
      </c>
      <c r="F116" s="43">
        <f>E116/D116</f>
        <v>1.5</v>
      </c>
      <c r="G116" s="70">
        <f>D116+'2018AUG'!G116</f>
        <v>16</v>
      </c>
      <c r="H116" s="70">
        <f>E116+'2018AUG'!H116</f>
        <v>18</v>
      </c>
      <c r="I116" s="43">
        <f>H116/G116</f>
        <v>1.125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62</v>
      </c>
      <c r="E117" s="273">
        <v>61</v>
      </c>
      <c r="F117" s="28">
        <f t="shared" ref="F117:F126" si="10">E117/D117</f>
        <v>0.9838709677419355</v>
      </c>
      <c r="G117" s="71">
        <f>D117+'2018AUG'!G117</f>
        <v>488</v>
      </c>
      <c r="H117" s="71">
        <f>E117+'2018AUG'!H117</f>
        <v>512</v>
      </c>
      <c r="I117" s="28">
        <f t="shared" ref="I117:I126" si="11">H117/G117</f>
        <v>1.0491803278688525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274">
        <f>SUM(D116:D117)</f>
        <v>64</v>
      </c>
      <c r="E118" s="274">
        <f>SUM(E116:E117)</f>
        <v>64</v>
      </c>
      <c r="F118" s="30">
        <f t="shared" si="10"/>
        <v>1</v>
      </c>
      <c r="G118" s="274">
        <f>SUM(G116:G117)</f>
        <v>504</v>
      </c>
      <c r="H118" s="274">
        <f>SUM(H116:H117)</f>
        <v>530</v>
      </c>
      <c r="I118" s="30">
        <f t="shared" si="11"/>
        <v>1.0515873015873016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273">
        <v>0</v>
      </c>
      <c r="F119" s="28" t="e">
        <f t="shared" si="10"/>
        <v>#DIV/0!</v>
      </c>
      <c r="G119" s="66">
        <f>D119+'2018AUG'!G119</f>
        <v>0</v>
      </c>
      <c r="H119" s="66">
        <f>E119+'2018AUG'!H119</f>
        <v>5</v>
      </c>
      <c r="I119" s="28" t="e">
        <f t="shared" si="11"/>
        <v>#DIV/0!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37</v>
      </c>
      <c r="E120" s="273">
        <v>46</v>
      </c>
      <c r="F120" s="28">
        <f t="shared" si="10"/>
        <v>1.2432432432432432</v>
      </c>
      <c r="G120" s="66">
        <f>D120+'2018AUG'!G120</f>
        <v>333</v>
      </c>
      <c r="H120" s="66">
        <f>E120+'2018AUG'!H120</f>
        <v>413</v>
      </c>
      <c r="I120" s="28">
        <f t="shared" si="11"/>
        <v>1.2402402402402402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274">
        <f>SUM(D119:D120)</f>
        <v>37</v>
      </c>
      <c r="E121" s="274">
        <f>SUM(E119:E120)</f>
        <v>46</v>
      </c>
      <c r="F121" s="30">
        <f t="shared" si="10"/>
        <v>1.2432432432432432</v>
      </c>
      <c r="G121" s="274">
        <f>SUM(G119:G120)</f>
        <v>333</v>
      </c>
      <c r="H121" s="274">
        <f>SUM(H119:H120)</f>
        <v>418</v>
      </c>
      <c r="I121" s="30">
        <f t="shared" si="11"/>
        <v>1.2552552552552552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282">
        <f>SUM(D116,D119)</f>
        <v>2</v>
      </c>
      <c r="E122" s="282">
        <f>SUM(E116,E119)</f>
        <v>3</v>
      </c>
      <c r="F122" s="30">
        <f t="shared" si="10"/>
        <v>1.5</v>
      </c>
      <c r="G122" s="282">
        <f>SUM(G116,G119)</f>
        <v>16</v>
      </c>
      <c r="H122" s="282">
        <f>SUM(H116,H119)</f>
        <v>23</v>
      </c>
      <c r="I122" s="30">
        <f t="shared" si="11"/>
        <v>1.4375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282">
        <f>SUM(D117,D120)</f>
        <v>99</v>
      </c>
      <c r="E123" s="282">
        <f>SUM(E117,E120)</f>
        <v>107</v>
      </c>
      <c r="F123" s="30">
        <f t="shared" si="10"/>
        <v>1.0808080808080809</v>
      </c>
      <c r="G123" s="282">
        <f>SUM(G117,G120)</f>
        <v>821</v>
      </c>
      <c r="H123" s="282">
        <f>SUM(H117,H120)</f>
        <v>925</v>
      </c>
      <c r="I123" s="30">
        <f t="shared" si="11"/>
        <v>1.1266747868453106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285">
        <f>SUM(D122:D123)</f>
        <v>101</v>
      </c>
      <c r="E124" s="285">
        <f>SUM(E122:E123)</f>
        <v>110</v>
      </c>
      <c r="F124" s="41">
        <f t="shared" si="10"/>
        <v>1.0891089108910892</v>
      </c>
      <c r="G124" s="285">
        <f>SUM(G122:G123)</f>
        <v>837</v>
      </c>
      <c r="H124" s="285">
        <f>SUM(H122:H123)</f>
        <v>948</v>
      </c>
      <c r="I124" s="41">
        <f t="shared" si="11"/>
        <v>1.1326164874551972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287">
        <f>SUM(D113,D122)</f>
        <v>12</v>
      </c>
      <c r="E125" s="287">
        <f>SUM(E113,E122)</f>
        <v>18</v>
      </c>
      <c r="F125" s="45">
        <f t="shared" si="10"/>
        <v>1.5</v>
      </c>
      <c r="G125" s="46">
        <f>SUM(G113,G122)</f>
        <v>104</v>
      </c>
      <c r="H125" s="46">
        <f>SUM(H113,H122)</f>
        <v>120</v>
      </c>
      <c r="I125" s="45">
        <f t="shared" si="11"/>
        <v>1.1538461538461537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283">
        <f>SUM(D114,D123)</f>
        <v>392</v>
      </c>
      <c r="E126" s="283">
        <f>SUM(E114,E123)</f>
        <v>383</v>
      </c>
      <c r="F126" s="32">
        <f t="shared" si="10"/>
        <v>0.97704081632653061</v>
      </c>
      <c r="G126" s="283">
        <f>SUM(G114,G123)</f>
        <v>3100</v>
      </c>
      <c r="H126" s="283">
        <f>SUM(H114,H123)</f>
        <v>3139</v>
      </c>
      <c r="I126" s="32">
        <f t="shared" si="11"/>
        <v>1.0125806451612904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283">
        <f>SUM(D125:D126)</f>
        <v>404</v>
      </c>
      <c r="E127" s="283">
        <f>SUM(E125:E126)</f>
        <v>401</v>
      </c>
      <c r="F127" s="49">
        <f>E127/D127</f>
        <v>0.99257425742574257</v>
      </c>
      <c r="G127" s="287">
        <f>SUM(G125:G126)</f>
        <v>3204</v>
      </c>
      <c r="H127" s="287">
        <f>SUM(H125:H126)</f>
        <v>3259</v>
      </c>
      <c r="I127" s="49">
        <f>H127/G127</f>
        <v>1.0171660424469413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226</v>
      </c>
      <c r="J134" s="631"/>
      <c r="K134" s="632"/>
      <c r="L134" s="634"/>
    </row>
    <row r="135" spans="1:12">
      <c r="A135" s="628" t="s">
        <v>91</v>
      </c>
      <c r="B135" s="629"/>
      <c r="C135" s="649">
        <v>0</v>
      </c>
      <c r="D135" s="650"/>
      <c r="E135" s="649">
        <v>4</v>
      </c>
      <c r="F135" s="650"/>
      <c r="G135" s="649">
        <v>15</v>
      </c>
      <c r="H135" s="650"/>
      <c r="I135" s="649">
        <v>11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286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286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286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286" t="s">
        <v>99</v>
      </c>
      <c r="C140" s="656">
        <v>0</v>
      </c>
      <c r="D140" s="656"/>
      <c r="E140" s="656">
        <v>193</v>
      </c>
      <c r="F140" s="656"/>
      <c r="G140" s="656">
        <v>173</v>
      </c>
      <c r="H140" s="656"/>
      <c r="I140" s="770">
        <v>4203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245</v>
      </c>
      <c r="D145" s="663"/>
      <c r="E145" s="664"/>
      <c r="F145" s="662" t="s">
        <v>240</v>
      </c>
      <c r="G145" s="663"/>
      <c r="H145" s="663"/>
      <c r="I145" s="664"/>
      <c r="J145" s="663" t="s">
        <v>149</v>
      </c>
      <c r="K145" s="663"/>
      <c r="L145" s="663"/>
      <c r="M145" s="665"/>
    </row>
    <row r="146" spans="1:13" ht="47.25" customHeight="1">
      <c r="A146" s="716" t="s">
        <v>103</v>
      </c>
      <c r="B146" s="717"/>
      <c r="C146" s="718" t="s">
        <v>247</v>
      </c>
      <c r="D146" s="723"/>
      <c r="E146" s="724"/>
      <c r="F146" s="744" t="s">
        <v>246</v>
      </c>
      <c r="G146" s="748"/>
      <c r="H146" s="748"/>
      <c r="I146" s="749"/>
      <c r="J146" s="745" t="s">
        <v>248</v>
      </c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151</v>
      </c>
      <c r="D148" s="719"/>
      <c r="E148" s="720"/>
      <c r="F148" s="744" t="s">
        <v>151</v>
      </c>
      <c r="G148" s="745"/>
      <c r="H148" s="745"/>
      <c r="I148" s="746"/>
      <c r="J148" s="744" t="s">
        <v>151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289" t="s">
        <v>109</v>
      </c>
      <c r="C154" s="289" t="s">
        <v>110</v>
      </c>
      <c r="D154" s="289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>
        <f>E44</f>
        <v>0</v>
      </c>
      <c r="B155" s="291">
        <f>'2018AUG'!H155</f>
        <v>86667</v>
      </c>
      <c r="C155" s="63">
        <f>E45-E44</f>
        <v>163783</v>
      </c>
      <c r="D155" s="73">
        <f>84421+108397+30000</f>
        <v>222818</v>
      </c>
      <c r="E155" s="681" t="s">
        <v>114</v>
      </c>
      <c r="F155" s="681"/>
      <c r="G155" s="681"/>
      <c r="H155" s="72">
        <f>C155+A155+B155-D155</f>
        <v>27632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21044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290"/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18562</v>
      </c>
      <c r="H165" s="790"/>
      <c r="I165" s="791"/>
      <c r="J165" s="791"/>
      <c r="K165" s="792"/>
    </row>
    <row r="166" spans="1:11" ht="14">
      <c r="A166" s="288" t="s">
        <v>126</v>
      </c>
      <c r="B166" s="789" t="s">
        <v>127</v>
      </c>
      <c r="C166" s="789"/>
      <c r="D166" s="789"/>
      <c r="E166" s="789"/>
      <c r="F166" s="789"/>
      <c r="G166" s="273">
        <v>1879</v>
      </c>
      <c r="H166" s="790"/>
      <c r="I166" s="791"/>
      <c r="J166" s="791"/>
      <c r="K166" s="792"/>
    </row>
    <row r="167" spans="1:11" ht="14">
      <c r="A167" s="288" t="s">
        <v>128</v>
      </c>
      <c r="B167" s="789" t="s">
        <v>129</v>
      </c>
      <c r="C167" s="789"/>
      <c r="D167" s="789"/>
      <c r="E167" s="789"/>
      <c r="F167" s="789"/>
      <c r="G167" s="290"/>
      <c r="H167" s="790"/>
      <c r="I167" s="791"/>
      <c r="J167" s="791"/>
      <c r="K167" s="792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L3" xr:uid="{A1BE112C-4615-44C2-81A4-08F69B02AF9B}">
      <formula1>"USA, JAPAN"</formula1>
    </dataValidation>
    <dataValidation type="list" allowBlank="1" showInputMessage="1" showErrorMessage="1" sqref="G1" xr:uid="{C38E84BC-0A78-4CD5-B8A1-C917E834CEC5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6DBF-C37E-4519-B3EB-47B88FD77AA5}">
  <sheetPr codeName="Sheet23">
    <pageSetUpPr fitToPage="1"/>
  </sheetPr>
  <dimension ref="A1:N167"/>
  <sheetViews>
    <sheetView topLeftCell="A26" zoomScale="90" zoomScaleNormal="90" zoomScaleSheetLayoutView="85" workbookViewId="0">
      <selection activeCell="E155" sqref="E155:G15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249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4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>
        <v>43413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293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292" t="s">
        <v>176</v>
      </c>
      <c r="C10" s="61">
        <v>2</v>
      </c>
      <c r="D10" s="295">
        <v>1</v>
      </c>
      <c r="E10" s="538" t="s">
        <v>250</v>
      </c>
      <c r="F10" s="538"/>
      <c r="G10" s="538"/>
      <c r="H10" s="538"/>
      <c r="I10" s="539"/>
    </row>
    <row r="11" spans="1:13">
      <c r="A11" s="537"/>
      <c r="B11" s="292" t="s">
        <v>177</v>
      </c>
      <c r="C11" s="61">
        <v>2</v>
      </c>
      <c r="D11" s="295">
        <v>2</v>
      </c>
      <c r="E11" s="805" t="s">
        <v>242</v>
      </c>
      <c r="F11" s="541"/>
      <c r="G11" s="541"/>
      <c r="H11" s="541"/>
      <c r="I11" s="542"/>
    </row>
    <row r="12" spans="1:13">
      <c r="A12" s="537"/>
      <c r="B12" s="292" t="s">
        <v>179</v>
      </c>
      <c r="C12" s="61">
        <v>2</v>
      </c>
      <c r="D12" s="295">
        <v>7</v>
      </c>
      <c r="E12" s="768" t="s">
        <v>243</v>
      </c>
      <c r="F12" s="538"/>
      <c r="G12" s="538"/>
      <c r="H12" s="538"/>
      <c r="I12" s="539"/>
    </row>
    <row r="13" spans="1:13">
      <c r="A13" s="537"/>
      <c r="B13" s="292" t="s">
        <v>180</v>
      </c>
      <c r="C13" s="61">
        <v>3</v>
      </c>
      <c r="D13" s="295">
        <v>1</v>
      </c>
      <c r="E13" s="538" t="s">
        <v>212</v>
      </c>
      <c r="F13" s="538"/>
      <c r="G13" s="538"/>
      <c r="H13" s="538"/>
      <c r="I13" s="539"/>
    </row>
    <row r="14" spans="1:13">
      <c r="A14" s="537"/>
      <c r="B14" s="292" t="s">
        <v>12</v>
      </c>
      <c r="C14" s="61">
        <v>0</v>
      </c>
      <c r="D14" s="295">
        <v>0</v>
      </c>
      <c r="E14" s="540"/>
      <c r="F14" s="541"/>
      <c r="G14" s="541"/>
      <c r="H14" s="541"/>
      <c r="I14" s="542"/>
    </row>
    <row r="15" spans="1:13">
      <c r="A15" s="537"/>
      <c r="B15" s="292" t="s">
        <v>13</v>
      </c>
      <c r="C15" s="61">
        <v>2</v>
      </c>
      <c r="D15" s="295">
        <v>2</v>
      </c>
      <c r="E15" s="768" t="s">
        <v>251</v>
      </c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13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19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294" t="s">
        <v>23</v>
      </c>
      <c r="E21" s="294" t="s">
        <v>24</v>
      </c>
      <c r="F21" s="294" t="s">
        <v>25</v>
      </c>
      <c r="G21" s="294" t="s">
        <v>23</v>
      </c>
      <c r="H21" s="294" t="s">
        <v>24</v>
      </c>
      <c r="I21" s="294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328">
        <v>14476.8</v>
      </c>
      <c r="E23" s="329">
        <v>14713</v>
      </c>
      <c r="F23" s="14">
        <f t="shared" ref="F23:F28" si="0">E23/D23</f>
        <v>1.0163157603890363</v>
      </c>
      <c r="G23" s="332">
        <f>D23+'2018SEP'!G23</f>
        <v>125975.79999999999</v>
      </c>
      <c r="H23" s="332">
        <f>E23+'2018SEP'!H23</f>
        <v>128070</v>
      </c>
      <c r="I23" s="14">
        <f t="shared" ref="I23:I28" si="1">H23/G23</f>
        <v>1.0166238277510444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330">
        <f>SUM(D23:D23)</f>
        <v>14476.8</v>
      </c>
      <c r="E24" s="330">
        <f>SUM(E23:E23)</f>
        <v>14713</v>
      </c>
      <c r="F24" s="16">
        <f t="shared" si="0"/>
        <v>1.0163157603890363</v>
      </c>
      <c r="G24" s="330">
        <f>SUM(G23:G23)</f>
        <v>125975.79999999999</v>
      </c>
      <c r="H24" s="330">
        <f>SUM(H23:H23)</f>
        <v>128070</v>
      </c>
      <c r="I24" s="16">
        <f t="shared" si="1"/>
        <v>1.0166238277510444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328">
        <v>16000</v>
      </c>
      <c r="E25" s="329">
        <v>15879</v>
      </c>
      <c r="F25" s="14">
        <f t="shared" si="0"/>
        <v>0.99243749999999997</v>
      </c>
      <c r="G25" s="332">
        <f>D25+'2018SEP'!G25</f>
        <v>131200</v>
      </c>
      <c r="H25" s="332">
        <f>E25+'2018SEP'!H25</f>
        <v>133513</v>
      </c>
      <c r="I25" s="14">
        <f t="shared" si="1"/>
        <v>1.0176295731707317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330">
        <f>SUM(D25:D26)</f>
        <v>16000</v>
      </c>
      <c r="E27" s="330">
        <f>SUM(E25:E26)</f>
        <v>15879</v>
      </c>
      <c r="F27" s="16">
        <f t="shared" si="0"/>
        <v>0.99243749999999997</v>
      </c>
      <c r="G27" s="330">
        <f>SUM(G25:G26)</f>
        <v>131200</v>
      </c>
      <c r="H27" s="330">
        <f>SUM(H25:H26)</f>
        <v>133513</v>
      </c>
      <c r="I27" s="16">
        <f t="shared" si="1"/>
        <v>1.0176295731707317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331">
        <f>SUM(D24,D27)</f>
        <v>30476.799999999999</v>
      </c>
      <c r="E28" s="331">
        <f>SUM(E24,E27)</f>
        <v>30592</v>
      </c>
      <c r="F28" s="17">
        <f t="shared" si="0"/>
        <v>1.003779924401512</v>
      </c>
      <c r="G28" s="331">
        <f>SUM(G24,G27)</f>
        <v>257175.8</v>
      </c>
      <c r="H28" s="331">
        <f>SUM(H24,H27)</f>
        <v>261583</v>
      </c>
      <c r="I28" s="17">
        <f t="shared" si="1"/>
        <v>1.0171369156818022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35</v>
      </c>
      <c r="C30" s="128" t="s">
        <v>29</v>
      </c>
      <c r="D30" s="328">
        <v>1000</v>
      </c>
      <c r="E30" s="329">
        <v>1523</v>
      </c>
      <c r="F30" s="14">
        <f>E30/D30</f>
        <v>1.5229999999999999</v>
      </c>
      <c r="G30" s="332">
        <f>D30+'2018SEP'!G30</f>
        <v>10000</v>
      </c>
      <c r="H30" s="332">
        <f>E30+'2018SEP'!H30</f>
        <v>30778</v>
      </c>
      <c r="I30" s="14">
        <f>H30/G30</f>
        <v>3.0777999999999999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328">
        <v>0</v>
      </c>
      <c r="E31" s="329">
        <v>5488</v>
      </c>
      <c r="F31" s="14" t="e">
        <f t="shared" ref="F31:F47" si="2">E31/D31</f>
        <v>#DIV/0!</v>
      </c>
      <c r="G31" s="332">
        <f>D31+'2018SEP'!G31</f>
        <v>0</v>
      </c>
      <c r="H31" s="332">
        <f>E31+'2018SEP'!H31</f>
        <v>43881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330">
        <f>SUM(D30:D31)</f>
        <v>1000</v>
      </c>
      <c r="E32" s="330">
        <f>SUM(E30:E31)</f>
        <v>7011</v>
      </c>
      <c r="F32" s="14">
        <f t="shared" si="2"/>
        <v>7.0110000000000001</v>
      </c>
      <c r="G32" s="330">
        <f>SUM(G30:G31)</f>
        <v>10000</v>
      </c>
      <c r="H32" s="330">
        <f>SUM(H30:H31)</f>
        <v>74659</v>
      </c>
      <c r="I32" s="14">
        <f t="shared" si="3"/>
        <v>7.4659000000000004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328">
        <v>650</v>
      </c>
      <c r="E33" s="329">
        <v>749</v>
      </c>
      <c r="F33" s="14">
        <f t="shared" si="2"/>
        <v>1.1523076923076923</v>
      </c>
      <c r="G33" s="332">
        <f>D33+'2018SEP'!G33</f>
        <v>6500</v>
      </c>
      <c r="H33" s="332">
        <f>E33+'2018SEP'!H33</f>
        <v>6300</v>
      </c>
      <c r="I33" s="14">
        <f t="shared" si="3"/>
        <v>0.96923076923076923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334">
        <f>SUM(D32,D33)</f>
        <v>1650</v>
      </c>
      <c r="E34" s="334">
        <f>SUM(E32,E33)</f>
        <v>7760</v>
      </c>
      <c r="F34" s="14">
        <f t="shared" si="2"/>
        <v>4.7030303030303031</v>
      </c>
      <c r="G34" s="334">
        <f>SUM(G32,G33)</f>
        <v>16500</v>
      </c>
      <c r="H34" s="334">
        <f>SUM(H32,H33)</f>
        <v>80959</v>
      </c>
      <c r="I34" s="14">
        <f t="shared" si="3"/>
        <v>4.9066060606060606</v>
      </c>
      <c r="J34" s="534"/>
      <c r="K34" s="534"/>
      <c r="L34" s="534"/>
      <c r="M34" s="543"/>
    </row>
    <row r="35" spans="1:13" ht="24.75" customHeight="1">
      <c r="A35" s="573" t="s">
        <v>37</v>
      </c>
      <c r="B35" s="555" t="s">
        <v>38</v>
      </c>
      <c r="C35" s="18" t="s">
        <v>39</v>
      </c>
      <c r="D35" s="328">
        <v>36232</v>
      </c>
      <c r="E35" s="333">
        <v>173269</v>
      </c>
      <c r="F35" s="14">
        <f t="shared" si="2"/>
        <v>4.7822090969308899</v>
      </c>
      <c r="G35" s="332">
        <f>D35+'2018SEP'!G35</f>
        <v>362320</v>
      </c>
      <c r="H35" s="332">
        <f>E35+'2018SEP'!H35</f>
        <v>451801</v>
      </c>
      <c r="I35" s="14">
        <f t="shared" si="3"/>
        <v>1.2469667697063369</v>
      </c>
      <c r="J35" s="806" t="s">
        <v>253</v>
      </c>
      <c r="K35" s="806"/>
      <c r="L35" s="806"/>
      <c r="M35" s="807"/>
    </row>
    <row r="36" spans="1:13">
      <c r="A36" s="573"/>
      <c r="B36" s="555"/>
      <c r="C36" s="128" t="s">
        <v>40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330">
        <f>SUM(D35:D36)</f>
        <v>36232</v>
      </c>
      <c r="E37" s="330">
        <f>SUM(E35:E36)</f>
        <v>173269</v>
      </c>
      <c r="F37" s="16">
        <f t="shared" si="2"/>
        <v>4.7822090969308899</v>
      </c>
      <c r="G37" s="341">
        <f>SUM(G35:G36)</f>
        <v>362320</v>
      </c>
      <c r="H37" s="341">
        <f>SUM(H35:H36)</f>
        <v>451801</v>
      </c>
      <c r="I37" s="16">
        <f t="shared" si="3"/>
        <v>1.2469667697063369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40</v>
      </c>
      <c r="D38" s="328">
        <v>1100</v>
      </c>
      <c r="E38" s="329">
        <v>0</v>
      </c>
      <c r="F38" s="14">
        <f t="shared" si="2"/>
        <v>0</v>
      </c>
      <c r="G38" s="332">
        <f>D38+'2018SEP'!G38</f>
        <v>11000</v>
      </c>
      <c r="H38" s="332">
        <f>E38+'2018SEP'!H38</f>
        <v>0</v>
      </c>
      <c r="I38" s="14">
        <f t="shared" si="3"/>
        <v>0</v>
      </c>
      <c r="J38" s="525"/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330">
        <f>SUM(D38:D39)</f>
        <v>1100</v>
      </c>
      <c r="E40" s="330">
        <f>SUM(E38:E39)</f>
        <v>0</v>
      </c>
      <c r="F40" s="16">
        <f t="shared" si="2"/>
        <v>0</v>
      </c>
      <c r="G40" s="330">
        <f>SUM(G38:G39)</f>
        <v>11000</v>
      </c>
      <c r="H40" s="330">
        <f>SUM(H38:H39)</f>
        <v>0</v>
      </c>
      <c r="I40" s="16">
        <f t="shared" si="3"/>
        <v>0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334">
        <f>SUM(D37,D40)</f>
        <v>37332</v>
      </c>
      <c r="E41" s="334">
        <f>SUM(E37,E40)</f>
        <v>173269</v>
      </c>
      <c r="F41" s="19">
        <f t="shared" si="2"/>
        <v>4.641299689274617</v>
      </c>
      <c r="G41" s="334">
        <f>SUM(G37,G40)</f>
        <v>373320</v>
      </c>
      <c r="H41" s="334">
        <f>SUM(H37,H40)</f>
        <v>451801</v>
      </c>
      <c r="I41" s="19">
        <f t="shared" si="3"/>
        <v>1.2102244723025823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335">
        <v>12500</v>
      </c>
      <c r="E42" s="336">
        <f>C140+E140+G140+I140</f>
        <v>14195</v>
      </c>
      <c r="F42" s="21">
        <f t="shared" si="2"/>
        <v>1.1355999999999999</v>
      </c>
      <c r="G42" s="342">
        <f>D42+'2018SEP'!G42</f>
        <v>116000</v>
      </c>
      <c r="H42" s="342">
        <f>E42+'2018SEP'!H42</f>
        <v>160563</v>
      </c>
      <c r="I42" s="21">
        <f t="shared" si="3"/>
        <v>1.3841637931034483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337">
        <v>12000</v>
      </c>
      <c r="E43" s="338">
        <v>1220</v>
      </c>
      <c r="F43" s="21">
        <f t="shared" si="2"/>
        <v>0.10166666666666667</v>
      </c>
      <c r="G43" s="342">
        <f>D43+'2018SEP'!G43</f>
        <v>54000</v>
      </c>
      <c r="H43" s="342">
        <f>E43+'2018SEP'!H43</f>
        <v>2090</v>
      </c>
      <c r="I43" s="21">
        <f t="shared" si="3"/>
        <v>3.8703703703703705E-2</v>
      </c>
      <c r="J43" s="572"/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337">
        <v>33500</v>
      </c>
      <c r="E44" s="338">
        <v>100000</v>
      </c>
      <c r="F44" s="21">
        <f t="shared" si="2"/>
        <v>2.9850746268656718</v>
      </c>
      <c r="G44" s="342">
        <f>D44+'2018SEP'!G44</f>
        <v>335000</v>
      </c>
      <c r="H44" s="342">
        <f>E44+'2018SEP'!H44</f>
        <v>399970</v>
      </c>
      <c r="I44" s="21">
        <f t="shared" si="3"/>
        <v>1.1939402985074627</v>
      </c>
      <c r="J44" s="570"/>
      <c r="K44" s="570"/>
      <c r="L44" s="570"/>
      <c r="M44" s="571"/>
    </row>
    <row r="45" spans="1:13" s="8" customFormat="1">
      <c r="A45" s="587" t="s">
        <v>46</v>
      </c>
      <c r="B45" s="588"/>
      <c r="C45" s="589"/>
      <c r="D45" s="339">
        <f>SUM(D28,D34,D41,D42:D44)</f>
        <v>127458.8</v>
      </c>
      <c r="E45" s="339">
        <f>SUM(E28,E34,E41,E42:E44)</f>
        <v>327036</v>
      </c>
      <c r="F45" s="22">
        <f t="shared" si="2"/>
        <v>2.5658173464680352</v>
      </c>
      <c r="G45" s="339">
        <f>SUM(G28,G34,G41,G42:G44)</f>
        <v>1151995.8</v>
      </c>
      <c r="H45" s="339">
        <f>SUM(H28,H34,H41,H42:H44)</f>
        <v>1356966</v>
      </c>
      <c r="I45" s="22">
        <f t="shared" si="3"/>
        <v>1.177926169522493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339">
        <f>D45-D42</f>
        <v>114958.8</v>
      </c>
      <c r="E46" s="339">
        <f>E45-E42</f>
        <v>312841</v>
      </c>
      <c r="F46" s="22">
        <f t="shared" si="2"/>
        <v>2.7213314683173451</v>
      </c>
      <c r="G46" s="339">
        <f>G45-G42</f>
        <v>1035995.8</v>
      </c>
      <c r="H46" s="339">
        <f>H45-H42</f>
        <v>1196403</v>
      </c>
      <c r="I46" s="22">
        <f t="shared" si="3"/>
        <v>1.1548338323379304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340">
        <f>D46-D44</f>
        <v>81458.8</v>
      </c>
      <c r="E47" s="340">
        <f>E46-E44</f>
        <v>212841</v>
      </c>
      <c r="F47" s="23">
        <f t="shared" si="2"/>
        <v>2.6128668725785302</v>
      </c>
      <c r="G47" s="340">
        <f>G46-G44</f>
        <v>700995.8</v>
      </c>
      <c r="H47" s="340">
        <f>H46-H44</f>
        <v>796433</v>
      </c>
      <c r="I47" s="23">
        <f t="shared" si="3"/>
        <v>1.1361451808983734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297" t="s">
        <v>23</v>
      </c>
      <c r="E52" s="297" t="s">
        <v>24</v>
      </c>
      <c r="F52" s="297" t="s">
        <v>25</v>
      </c>
      <c r="G52" s="297" t="s">
        <v>23</v>
      </c>
      <c r="H52" s="297" t="s">
        <v>24</v>
      </c>
      <c r="I52" s="297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12</v>
      </c>
      <c r="E53" s="295">
        <v>27</v>
      </c>
      <c r="F53" s="28">
        <f t="shared" ref="F53:F79" si="4">E53/D53</f>
        <v>2.25</v>
      </c>
      <c r="G53" s="66">
        <f>D53+'2018SEP'!G53</f>
        <v>116</v>
      </c>
      <c r="H53" s="66">
        <f>E53+'2018SEP'!H53</f>
        <v>154</v>
      </c>
      <c r="I53" s="28">
        <f t="shared" ref="I53:I79" si="5">H53/G53</f>
        <v>1.3275862068965518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300</v>
      </c>
      <c r="E54" s="295">
        <v>396</v>
      </c>
      <c r="F54" s="28">
        <f t="shared" si="4"/>
        <v>1.32</v>
      </c>
      <c r="G54" s="66">
        <f>D54+'2018SEP'!G54</f>
        <v>3000</v>
      </c>
      <c r="H54" s="66">
        <f>E54+'2018SEP'!H54</f>
        <v>3528</v>
      </c>
      <c r="I54" s="28">
        <f t="shared" si="5"/>
        <v>1.1759999999999999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296">
        <f>SUM(D53:D54)</f>
        <v>312</v>
      </c>
      <c r="E55" s="296">
        <f>SUM(E53:E54)</f>
        <v>423</v>
      </c>
      <c r="F55" s="30">
        <f t="shared" si="4"/>
        <v>1.3557692307692308</v>
      </c>
      <c r="G55" s="296">
        <f>SUM(G53:G54)</f>
        <v>3116</v>
      </c>
      <c r="H55" s="296">
        <f>SUM(H53:H54)</f>
        <v>3682</v>
      </c>
      <c r="I55" s="30">
        <f t="shared" si="5"/>
        <v>1.1816431322207959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40</v>
      </c>
      <c r="E56" s="295">
        <v>69</v>
      </c>
      <c r="F56" s="28">
        <f t="shared" si="4"/>
        <v>1.7250000000000001</v>
      </c>
      <c r="G56" s="66">
        <f>D56+'2018SEP'!G56</f>
        <v>400</v>
      </c>
      <c r="H56" s="66">
        <f>E56+'2018SEP'!H56</f>
        <v>514</v>
      </c>
      <c r="I56" s="28">
        <f t="shared" si="5"/>
        <v>1.2849999999999999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600</v>
      </c>
      <c r="E57" s="295">
        <v>1001</v>
      </c>
      <c r="F57" s="28">
        <f t="shared" si="4"/>
        <v>1.6683333333333332</v>
      </c>
      <c r="G57" s="66">
        <f>D57+'2018SEP'!G57</f>
        <v>6000</v>
      </c>
      <c r="H57" s="66">
        <f>E57+'2018SEP'!H57</f>
        <v>8230</v>
      </c>
      <c r="I57" s="28">
        <f t="shared" si="5"/>
        <v>1.3716666666666666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301">
        <f>SUM(D56:D57)</f>
        <v>640</v>
      </c>
      <c r="E58" s="301">
        <f>SUM(E56:E57)</f>
        <v>1070</v>
      </c>
      <c r="F58" s="28">
        <f t="shared" si="4"/>
        <v>1.671875</v>
      </c>
      <c r="G58" s="301">
        <f>SUM(G56:G57)</f>
        <v>6400</v>
      </c>
      <c r="H58" s="301">
        <f>SUM(H56:H57)</f>
        <v>8744</v>
      </c>
      <c r="I58" s="31">
        <f t="shared" si="5"/>
        <v>1.36625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302">
        <f>SUM(D53,D56)</f>
        <v>52</v>
      </c>
      <c r="E59" s="302">
        <f>SUM(E53,E56)</f>
        <v>96</v>
      </c>
      <c r="F59" s="32">
        <f t="shared" si="4"/>
        <v>1.8461538461538463</v>
      </c>
      <c r="G59" s="302">
        <f>SUM(G53,G56)</f>
        <v>516</v>
      </c>
      <c r="H59" s="302">
        <f>SUM(H53,H56)</f>
        <v>668</v>
      </c>
      <c r="I59" s="32">
        <f t="shared" si="5"/>
        <v>1.2945736434108528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302">
        <f>SUM(D54,D57)</f>
        <v>900</v>
      </c>
      <c r="E60" s="302">
        <f>SUM(E54,E57)</f>
        <v>1397</v>
      </c>
      <c r="F60" s="32">
        <f t="shared" si="4"/>
        <v>1.5522222222222222</v>
      </c>
      <c r="G60" s="302">
        <f>SUM(G54,G57)</f>
        <v>9000</v>
      </c>
      <c r="H60" s="302">
        <f>SUM(H54,H57)</f>
        <v>11758</v>
      </c>
      <c r="I60" s="32">
        <f t="shared" si="5"/>
        <v>1.3064444444444445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303">
        <f>SUM(D59:D60)</f>
        <v>952</v>
      </c>
      <c r="E61" s="303">
        <f>SUM(E59:E60)</f>
        <v>1493</v>
      </c>
      <c r="F61" s="33">
        <f t="shared" si="4"/>
        <v>1.5682773109243697</v>
      </c>
      <c r="G61" s="303">
        <f>SUM(G59:G60)</f>
        <v>9516</v>
      </c>
      <c r="H61" s="303">
        <f>SUM(H59:H60)</f>
        <v>12426</v>
      </c>
      <c r="I61" s="33">
        <f t="shared" si="5"/>
        <v>1.3058007566204288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42</v>
      </c>
      <c r="E62" s="292">
        <f>E71/10</f>
        <v>93.9</v>
      </c>
      <c r="F62" s="28">
        <f t="shared" si="4"/>
        <v>2.2357142857142858</v>
      </c>
      <c r="G62" s="66">
        <f>D62+'2018SEP'!G62</f>
        <v>406</v>
      </c>
      <c r="H62" s="66">
        <f>E62+'2018SEP'!H62</f>
        <v>535.4</v>
      </c>
      <c r="I62" s="28">
        <f t="shared" si="5"/>
        <v>1.3187192118226601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246">
        <v>1044</v>
      </c>
      <c r="E63" s="292">
        <f>E72/10</f>
        <v>1377.4</v>
      </c>
      <c r="F63" s="28">
        <f t="shared" si="4"/>
        <v>1.3193486590038315</v>
      </c>
      <c r="G63" s="248">
        <f>D63+'2018SEP'!G63</f>
        <v>10440</v>
      </c>
      <c r="H63" s="66">
        <f>E63+'2018SEP'!H63</f>
        <v>12271.599999999999</v>
      </c>
      <c r="I63" s="28">
        <f t="shared" si="5"/>
        <v>1.1754406130268198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1086</v>
      </c>
      <c r="E64" s="296">
        <f>SUM(E62:E63)</f>
        <v>1471.3000000000002</v>
      </c>
      <c r="F64" s="30">
        <f t="shared" si="4"/>
        <v>1.3547882136279927</v>
      </c>
      <c r="G64" s="296">
        <f>SUM(G62:G63)</f>
        <v>10846</v>
      </c>
      <c r="H64" s="296">
        <f>SUM(H62:H63)</f>
        <v>12806.999999999998</v>
      </c>
      <c r="I64" s="30">
        <f t="shared" si="5"/>
        <v>1.1808039830352202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64</v>
      </c>
      <c r="E65" s="292">
        <f>E74/10</f>
        <v>85.7</v>
      </c>
      <c r="F65" s="28">
        <f t="shared" si="4"/>
        <v>1.3390625</v>
      </c>
      <c r="G65" s="66">
        <f>D65+'2018SEP'!G65</f>
        <v>640</v>
      </c>
      <c r="H65" s="66">
        <f>E65+'2018SEP'!H65</f>
        <v>665.10000000000014</v>
      </c>
      <c r="I65" s="28">
        <f t="shared" si="5"/>
        <v>1.0392187500000003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960</v>
      </c>
      <c r="E66" s="292">
        <f>E75/10</f>
        <v>1502.2</v>
      </c>
      <c r="F66" s="28">
        <f t="shared" si="4"/>
        <v>1.5647916666666668</v>
      </c>
      <c r="G66" s="66">
        <f>D66+'2018SEP'!G66</f>
        <v>9600</v>
      </c>
      <c r="H66" s="66">
        <f>E66+'2018SEP'!H66</f>
        <v>12686.2</v>
      </c>
      <c r="I66" s="28">
        <f t="shared" si="5"/>
        <v>1.3214791666666668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301">
        <f>SUM(D65:D66)</f>
        <v>1024</v>
      </c>
      <c r="E67" s="301">
        <f>SUM(E65:E66)</f>
        <v>1587.9</v>
      </c>
      <c r="F67" s="31">
        <f t="shared" si="4"/>
        <v>1.5506835937500001</v>
      </c>
      <c r="G67" s="301">
        <f>SUM(G65:G66)</f>
        <v>10240</v>
      </c>
      <c r="H67" s="301">
        <f>SUM(H65:H66)</f>
        <v>13351.300000000001</v>
      </c>
      <c r="I67" s="31">
        <f t="shared" si="5"/>
        <v>1.3038378906250001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302">
        <f>SUM(D62,D65)</f>
        <v>106</v>
      </c>
      <c r="E68" s="302">
        <f>SUM(E62,E65)</f>
        <v>179.60000000000002</v>
      </c>
      <c r="F68" s="32">
        <f t="shared" si="4"/>
        <v>1.6943396226415097</v>
      </c>
      <c r="G68" s="302">
        <f>SUM(G62,G65)</f>
        <v>1046</v>
      </c>
      <c r="H68" s="302">
        <f>SUM(H62,H65)</f>
        <v>1200.5</v>
      </c>
      <c r="I68" s="32">
        <f t="shared" si="5"/>
        <v>1.1477055449330784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302">
        <f>SUM(D63,D66)</f>
        <v>2004</v>
      </c>
      <c r="E69" s="302">
        <f>SUM(E63,E66)</f>
        <v>2879.6000000000004</v>
      </c>
      <c r="F69" s="32">
        <f t="shared" si="4"/>
        <v>1.4369261477045909</v>
      </c>
      <c r="G69" s="302">
        <f>SUM(G63,G66)</f>
        <v>20040</v>
      </c>
      <c r="H69" s="302">
        <f>SUM(H63,H66)</f>
        <v>24957.8</v>
      </c>
      <c r="I69" s="32">
        <f t="shared" si="5"/>
        <v>1.2453992015968063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303">
        <f>SUM(D68:D69)</f>
        <v>2110</v>
      </c>
      <c r="E70" s="303">
        <f>SUM(E68:E69)</f>
        <v>3059.2000000000003</v>
      </c>
      <c r="F70" s="34">
        <f t="shared" si="4"/>
        <v>1.4498578199052135</v>
      </c>
      <c r="G70" s="303">
        <f>SUM(G68:G69)</f>
        <v>21086</v>
      </c>
      <c r="H70" s="303">
        <f>SUM(H68:H69)</f>
        <v>26158.3</v>
      </c>
      <c r="I70" s="34">
        <f t="shared" si="5"/>
        <v>1.2405529735369438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4036.7999999999993</v>
      </c>
      <c r="E71" s="295">
        <v>939</v>
      </c>
      <c r="F71" s="28">
        <f t="shared" si="4"/>
        <v>0.23260998810939362</v>
      </c>
      <c r="G71" s="179">
        <f>D71+'2018SEP'!G71</f>
        <v>21575.8</v>
      </c>
      <c r="H71" s="66">
        <f>E71+'2018SEP'!H71</f>
        <v>5354</v>
      </c>
      <c r="I71" s="28">
        <f t="shared" si="5"/>
        <v>0.24814838847226986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246">
        <v>10440</v>
      </c>
      <c r="E72" s="309">
        <f>E23-E71</f>
        <v>13774</v>
      </c>
      <c r="F72" s="28">
        <f t="shared" si="4"/>
        <v>1.3193486590038315</v>
      </c>
      <c r="G72" s="248">
        <f>D72+'2018SEP'!G72</f>
        <v>104400</v>
      </c>
      <c r="H72" s="66">
        <f>E72+'2018SEP'!H72</f>
        <v>122716</v>
      </c>
      <c r="I72" s="28">
        <f t="shared" si="5"/>
        <v>1.17544061302682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296">
        <f>SUM(D71:D72)</f>
        <v>14476.8</v>
      </c>
      <c r="E73" s="296">
        <f>SUM(E71:E72)</f>
        <v>14713</v>
      </c>
      <c r="F73" s="30">
        <f t="shared" si="4"/>
        <v>1.0163157603890363</v>
      </c>
      <c r="G73" s="296">
        <f>SUM(G71:G72)</f>
        <v>125975.8</v>
      </c>
      <c r="H73" s="296">
        <f>SUM(H71:H72)</f>
        <v>128070</v>
      </c>
      <c r="I73" s="30">
        <f t="shared" si="5"/>
        <v>1.0166238277510442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6400</v>
      </c>
      <c r="E74" s="295">
        <v>857</v>
      </c>
      <c r="F74" s="28">
        <f t="shared" si="4"/>
        <v>0.13390625</v>
      </c>
      <c r="G74" s="179">
        <f>D74+'2018SEP'!G74</f>
        <v>35200</v>
      </c>
      <c r="H74" s="66">
        <f>E74+'2018SEP'!H74</f>
        <v>6651</v>
      </c>
      <c r="I74" s="28">
        <f t="shared" si="5"/>
        <v>0.18894886363636362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246">
        <v>9600</v>
      </c>
      <c r="E75" s="309">
        <f>E25-E74</f>
        <v>15022</v>
      </c>
      <c r="F75" s="28">
        <f t="shared" si="4"/>
        <v>1.5647916666666666</v>
      </c>
      <c r="G75" s="248">
        <f>D75+'2018SEP'!G75</f>
        <v>96000</v>
      </c>
      <c r="H75" s="66">
        <f>E75+'2018SEP'!H75</f>
        <v>126862</v>
      </c>
      <c r="I75" s="28">
        <f t="shared" si="5"/>
        <v>1.3214791666666668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301">
        <f>SUM(D74:D75)</f>
        <v>16000</v>
      </c>
      <c r="E76" s="301">
        <f>SUM(E74:E75)</f>
        <v>15879</v>
      </c>
      <c r="F76" s="31">
        <f t="shared" si="4"/>
        <v>0.99243749999999997</v>
      </c>
      <c r="G76" s="301">
        <f>SUM(G74:G75)</f>
        <v>131200</v>
      </c>
      <c r="H76" s="301">
        <f>SUM(H74:H75)</f>
        <v>133513</v>
      </c>
      <c r="I76" s="31">
        <f t="shared" si="5"/>
        <v>1.0176295731707317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302">
        <f>SUM(D71,D74)</f>
        <v>10436.799999999999</v>
      </c>
      <c r="E77" s="302">
        <f>SUM(E71,E74)</f>
        <v>1796</v>
      </c>
      <c r="F77" s="32">
        <f t="shared" si="4"/>
        <v>0.17208339720987276</v>
      </c>
      <c r="G77" s="302">
        <f>SUM(G71,G74)</f>
        <v>56775.8</v>
      </c>
      <c r="H77" s="302">
        <f>SUM(H71,H74)</f>
        <v>12005</v>
      </c>
      <c r="I77" s="32">
        <f t="shared" si="5"/>
        <v>0.21144572159265038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302">
        <f>SUM(D72,D75)</f>
        <v>20040</v>
      </c>
      <c r="E78" s="302">
        <f>SUM(E72,E75)</f>
        <v>28796</v>
      </c>
      <c r="F78" s="32">
        <f t="shared" si="4"/>
        <v>1.4369261477045909</v>
      </c>
      <c r="G78" s="302">
        <f>SUM(G72,G75)</f>
        <v>200400</v>
      </c>
      <c r="H78" s="302">
        <f>SUM(H72,H75)</f>
        <v>249578</v>
      </c>
      <c r="I78" s="32">
        <f t="shared" si="5"/>
        <v>1.2453992015968063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303">
        <f>SUM(D77:D78)</f>
        <v>30476.799999999999</v>
      </c>
      <c r="E79" s="303">
        <f>SUM(E77:E78)</f>
        <v>30592</v>
      </c>
      <c r="F79" s="34">
        <f t="shared" si="4"/>
        <v>1.003779924401512</v>
      </c>
      <c r="G79" s="303">
        <f>SUM(G77:G78)</f>
        <v>257175.8</v>
      </c>
      <c r="H79" s="303">
        <f>SUM(H77:H78)</f>
        <v>261583</v>
      </c>
      <c r="I79" s="34">
        <f t="shared" si="5"/>
        <v>1.0171369156818022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423</v>
      </c>
      <c r="E87" s="130"/>
      <c r="F87" s="134">
        <f>D87+'2018SEP'!F87</f>
        <v>3682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27</v>
      </c>
      <c r="E88" s="128"/>
      <c r="F88" s="134">
        <f>D88+'2018SEP'!F88</f>
        <v>154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0</v>
      </c>
      <c r="E89" s="128">
        <f>D89/D87</f>
        <v>0</v>
      </c>
      <c r="F89" s="134">
        <f>D89+'2018SEP'!F89</f>
        <v>12</v>
      </c>
      <c r="G89" s="128">
        <f>F89/F87</f>
        <v>3.2590983161325366E-3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5</v>
      </c>
      <c r="E90" s="128">
        <f>D90/D92</f>
        <v>2.4875621890547265E-2</v>
      </c>
      <c r="F90" s="134">
        <f>D90+'2018SEP'!F90</f>
        <v>185</v>
      </c>
      <c r="G90" s="128">
        <f>F90/F92</f>
        <v>8.8643986583612847E-2</v>
      </c>
      <c r="H90" s="128"/>
    </row>
    <row r="91" spans="1:13" ht="15" customHeight="1">
      <c r="A91" s="774"/>
      <c r="B91" s="775" t="s">
        <v>202</v>
      </c>
      <c r="C91" s="775"/>
      <c r="D91" s="131">
        <v>223</v>
      </c>
      <c r="E91" s="128">
        <f>D91/D92</f>
        <v>1.1094527363184079</v>
      </c>
      <c r="F91" s="134">
        <f>D91+'2018SEP'!F91</f>
        <v>2069</v>
      </c>
      <c r="G91" s="128">
        <f>F91/F92</f>
        <v>0.99137517968375655</v>
      </c>
      <c r="H91" s="128"/>
    </row>
    <row r="92" spans="1:13" ht="15" customHeight="1">
      <c r="A92" s="774"/>
      <c r="B92" s="775" t="s">
        <v>203</v>
      </c>
      <c r="C92" s="775"/>
      <c r="D92" s="131">
        <v>201</v>
      </c>
      <c r="E92" s="130"/>
      <c r="F92" s="134">
        <f>D92+'2018SEP'!F92</f>
        <v>2087</v>
      </c>
      <c r="G92" s="130"/>
      <c r="H92" s="128"/>
    </row>
    <row r="93" spans="1:13">
      <c r="C93" s="126" t="s">
        <v>210</v>
      </c>
      <c r="D93" s="132">
        <v>624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297" t="s">
        <v>23</v>
      </c>
      <c r="E97" s="297" t="s">
        <v>24</v>
      </c>
      <c r="F97" s="297" t="s">
        <v>25</v>
      </c>
      <c r="G97" s="297" t="s">
        <v>23</v>
      </c>
      <c r="H97" s="297" t="s">
        <v>24</v>
      </c>
      <c r="I97" s="297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295">
        <v>0</v>
      </c>
      <c r="F98" s="37" t="e">
        <f>E98/D98</f>
        <v>#DIV/0!</v>
      </c>
      <c r="G98" s="66">
        <f>D98+'2018SEP'!G98</f>
        <v>0</v>
      </c>
      <c r="H98" s="66">
        <f>E98+'2018SEP'!H98</f>
        <v>1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41</v>
      </c>
      <c r="E99" s="295">
        <v>39</v>
      </c>
      <c r="F99" s="28">
        <f t="shared" ref="F99:F115" si="6">E99/D99</f>
        <v>0.95121951219512191</v>
      </c>
      <c r="G99" s="66">
        <f>D99+'2018SEP'!G99</f>
        <v>410</v>
      </c>
      <c r="H99" s="66">
        <f>E99+'2018SEP'!H99</f>
        <v>402</v>
      </c>
      <c r="I99" s="28">
        <f t="shared" ref="I99:I115" si="7">H99/G99</f>
        <v>0.98048780487804876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296">
        <f>SUM(D98:D99)</f>
        <v>41</v>
      </c>
      <c r="E100" s="296">
        <f>SUM(E98:E99)</f>
        <v>39</v>
      </c>
      <c r="F100" s="30">
        <f t="shared" si="6"/>
        <v>0.95121951219512191</v>
      </c>
      <c r="G100" s="296">
        <f>SUM(G98:G99)</f>
        <v>410</v>
      </c>
      <c r="H100" s="296">
        <f>SUM(H98:H99)</f>
        <v>403</v>
      </c>
      <c r="I100" s="30">
        <f t="shared" si="7"/>
        <v>0.98292682926829267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295">
        <v>0</v>
      </c>
      <c r="F101" s="28" t="e">
        <f t="shared" si="6"/>
        <v>#DIV/0!</v>
      </c>
      <c r="G101" s="66">
        <f>D101+'2018SEP'!G101</f>
        <v>0</v>
      </c>
      <c r="H101" s="66">
        <f>E101+'2018SEP'!H101</f>
        <v>0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11</v>
      </c>
      <c r="E102" s="295">
        <v>9</v>
      </c>
      <c r="F102" s="28">
        <f t="shared" si="6"/>
        <v>0.81818181818181823</v>
      </c>
      <c r="G102" s="66">
        <f>D102+'2018SEP'!G102</f>
        <v>110</v>
      </c>
      <c r="H102" s="66">
        <f>E102+'2018SEP'!H102</f>
        <v>96</v>
      </c>
      <c r="I102" s="28">
        <f t="shared" si="7"/>
        <v>0.87272727272727268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296">
        <f>SUM(D101:D102)</f>
        <v>11</v>
      </c>
      <c r="E103" s="296">
        <f>SUM(E101:E102)</f>
        <v>9</v>
      </c>
      <c r="F103" s="30">
        <f t="shared" si="6"/>
        <v>0.81818181818181823</v>
      </c>
      <c r="G103" s="296">
        <f>SUM(G101:G102)</f>
        <v>110</v>
      </c>
      <c r="H103" s="296">
        <f>SUM(H101:H102)</f>
        <v>96</v>
      </c>
      <c r="I103" s="30">
        <f t="shared" si="7"/>
        <v>0.87272727272727268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0</v>
      </c>
      <c r="E104" s="295">
        <v>3</v>
      </c>
      <c r="F104" s="28" t="e">
        <f t="shared" si="6"/>
        <v>#DIV/0!</v>
      </c>
      <c r="G104" s="66">
        <f>D104+'2018SEP'!G104</f>
        <v>0</v>
      </c>
      <c r="H104" s="66">
        <f>E104+'2018SEP'!H104</f>
        <v>12</v>
      </c>
      <c r="I104" s="28" t="e">
        <f t="shared" si="7"/>
        <v>#DIV/0!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63</v>
      </c>
      <c r="E105" s="295">
        <v>65</v>
      </c>
      <c r="F105" s="28">
        <f t="shared" si="6"/>
        <v>1.0317460317460319</v>
      </c>
      <c r="G105" s="66">
        <f>D105+'2018SEP'!G105</f>
        <v>630</v>
      </c>
      <c r="H105" s="66">
        <f>E105+'2018SEP'!H105</f>
        <v>603</v>
      </c>
      <c r="I105" s="28">
        <f t="shared" si="7"/>
        <v>0.95714285714285718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296">
        <f>SUM(D104:D105)</f>
        <v>63</v>
      </c>
      <c r="E106" s="296">
        <f>SUM(E104:E105)</f>
        <v>68</v>
      </c>
      <c r="F106" s="30">
        <f t="shared" si="6"/>
        <v>1.0793650793650793</v>
      </c>
      <c r="G106" s="296">
        <f>SUM(G104:G105)</f>
        <v>630</v>
      </c>
      <c r="H106" s="296">
        <f>SUM(H104:H105)</f>
        <v>615</v>
      </c>
      <c r="I106" s="30">
        <f t="shared" si="7"/>
        <v>0.97619047619047616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2</v>
      </c>
      <c r="E107" s="295">
        <v>2</v>
      </c>
      <c r="F107" s="28">
        <f>E107/D107</f>
        <v>1</v>
      </c>
      <c r="G107" s="66">
        <f>D107+'2018SEP'!G107</f>
        <v>18</v>
      </c>
      <c r="H107" s="66">
        <f>E107+'2018SEP'!H107</f>
        <v>43</v>
      </c>
      <c r="I107" s="28">
        <f>H107/G107</f>
        <v>2.3888888888888888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116</v>
      </c>
      <c r="E108" s="295">
        <v>130</v>
      </c>
      <c r="F108" s="28">
        <f>E108/D108</f>
        <v>1.1206896551724137</v>
      </c>
      <c r="G108" s="66">
        <f>D108+'2018SEP'!G108</f>
        <v>1072</v>
      </c>
      <c r="H108" s="66">
        <f>E108+'2018SEP'!H108</f>
        <v>1076</v>
      </c>
      <c r="I108" s="28">
        <f t="shared" si="7"/>
        <v>1.0037313432835822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296">
        <f>SUM(D107:D108)</f>
        <v>118</v>
      </c>
      <c r="E109" s="296">
        <f>SUM(E107:E108)</f>
        <v>132</v>
      </c>
      <c r="F109" s="30">
        <f t="shared" si="6"/>
        <v>1.1186440677966101</v>
      </c>
      <c r="G109" s="296">
        <f>SUM(G107:G108)</f>
        <v>1090</v>
      </c>
      <c r="H109" s="296">
        <f>SUM(H107:H108)</f>
        <v>1119</v>
      </c>
      <c r="I109" s="30">
        <f t="shared" si="7"/>
        <v>1.026605504587156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8</v>
      </c>
      <c r="E110" s="295">
        <v>11</v>
      </c>
      <c r="F110" s="30">
        <f>E110/D110</f>
        <v>1.375</v>
      </c>
      <c r="G110" s="66">
        <f>D110+'2018SEP'!G110</f>
        <v>80</v>
      </c>
      <c r="H110" s="66">
        <f>E110+'2018SEP'!H110</f>
        <v>57</v>
      </c>
      <c r="I110" s="30">
        <f>H110/G110</f>
        <v>0.71250000000000002</v>
      </c>
      <c r="J110" s="298"/>
      <c r="K110" s="299"/>
      <c r="L110" s="299"/>
      <c r="M110" s="300"/>
    </row>
    <row r="111" spans="1:13">
      <c r="A111" s="573"/>
      <c r="B111" s="777"/>
      <c r="C111" s="27" t="s">
        <v>70</v>
      </c>
      <c r="D111" s="65">
        <v>72</v>
      </c>
      <c r="E111" s="295">
        <v>48</v>
      </c>
      <c r="F111" s="30">
        <f t="shared" ref="F111:F112" si="8">E111/D111</f>
        <v>0.66666666666666663</v>
      </c>
      <c r="G111" s="66">
        <f>D111+'2018SEP'!G111</f>
        <v>360</v>
      </c>
      <c r="H111" s="66">
        <f>E111+'2018SEP'!H111</f>
        <v>328</v>
      </c>
      <c r="I111" s="30">
        <f t="shared" ref="I111:I112" si="9">H111/G111</f>
        <v>0.91111111111111109</v>
      </c>
      <c r="J111" s="298"/>
      <c r="K111" s="299"/>
      <c r="L111" s="299"/>
      <c r="M111" s="300"/>
    </row>
    <row r="112" spans="1:13">
      <c r="A112" s="573"/>
      <c r="B112" s="778"/>
      <c r="C112" s="38" t="s">
        <v>166</v>
      </c>
      <c r="D112" s="296">
        <f>SUM(D110:D111)</f>
        <v>80</v>
      </c>
      <c r="E112" s="296">
        <f>SUM(E110:E111)</f>
        <v>59</v>
      </c>
      <c r="F112" s="30">
        <f t="shared" si="8"/>
        <v>0.73750000000000004</v>
      </c>
      <c r="G112" s="296">
        <f>SUM(G110:G111)</f>
        <v>440</v>
      </c>
      <c r="H112" s="296">
        <f>SUM(H110:H111)</f>
        <v>385</v>
      </c>
      <c r="I112" s="30">
        <f t="shared" si="9"/>
        <v>0.875</v>
      </c>
      <c r="J112" s="298"/>
      <c r="K112" s="299"/>
      <c r="L112" s="299"/>
      <c r="M112" s="300"/>
    </row>
    <row r="113" spans="1:13">
      <c r="A113" s="573"/>
      <c r="B113" s="603" t="s">
        <v>46</v>
      </c>
      <c r="C113" s="39" t="s">
        <v>69</v>
      </c>
      <c r="D113" s="301">
        <f>SUM(D98,D101,D104,D107,D110)</f>
        <v>10</v>
      </c>
      <c r="E113" s="301">
        <f>SUM(E98,E101,E104,E107,E110)</f>
        <v>16</v>
      </c>
      <c r="F113" s="31">
        <f t="shared" si="6"/>
        <v>1.6</v>
      </c>
      <c r="G113" s="301">
        <f>SUM(G98,G101,G104,G107,G110)</f>
        <v>98</v>
      </c>
      <c r="H113" s="301">
        <f>SUM(H98,H101,H104,H107,H110)</f>
        <v>113</v>
      </c>
      <c r="I113" s="31">
        <f t="shared" si="7"/>
        <v>1.153061224489796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301">
        <f>SUM(D99,D102,D105,D108,D111)</f>
        <v>303</v>
      </c>
      <c r="E114" s="301">
        <f>SUM(E99,E102,E105,E108,E111)</f>
        <v>291</v>
      </c>
      <c r="F114" s="31">
        <f t="shared" si="6"/>
        <v>0.96039603960396036</v>
      </c>
      <c r="G114" s="301">
        <f>SUM(G99,G102,G105,G108,G111)</f>
        <v>2582</v>
      </c>
      <c r="H114" s="301">
        <f>SUM(H99,H102,H105,H108,H111)</f>
        <v>2505</v>
      </c>
      <c r="I114" s="31">
        <f t="shared" si="7"/>
        <v>0.97017815646785432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304">
        <f>SUM(D113:D114)</f>
        <v>313</v>
      </c>
      <c r="E115" s="304">
        <f>SUM(E113:E114)</f>
        <v>307</v>
      </c>
      <c r="F115" s="41">
        <f t="shared" si="6"/>
        <v>0.98083067092651754</v>
      </c>
      <c r="G115" s="304">
        <f>SUM(G113:G114)</f>
        <v>2680</v>
      </c>
      <c r="H115" s="304">
        <f>SUM(H113:H114)</f>
        <v>2618</v>
      </c>
      <c r="I115" s="41">
        <f t="shared" si="7"/>
        <v>0.97686567164179106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2</v>
      </c>
      <c r="E116" s="64">
        <v>4</v>
      </c>
      <c r="F116" s="43">
        <f>E116/D116</f>
        <v>2</v>
      </c>
      <c r="G116" s="70">
        <f>D116+'2018SEP'!G116</f>
        <v>18</v>
      </c>
      <c r="H116" s="70">
        <f>E116+'2018SEP'!H116</f>
        <v>22</v>
      </c>
      <c r="I116" s="43">
        <f>H116/G116</f>
        <v>1.2222222222222223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64</v>
      </c>
      <c r="E117" s="295">
        <v>64</v>
      </c>
      <c r="F117" s="28">
        <f t="shared" ref="F117:F126" si="10">E117/D117</f>
        <v>1</v>
      </c>
      <c r="G117" s="71">
        <f>D117+'2018SEP'!G117</f>
        <v>552</v>
      </c>
      <c r="H117" s="71">
        <f>E117+'2018SEP'!H117</f>
        <v>576</v>
      </c>
      <c r="I117" s="28">
        <f t="shared" ref="I117:I126" si="11">H117/G117</f>
        <v>1.0434782608695652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296">
        <f>SUM(D116:D117)</f>
        <v>66</v>
      </c>
      <c r="E118" s="296">
        <f>SUM(E116:E117)</f>
        <v>68</v>
      </c>
      <c r="F118" s="30">
        <f t="shared" si="10"/>
        <v>1.0303030303030303</v>
      </c>
      <c r="G118" s="296">
        <f>SUM(G116:G117)</f>
        <v>570</v>
      </c>
      <c r="H118" s="296">
        <f>SUM(H116:H117)</f>
        <v>598</v>
      </c>
      <c r="I118" s="30">
        <f t="shared" si="11"/>
        <v>1.0491228070175438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295">
        <v>2</v>
      </c>
      <c r="F119" s="28" t="e">
        <f t="shared" si="10"/>
        <v>#DIV/0!</v>
      </c>
      <c r="G119" s="66">
        <f>D119+'2018SEP'!G119</f>
        <v>0</v>
      </c>
      <c r="H119" s="66">
        <f>E119+'2018SEP'!H119</f>
        <v>7</v>
      </c>
      <c r="I119" s="28" t="e">
        <f t="shared" si="11"/>
        <v>#DIV/0!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37</v>
      </c>
      <c r="E120" s="295">
        <v>46</v>
      </c>
      <c r="F120" s="28">
        <f t="shared" si="10"/>
        <v>1.2432432432432432</v>
      </c>
      <c r="G120" s="66">
        <f>D120+'2018SEP'!G120</f>
        <v>370</v>
      </c>
      <c r="H120" s="66">
        <f>E120+'2018SEP'!H120</f>
        <v>459</v>
      </c>
      <c r="I120" s="28">
        <f t="shared" si="11"/>
        <v>1.2405405405405405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296">
        <f>SUM(D119:D120)</f>
        <v>37</v>
      </c>
      <c r="E121" s="296">
        <f>SUM(E119:E120)</f>
        <v>48</v>
      </c>
      <c r="F121" s="30">
        <f t="shared" si="10"/>
        <v>1.2972972972972974</v>
      </c>
      <c r="G121" s="296">
        <f>SUM(G119:G120)</f>
        <v>370</v>
      </c>
      <c r="H121" s="296">
        <f>SUM(H119:H120)</f>
        <v>466</v>
      </c>
      <c r="I121" s="30">
        <f t="shared" si="11"/>
        <v>1.2594594594594595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301">
        <f>SUM(D116,D119)</f>
        <v>2</v>
      </c>
      <c r="E122" s="301">
        <f>SUM(E116,E119)</f>
        <v>6</v>
      </c>
      <c r="F122" s="30">
        <f t="shared" si="10"/>
        <v>3</v>
      </c>
      <c r="G122" s="301">
        <f>SUM(G116,G119)</f>
        <v>18</v>
      </c>
      <c r="H122" s="301">
        <f>SUM(H116,H119)</f>
        <v>29</v>
      </c>
      <c r="I122" s="30">
        <f t="shared" si="11"/>
        <v>1.6111111111111112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301">
        <f>SUM(D117,D120)</f>
        <v>101</v>
      </c>
      <c r="E123" s="301">
        <f>SUM(E117,E120)</f>
        <v>110</v>
      </c>
      <c r="F123" s="30">
        <f t="shared" si="10"/>
        <v>1.0891089108910892</v>
      </c>
      <c r="G123" s="301">
        <f>SUM(G117,G120)</f>
        <v>922</v>
      </c>
      <c r="H123" s="301">
        <f>SUM(H117,H120)</f>
        <v>1035</v>
      </c>
      <c r="I123" s="30">
        <f t="shared" si="11"/>
        <v>1.1225596529284165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304">
        <f>SUM(D122:D123)</f>
        <v>103</v>
      </c>
      <c r="E124" s="304">
        <f>SUM(E122:E123)</f>
        <v>116</v>
      </c>
      <c r="F124" s="41">
        <f t="shared" si="10"/>
        <v>1.1262135922330097</v>
      </c>
      <c r="G124" s="304">
        <f>SUM(G122:G123)</f>
        <v>940</v>
      </c>
      <c r="H124" s="304">
        <f>SUM(H122:H123)</f>
        <v>1064</v>
      </c>
      <c r="I124" s="41">
        <f t="shared" si="11"/>
        <v>1.1319148936170214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306">
        <f>SUM(D113,D122)</f>
        <v>12</v>
      </c>
      <c r="E125" s="306">
        <f>SUM(E113,E122)</f>
        <v>22</v>
      </c>
      <c r="F125" s="45">
        <f t="shared" si="10"/>
        <v>1.8333333333333333</v>
      </c>
      <c r="G125" s="46">
        <f>SUM(G113,G122)</f>
        <v>116</v>
      </c>
      <c r="H125" s="46">
        <f>SUM(H113,H122)</f>
        <v>142</v>
      </c>
      <c r="I125" s="45">
        <f t="shared" si="11"/>
        <v>1.2241379310344827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302">
        <f>SUM(D114,D123)</f>
        <v>404</v>
      </c>
      <c r="E126" s="302">
        <f>SUM(E114,E123)</f>
        <v>401</v>
      </c>
      <c r="F126" s="32">
        <f t="shared" si="10"/>
        <v>0.99257425742574257</v>
      </c>
      <c r="G126" s="302">
        <f>SUM(G114,G123)</f>
        <v>3504</v>
      </c>
      <c r="H126" s="302">
        <f>SUM(H114,H123)</f>
        <v>3540</v>
      </c>
      <c r="I126" s="32">
        <f t="shared" si="11"/>
        <v>1.0102739726027397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302">
        <f>SUM(D125:D126)</f>
        <v>416</v>
      </c>
      <c r="E127" s="302">
        <f>SUM(E125:E126)</f>
        <v>423</v>
      </c>
      <c r="F127" s="49">
        <f>E127/D127</f>
        <v>1.0168269230769231</v>
      </c>
      <c r="G127" s="306">
        <f>SUM(G125:G126)</f>
        <v>3620</v>
      </c>
      <c r="H127" s="306">
        <f>SUM(H125:H126)</f>
        <v>3682</v>
      </c>
      <c r="I127" s="49">
        <f>H127/G127</f>
        <v>1.0171270718232044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226</v>
      </c>
      <c r="J134" s="631"/>
      <c r="K134" s="632"/>
      <c r="L134" s="634"/>
    </row>
    <row r="135" spans="1:12">
      <c r="A135" s="628" t="s">
        <v>91</v>
      </c>
      <c r="B135" s="629"/>
      <c r="C135" s="649">
        <v>113</v>
      </c>
      <c r="D135" s="650"/>
      <c r="E135" s="649">
        <v>5</v>
      </c>
      <c r="F135" s="650"/>
      <c r="G135" s="649">
        <v>0</v>
      </c>
      <c r="H135" s="650"/>
      <c r="I135" s="649">
        <v>12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305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305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305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305" t="s">
        <v>99</v>
      </c>
      <c r="C140" s="656">
        <v>108</v>
      </c>
      <c r="D140" s="656"/>
      <c r="E140" s="656">
        <v>69</v>
      </c>
      <c r="F140" s="656"/>
      <c r="G140" s="656">
        <v>0</v>
      </c>
      <c r="H140" s="656"/>
      <c r="I140" s="770">
        <v>14018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146</v>
      </c>
      <c r="D145" s="663"/>
      <c r="E145" s="664"/>
      <c r="F145" s="662" t="s">
        <v>149</v>
      </c>
      <c r="G145" s="663"/>
      <c r="H145" s="663"/>
      <c r="I145" s="664"/>
      <c r="J145" s="663" t="s">
        <v>150</v>
      </c>
      <c r="K145" s="663"/>
      <c r="L145" s="663"/>
      <c r="M145" s="665"/>
    </row>
    <row r="146" spans="1:13" ht="47.25" customHeight="1">
      <c r="A146" s="716" t="s">
        <v>103</v>
      </c>
      <c r="B146" s="717"/>
      <c r="C146" s="718" t="s">
        <v>255</v>
      </c>
      <c r="D146" s="723"/>
      <c r="E146" s="724"/>
      <c r="F146" s="744" t="s">
        <v>254</v>
      </c>
      <c r="G146" s="748"/>
      <c r="H146" s="748"/>
      <c r="I146" s="749"/>
      <c r="J146" s="745" t="s">
        <v>256</v>
      </c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151</v>
      </c>
      <c r="D148" s="719"/>
      <c r="E148" s="720"/>
      <c r="F148" s="744" t="s">
        <v>151</v>
      </c>
      <c r="G148" s="745"/>
      <c r="H148" s="745"/>
      <c r="I148" s="746"/>
      <c r="J148" s="744" t="s">
        <v>151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08" t="s">
        <v>109</v>
      </c>
      <c r="C154" s="308" t="s">
        <v>110</v>
      </c>
      <c r="D154" s="308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>
        <f>E44</f>
        <v>100000</v>
      </c>
      <c r="B155" s="291">
        <f>'2018SEP'!H155</f>
        <v>27632</v>
      </c>
      <c r="C155" s="63">
        <f>E45-E44</f>
        <v>227036</v>
      </c>
      <c r="D155" s="73">
        <f>84421+173269+80000</f>
        <v>337690</v>
      </c>
      <c r="E155" s="681" t="s">
        <v>114</v>
      </c>
      <c r="F155" s="681"/>
      <c r="G155" s="681"/>
      <c r="H155" s="72">
        <f>C155+A155+B155-D155</f>
        <v>16978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19471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309"/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18615</v>
      </c>
      <c r="H165" s="790"/>
      <c r="I165" s="791"/>
      <c r="J165" s="791"/>
      <c r="K165" s="792"/>
    </row>
    <row r="166" spans="1:11" ht="14">
      <c r="A166" s="307" t="s">
        <v>126</v>
      </c>
      <c r="B166" s="789" t="s">
        <v>127</v>
      </c>
      <c r="C166" s="789"/>
      <c r="D166" s="789"/>
      <c r="E166" s="789"/>
      <c r="F166" s="789"/>
      <c r="G166" s="295">
        <v>1902</v>
      </c>
      <c r="H166" s="790"/>
      <c r="I166" s="791"/>
      <c r="J166" s="791"/>
      <c r="K166" s="792"/>
    </row>
    <row r="167" spans="1:11" ht="14">
      <c r="A167" s="307" t="s">
        <v>128</v>
      </c>
      <c r="B167" s="789" t="s">
        <v>129</v>
      </c>
      <c r="C167" s="789"/>
      <c r="D167" s="789"/>
      <c r="E167" s="789"/>
      <c r="F167" s="789"/>
      <c r="G167" s="309"/>
      <c r="H167" s="790"/>
      <c r="I167" s="791"/>
      <c r="J167" s="791"/>
      <c r="K167" s="792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G1" xr:uid="{F8018C15-4716-4CCA-9853-57E83B5A70A8}">
      <formula1>"Jan, Feb, March, April, May, June, July, Aug, Sep, Oct, Nov, Dec"</formula1>
    </dataValidation>
    <dataValidation type="list" allowBlank="1" showInputMessage="1" showErrorMessage="1" sqref="L3" xr:uid="{171278A7-2B58-45A3-915E-E0BA77759407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DAC97-D363-4B7F-B0E4-E63E94D6CAE3}">
  <sheetPr codeName="Sheet24">
    <pageSetUpPr fitToPage="1"/>
  </sheetPr>
  <dimension ref="A1:N167"/>
  <sheetViews>
    <sheetView topLeftCell="A115" zoomScale="90" zoomScaleNormal="90" zoomScaleSheetLayoutView="85" workbookViewId="0">
      <selection activeCell="C135" sqref="C135:D13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152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/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>
        <v>43452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312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321" t="s">
        <v>176</v>
      </c>
      <c r="C10" s="61">
        <v>2</v>
      </c>
      <c r="D10" s="326">
        <v>1</v>
      </c>
      <c r="E10" s="538" t="s">
        <v>250</v>
      </c>
      <c r="F10" s="538"/>
      <c r="G10" s="538"/>
      <c r="H10" s="538"/>
      <c r="I10" s="539"/>
    </row>
    <row r="11" spans="1:13">
      <c r="A11" s="537"/>
      <c r="B11" s="321" t="s">
        <v>177</v>
      </c>
      <c r="C11" s="61">
        <v>2</v>
      </c>
      <c r="D11" s="326">
        <v>2</v>
      </c>
      <c r="E11" s="805" t="s">
        <v>183</v>
      </c>
      <c r="F11" s="541"/>
      <c r="G11" s="541"/>
      <c r="H11" s="541"/>
      <c r="I11" s="542"/>
    </row>
    <row r="12" spans="1:13">
      <c r="A12" s="537"/>
      <c r="B12" s="321" t="s">
        <v>179</v>
      </c>
      <c r="C12" s="61">
        <v>2</v>
      </c>
      <c r="D12" s="326">
        <v>4</v>
      </c>
      <c r="E12" s="808" t="s">
        <v>257</v>
      </c>
      <c r="F12" s="809"/>
      <c r="G12" s="809"/>
      <c r="H12" s="809"/>
      <c r="I12" s="810"/>
    </row>
    <row r="13" spans="1:13">
      <c r="A13" s="537"/>
      <c r="B13" s="321" t="s">
        <v>180</v>
      </c>
      <c r="C13" s="61">
        <v>3</v>
      </c>
      <c r="D13" s="326">
        <v>1</v>
      </c>
      <c r="E13" s="538" t="s">
        <v>258</v>
      </c>
      <c r="F13" s="538"/>
      <c r="G13" s="538"/>
      <c r="H13" s="538"/>
      <c r="I13" s="539"/>
    </row>
    <row r="14" spans="1:13">
      <c r="A14" s="537"/>
      <c r="B14" s="321" t="s">
        <v>12</v>
      </c>
      <c r="C14" s="61">
        <v>0</v>
      </c>
      <c r="D14" s="326">
        <v>0</v>
      </c>
      <c r="E14" s="540"/>
      <c r="F14" s="541"/>
      <c r="G14" s="541"/>
      <c r="H14" s="541"/>
      <c r="I14" s="542"/>
    </row>
    <row r="15" spans="1:13">
      <c r="A15" s="537"/>
      <c r="B15" s="321" t="s">
        <v>13</v>
      </c>
      <c r="C15" s="61">
        <v>2</v>
      </c>
      <c r="D15" s="326">
        <v>2</v>
      </c>
      <c r="E15" s="768" t="s">
        <v>251</v>
      </c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10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19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324" t="s">
        <v>23</v>
      </c>
      <c r="E21" s="324" t="s">
        <v>24</v>
      </c>
      <c r="F21" s="324" t="s">
        <v>25</v>
      </c>
      <c r="G21" s="324" t="s">
        <v>23</v>
      </c>
      <c r="H21" s="324" t="s">
        <v>24</v>
      </c>
      <c r="I21" s="324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328">
        <v>14894.4</v>
      </c>
      <c r="E23" s="329">
        <v>15235</v>
      </c>
      <c r="F23" s="14">
        <f t="shared" ref="F23:F28" si="0">E23/D23</f>
        <v>1.0228676549575679</v>
      </c>
      <c r="G23" s="332">
        <f>D23+'2018OCT'!G23</f>
        <v>140870.19999999998</v>
      </c>
      <c r="H23" s="332">
        <f>E23+'2018OCT'!H23</f>
        <v>143305</v>
      </c>
      <c r="I23" s="14">
        <f t="shared" ref="I23:I28" si="1">H23/G23</f>
        <v>1.0172839961894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330">
        <f>SUM(D23:D23)</f>
        <v>14894.4</v>
      </c>
      <c r="E24" s="330">
        <f>SUM(E23:E23)</f>
        <v>15235</v>
      </c>
      <c r="F24" s="16">
        <f t="shared" si="0"/>
        <v>1.0228676549575679</v>
      </c>
      <c r="G24" s="330">
        <f>SUM(G23:G23)</f>
        <v>140870.19999999998</v>
      </c>
      <c r="H24" s="330">
        <f>SUM(H23:H23)</f>
        <v>143305</v>
      </c>
      <c r="I24" s="16">
        <f t="shared" si="1"/>
        <v>1.0172839961894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328">
        <v>16640</v>
      </c>
      <c r="E25" s="329">
        <v>16575</v>
      </c>
      <c r="F25" s="14">
        <f t="shared" si="0"/>
        <v>0.99609375</v>
      </c>
      <c r="G25" s="332">
        <f>D25+'2018OCT'!G25</f>
        <v>147840</v>
      </c>
      <c r="H25" s="332">
        <f>E25+'2018OCT'!H25</f>
        <v>150088</v>
      </c>
      <c r="I25" s="14">
        <f t="shared" si="1"/>
        <v>1.0152056277056276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330">
        <f>SUM(D25:D26)</f>
        <v>16640</v>
      </c>
      <c r="E27" s="330">
        <f>SUM(E25:E26)</f>
        <v>16575</v>
      </c>
      <c r="F27" s="16">
        <f t="shared" si="0"/>
        <v>0.99609375</v>
      </c>
      <c r="G27" s="330">
        <f>SUM(G25:G26)</f>
        <v>147840</v>
      </c>
      <c r="H27" s="330">
        <f>SUM(H25:H26)</f>
        <v>150088</v>
      </c>
      <c r="I27" s="16">
        <f t="shared" si="1"/>
        <v>1.0152056277056276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331">
        <f>SUM(D24,D27)</f>
        <v>31534.400000000001</v>
      </c>
      <c r="E28" s="331">
        <f>SUM(E24,E27)</f>
        <v>31810</v>
      </c>
      <c r="F28" s="17">
        <f t="shared" si="0"/>
        <v>1.0087396620833122</v>
      </c>
      <c r="G28" s="331">
        <f>SUM(G24,G27)</f>
        <v>288710.19999999995</v>
      </c>
      <c r="H28" s="331">
        <f>SUM(H24,H27)</f>
        <v>293393</v>
      </c>
      <c r="I28" s="17">
        <f t="shared" si="1"/>
        <v>1.0162197248313363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35</v>
      </c>
      <c r="C30" s="128" t="s">
        <v>29</v>
      </c>
      <c r="D30" s="328">
        <v>1000</v>
      </c>
      <c r="E30" s="329">
        <v>8736</v>
      </c>
      <c r="F30" s="14">
        <f>E30/D30</f>
        <v>8.7360000000000007</v>
      </c>
      <c r="G30" s="332">
        <f>D30+'2018OCT'!G30</f>
        <v>11000</v>
      </c>
      <c r="H30" s="332">
        <f>E30+'2018OCT'!H30</f>
        <v>39514</v>
      </c>
      <c r="I30" s="14">
        <f>H30/G30</f>
        <v>3.5921818181818184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328">
        <v>0</v>
      </c>
      <c r="E31" s="329">
        <v>742</v>
      </c>
      <c r="F31" s="14" t="e">
        <f t="shared" ref="F31:F47" si="2">E31/D31</f>
        <v>#DIV/0!</v>
      </c>
      <c r="G31" s="332">
        <f>D31+'2018OCT'!G31</f>
        <v>0</v>
      </c>
      <c r="H31" s="332">
        <f>E31+'2018OCT'!H31</f>
        <v>44623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330">
        <f>SUM(D30:D31)</f>
        <v>1000</v>
      </c>
      <c r="E32" s="330">
        <f>SUM(E30:E31)</f>
        <v>9478</v>
      </c>
      <c r="F32" s="14">
        <f t="shared" si="2"/>
        <v>9.4779999999999998</v>
      </c>
      <c r="G32" s="330">
        <f>SUM(G30:G31)</f>
        <v>11000</v>
      </c>
      <c r="H32" s="330">
        <f>SUM(H30:H31)</f>
        <v>84137</v>
      </c>
      <c r="I32" s="14">
        <f t="shared" si="3"/>
        <v>7.6488181818181822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328">
        <v>650</v>
      </c>
      <c r="E33" s="329">
        <v>452</v>
      </c>
      <c r="F33" s="14">
        <f t="shared" si="2"/>
        <v>0.69538461538461538</v>
      </c>
      <c r="G33" s="332">
        <f>D33+'2018OCT'!G33</f>
        <v>7150</v>
      </c>
      <c r="H33" s="332">
        <f>E33+'2018OCT'!H33</f>
        <v>6752</v>
      </c>
      <c r="I33" s="14">
        <f t="shared" si="3"/>
        <v>0.94433566433566429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334">
        <f>SUM(D32,D33)</f>
        <v>1650</v>
      </c>
      <c r="E34" s="334">
        <f>SUM(E32,E33)</f>
        <v>9930</v>
      </c>
      <c r="F34" s="14">
        <f t="shared" si="2"/>
        <v>6.0181818181818185</v>
      </c>
      <c r="G34" s="334">
        <f>SUM(G32,G33)</f>
        <v>18150</v>
      </c>
      <c r="H34" s="334">
        <f>SUM(H32,H33)</f>
        <v>90889</v>
      </c>
      <c r="I34" s="14">
        <f t="shared" si="3"/>
        <v>5.0076584022038571</v>
      </c>
      <c r="J34" s="534"/>
      <c r="K34" s="534"/>
      <c r="L34" s="534"/>
      <c r="M34" s="543"/>
    </row>
    <row r="35" spans="1:13" ht="24.75" customHeight="1">
      <c r="A35" s="573" t="s">
        <v>37</v>
      </c>
      <c r="B35" s="555" t="s">
        <v>38</v>
      </c>
      <c r="C35" s="1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D35+'2018OCT'!G35</f>
        <v>398552</v>
      </c>
      <c r="H35" s="332">
        <f>E35+'2018OCT'!H35</f>
        <v>451801</v>
      </c>
      <c r="I35" s="14">
        <f t="shared" si="3"/>
        <v>1.1336061542784881</v>
      </c>
      <c r="J35" s="806" t="s">
        <v>253</v>
      </c>
      <c r="K35" s="806"/>
      <c r="L35" s="806"/>
      <c r="M35" s="807"/>
    </row>
    <row r="36" spans="1:13">
      <c r="A36" s="573"/>
      <c r="B36" s="555"/>
      <c r="C36" s="128" t="s">
        <v>40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398552</v>
      </c>
      <c r="H37" s="341">
        <f>SUM(H35:H36)</f>
        <v>451801</v>
      </c>
      <c r="I37" s="16">
        <f t="shared" si="3"/>
        <v>1.1336061542784881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40</v>
      </c>
      <c r="D38" s="328">
        <v>1100</v>
      </c>
      <c r="E38" s="329">
        <v>0</v>
      </c>
      <c r="F38" s="14">
        <f t="shared" si="2"/>
        <v>0</v>
      </c>
      <c r="G38" s="332">
        <f>D38+'2018OCT'!G38</f>
        <v>12100</v>
      </c>
      <c r="H38" s="332">
        <f>E38+'2018OCT'!H38</f>
        <v>0</v>
      </c>
      <c r="I38" s="14">
        <f t="shared" si="3"/>
        <v>0</v>
      </c>
      <c r="J38" s="525"/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330">
        <f>SUM(D38:D39)</f>
        <v>1100</v>
      </c>
      <c r="E40" s="330">
        <f>SUM(E38:E39)</f>
        <v>0</v>
      </c>
      <c r="F40" s="16">
        <f t="shared" si="2"/>
        <v>0</v>
      </c>
      <c r="G40" s="330">
        <f>SUM(G38:G39)</f>
        <v>12100</v>
      </c>
      <c r="H40" s="330">
        <f>SUM(H38:H39)</f>
        <v>0</v>
      </c>
      <c r="I40" s="16">
        <f t="shared" si="3"/>
        <v>0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334">
        <f>SUM(D37,D40)</f>
        <v>37332</v>
      </c>
      <c r="E41" s="334">
        <f>SUM(E37,E40)</f>
        <v>0</v>
      </c>
      <c r="F41" s="19">
        <f t="shared" si="2"/>
        <v>0</v>
      </c>
      <c r="G41" s="334">
        <f>SUM(G37,G40)</f>
        <v>410652</v>
      </c>
      <c r="H41" s="334">
        <f>SUM(H37,H40)</f>
        <v>451801</v>
      </c>
      <c r="I41" s="19">
        <f t="shared" si="3"/>
        <v>1.1002040657296202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335">
        <v>12500</v>
      </c>
      <c r="E42" s="336">
        <f>C140+E140+G140+I140</f>
        <v>15832</v>
      </c>
      <c r="F42" s="21">
        <f t="shared" si="2"/>
        <v>1.2665599999999999</v>
      </c>
      <c r="G42" s="342">
        <f>D42+'2018OCT'!G42</f>
        <v>128500</v>
      </c>
      <c r="H42" s="342">
        <f>E42+'2018OCT'!H42</f>
        <v>176395</v>
      </c>
      <c r="I42" s="21">
        <f t="shared" si="3"/>
        <v>1.3727237354085604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337">
        <v>16000</v>
      </c>
      <c r="E43" s="338">
        <v>321</v>
      </c>
      <c r="F43" s="21">
        <f t="shared" si="2"/>
        <v>2.00625E-2</v>
      </c>
      <c r="G43" s="342">
        <f>D43+'2018OCT'!G43</f>
        <v>70000</v>
      </c>
      <c r="H43" s="342">
        <f>E43+'2018OCT'!H43</f>
        <v>2411</v>
      </c>
      <c r="I43" s="21">
        <f t="shared" si="3"/>
        <v>3.4442857142857143E-2</v>
      </c>
      <c r="J43" s="572"/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337">
        <v>33500</v>
      </c>
      <c r="E44" s="338">
        <v>0</v>
      </c>
      <c r="F44" s="21">
        <f t="shared" si="2"/>
        <v>0</v>
      </c>
      <c r="G44" s="342">
        <f>D44+'2018OCT'!G44</f>
        <v>368500</v>
      </c>
      <c r="H44" s="342">
        <f>E44+'2018OCT'!H44</f>
        <v>399970</v>
      </c>
      <c r="I44" s="21">
        <f t="shared" si="3"/>
        <v>1.0854002713704207</v>
      </c>
      <c r="J44" s="570"/>
      <c r="K44" s="570"/>
      <c r="L44" s="570"/>
      <c r="M44" s="571"/>
    </row>
    <row r="45" spans="1:13" s="8" customFormat="1">
      <c r="A45" s="587" t="s">
        <v>46</v>
      </c>
      <c r="B45" s="588"/>
      <c r="C45" s="589"/>
      <c r="D45" s="339">
        <f>SUM(D28,D34,D41,D42:D44)</f>
        <v>132516.4</v>
      </c>
      <c r="E45" s="339">
        <f>SUM(E28,E34,E41,E42:E44)</f>
        <v>57893</v>
      </c>
      <c r="F45" s="22">
        <f t="shared" si="2"/>
        <v>0.43687422839739082</v>
      </c>
      <c r="G45" s="339">
        <f>SUM(G28,G34,G41,G42:G44)</f>
        <v>1284512.2</v>
      </c>
      <c r="H45" s="339">
        <f>SUM(H28,H34,H41,H42:H44)</f>
        <v>1414859</v>
      </c>
      <c r="I45" s="22">
        <f t="shared" si="3"/>
        <v>1.1014757197323624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339">
        <f>D45-D42</f>
        <v>120016.4</v>
      </c>
      <c r="E46" s="339">
        <f>E45-E42</f>
        <v>42061</v>
      </c>
      <c r="F46" s="22">
        <f t="shared" si="2"/>
        <v>0.35046043707359997</v>
      </c>
      <c r="G46" s="339">
        <f>G45-G42</f>
        <v>1156012.2</v>
      </c>
      <c r="H46" s="339">
        <f>H45-H42</f>
        <v>1238464</v>
      </c>
      <c r="I46" s="22">
        <f t="shared" si="3"/>
        <v>1.0713243337743321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340">
        <f>D46-D44</f>
        <v>86516.4</v>
      </c>
      <c r="E47" s="340">
        <f>E46-E44</f>
        <v>42061</v>
      </c>
      <c r="F47" s="23">
        <f t="shared" si="2"/>
        <v>0.48616216116250793</v>
      </c>
      <c r="G47" s="340">
        <f>G46-G44</f>
        <v>787512.2</v>
      </c>
      <c r="H47" s="340">
        <f>H46-H44</f>
        <v>838494</v>
      </c>
      <c r="I47" s="23">
        <f t="shared" si="3"/>
        <v>1.0647377907288293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322" t="s">
        <v>23</v>
      </c>
      <c r="E52" s="322" t="s">
        <v>24</v>
      </c>
      <c r="F52" s="322" t="s">
        <v>25</v>
      </c>
      <c r="G52" s="322" t="s">
        <v>23</v>
      </c>
      <c r="H52" s="322" t="s">
        <v>24</v>
      </c>
      <c r="I52" s="322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12</v>
      </c>
      <c r="E53" s="326">
        <v>37</v>
      </c>
      <c r="F53" s="28">
        <f t="shared" ref="F53:F79" si="4">E53/D53</f>
        <v>3.0833333333333335</v>
      </c>
      <c r="G53" s="66">
        <f>D53+'2018OCT'!G53</f>
        <v>128</v>
      </c>
      <c r="H53" s="66">
        <f>E53+'2018OCT'!H53</f>
        <v>191</v>
      </c>
      <c r="I53" s="28">
        <f t="shared" ref="I53:I79" si="5">H53/G53</f>
        <v>1.4921875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300</v>
      </c>
      <c r="E54" s="326">
        <v>401</v>
      </c>
      <c r="F54" s="28">
        <f t="shared" si="4"/>
        <v>1.3366666666666667</v>
      </c>
      <c r="G54" s="66">
        <f>D54+'2018OCT'!G54</f>
        <v>3300</v>
      </c>
      <c r="H54" s="66">
        <f>E54+'2018OCT'!H54</f>
        <v>3929</v>
      </c>
      <c r="I54" s="28">
        <f t="shared" si="5"/>
        <v>1.1906060606060607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325">
        <f>SUM(D53:D54)</f>
        <v>312</v>
      </c>
      <c r="E55" s="325">
        <f>SUM(E53:E54)</f>
        <v>438</v>
      </c>
      <c r="F55" s="30">
        <f t="shared" si="4"/>
        <v>1.4038461538461537</v>
      </c>
      <c r="G55" s="325">
        <f>SUM(G53:G54)</f>
        <v>3428</v>
      </c>
      <c r="H55" s="325">
        <f>SUM(H53:H54)</f>
        <v>4120</v>
      </c>
      <c r="I55" s="30">
        <f t="shared" si="5"/>
        <v>1.2018669778296382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40</v>
      </c>
      <c r="E56" s="326">
        <v>66</v>
      </c>
      <c r="F56" s="28">
        <f t="shared" si="4"/>
        <v>1.65</v>
      </c>
      <c r="G56" s="66">
        <f>D56+'2018OCT'!G56</f>
        <v>440</v>
      </c>
      <c r="H56" s="66">
        <f>E56+'2018OCT'!H56</f>
        <v>580</v>
      </c>
      <c r="I56" s="28">
        <f t="shared" si="5"/>
        <v>1.3181818181818181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600</v>
      </c>
      <c r="E57" s="326">
        <v>1057</v>
      </c>
      <c r="F57" s="28">
        <f t="shared" si="4"/>
        <v>1.7616666666666667</v>
      </c>
      <c r="G57" s="66">
        <f>D57+'2018OCT'!G57</f>
        <v>6600</v>
      </c>
      <c r="H57" s="66">
        <f>E57+'2018OCT'!H57</f>
        <v>9287</v>
      </c>
      <c r="I57" s="28">
        <f t="shared" si="5"/>
        <v>1.4071212121212122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319">
        <f>SUM(D56:D57)</f>
        <v>640</v>
      </c>
      <c r="E58" s="319">
        <f>SUM(E56:E57)</f>
        <v>1123</v>
      </c>
      <c r="F58" s="28">
        <f t="shared" si="4"/>
        <v>1.7546875</v>
      </c>
      <c r="G58" s="319">
        <f>SUM(G56:G57)</f>
        <v>7040</v>
      </c>
      <c r="H58" s="319">
        <f>SUM(H56:H57)</f>
        <v>9867</v>
      </c>
      <c r="I58" s="31">
        <f t="shared" si="5"/>
        <v>1.4015625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315">
        <f>SUM(D53,D56)</f>
        <v>52</v>
      </c>
      <c r="E59" s="315">
        <f>SUM(E53,E56)</f>
        <v>103</v>
      </c>
      <c r="F59" s="32">
        <f t="shared" si="4"/>
        <v>1.9807692307692308</v>
      </c>
      <c r="G59" s="315">
        <f>SUM(G53,G56)</f>
        <v>568</v>
      </c>
      <c r="H59" s="315">
        <f>SUM(H53,H56)</f>
        <v>771</v>
      </c>
      <c r="I59" s="32">
        <f t="shared" si="5"/>
        <v>1.357394366197183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315">
        <f>SUM(D54,D57)</f>
        <v>900</v>
      </c>
      <c r="E60" s="315">
        <f>SUM(E54,E57)</f>
        <v>1458</v>
      </c>
      <c r="F60" s="32">
        <f t="shared" si="4"/>
        <v>1.62</v>
      </c>
      <c r="G60" s="315">
        <f>SUM(G54,G57)</f>
        <v>9900</v>
      </c>
      <c r="H60" s="315">
        <f>SUM(H54,H57)</f>
        <v>13216</v>
      </c>
      <c r="I60" s="32">
        <f t="shared" si="5"/>
        <v>1.3349494949494949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323">
        <f>SUM(D59:D60)</f>
        <v>952</v>
      </c>
      <c r="E61" s="323">
        <f>SUM(E59:E60)</f>
        <v>1561</v>
      </c>
      <c r="F61" s="33">
        <f t="shared" si="4"/>
        <v>1.6397058823529411</v>
      </c>
      <c r="G61" s="323">
        <f>SUM(G59:G60)</f>
        <v>10468</v>
      </c>
      <c r="H61" s="323">
        <f>SUM(H59:H60)</f>
        <v>13987</v>
      </c>
      <c r="I61" s="33">
        <f t="shared" si="5"/>
        <v>1.3361673672143677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42</v>
      </c>
      <c r="E62" s="321">
        <f>E71/10</f>
        <v>128.69999999999999</v>
      </c>
      <c r="F62" s="28">
        <f t="shared" si="4"/>
        <v>3.0642857142857141</v>
      </c>
      <c r="G62" s="66">
        <f>D62+'2018OCT'!G62</f>
        <v>448</v>
      </c>
      <c r="H62" s="66">
        <f>E62+'2018OCT'!H62</f>
        <v>664.09999999999991</v>
      </c>
      <c r="I62" s="28">
        <f t="shared" si="5"/>
        <v>1.4823660714285711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246">
        <v>1044</v>
      </c>
      <c r="E63" s="321">
        <f>E72/10</f>
        <v>1394.8</v>
      </c>
      <c r="F63" s="28">
        <f t="shared" si="4"/>
        <v>1.3360153256704981</v>
      </c>
      <c r="G63" s="248">
        <f>D63+'2018OCT'!G63</f>
        <v>11484</v>
      </c>
      <c r="H63" s="66">
        <f>E63+'2018OCT'!H63</f>
        <v>13666.399999999998</v>
      </c>
      <c r="I63" s="28">
        <f t="shared" si="5"/>
        <v>1.1900383141762449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1086</v>
      </c>
      <c r="E64" s="325">
        <f>SUM(E62:E63)</f>
        <v>1523.5</v>
      </c>
      <c r="F64" s="30">
        <f t="shared" si="4"/>
        <v>1.402854511970534</v>
      </c>
      <c r="G64" s="325">
        <f>SUM(G62:G63)</f>
        <v>11932</v>
      </c>
      <c r="H64" s="325">
        <f>SUM(H62:H63)</f>
        <v>14330.499999999998</v>
      </c>
      <c r="I64" s="30">
        <f t="shared" si="5"/>
        <v>1.2010140797854507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64</v>
      </c>
      <c r="E65" s="321">
        <f>E74/10</f>
        <v>87.8</v>
      </c>
      <c r="F65" s="28">
        <f t="shared" si="4"/>
        <v>1.371875</v>
      </c>
      <c r="G65" s="66">
        <f>D65+'2018OCT'!G65</f>
        <v>704</v>
      </c>
      <c r="H65" s="66">
        <f>E65+'2018OCT'!H65</f>
        <v>752.90000000000009</v>
      </c>
      <c r="I65" s="28">
        <f t="shared" si="5"/>
        <v>1.0694602272727274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960</v>
      </c>
      <c r="E66" s="321">
        <f>E75/10</f>
        <v>1569.7</v>
      </c>
      <c r="F66" s="28">
        <f t="shared" si="4"/>
        <v>1.6351041666666668</v>
      </c>
      <c r="G66" s="66">
        <f>D66+'2018OCT'!G66</f>
        <v>10560</v>
      </c>
      <c r="H66" s="66">
        <f>E66+'2018OCT'!H66</f>
        <v>14255.900000000001</v>
      </c>
      <c r="I66" s="28">
        <f t="shared" si="5"/>
        <v>1.3499905303030304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319">
        <f>SUM(D65:D66)</f>
        <v>1024</v>
      </c>
      <c r="E67" s="319">
        <f>SUM(E65:E66)</f>
        <v>1657.5</v>
      </c>
      <c r="F67" s="31">
        <f t="shared" si="4"/>
        <v>1.61865234375</v>
      </c>
      <c r="G67" s="319">
        <f>SUM(G65:G66)</f>
        <v>11264</v>
      </c>
      <c r="H67" s="319">
        <f>SUM(H65:H66)</f>
        <v>15008.800000000001</v>
      </c>
      <c r="I67" s="31">
        <f t="shared" si="5"/>
        <v>1.3324573863636364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315">
        <f>SUM(D62,D65)</f>
        <v>106</v>
      </c>
      <c r="E68" s="315">
        <f>SUM(E62,E65)</f>
        <v>216.5</v>
      </c>
      <c r="F68" s="32">
        <f t="shared" si="4"/>
        <v>2.0424528301886791</v>
      </c>
      <c r="G68" s="315">
        <f>SUM(G62,G65)</f>
        <v>1152</v>
      </c>
      <c r="H68" s="315">
        <f>SUM(H62,H65)</f>
        <v>1417</v>
      </c>
      <c r="I68" s="32">
        <f t="shared" si="5"/>
        <v>1.2300347222222223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315">
        <f>SUM(D63,D66)</f>
        <v>2004</v>
      </c>
      <c r="E69" s="315">
        <f>SUM(E63,E66)</f>
        <v>2964.5</v>
      </c>
      <c r="F69" s="32">
        <f t="shared" si="4"/>
        <v>1.4792914171656686</v>
      </c>
      <c r="G69" s="315">
        <f>SUM(G63,G66)</f>
        <v>22044</v>
      </c>
      <c r="H69" s="315">
        <f>SUM(H63,H66)</f>
        <v>27922.3</v>
      </c>
      <c r="I69" s="32">
        <f t="shared" si="5"/>
        <v>1.2666621302848848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323">
        <f>SUM(D68:D69)</f>
        <v>2110</v>
      </c>
      <c r="E70" s="323">
        <f>SUM(E68:E69)</f>
        <v>3181</v>
      </c>
      <c r="F70" s="34">
        <f t="shared" si="4"/>
        <v>1.5075829383886257</v>
      </c>
      <c r="G70" s="323">
        <f>SUM(G68:G69)</f>
        <v>23196</v>
      </c>
      <c r="H70" s="323">
        <f>SUM(H68:H69)</f>
        <v>29339.3</v>
      </c>
      <c r="I70" s="34">
        <f t="shared" si="5"/>
        <v>1.2648430763924814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4454.3999999999996</v>
      </c>
      <c r="E71" s="326">
        <v>1287</v>
      </c>
      <c r="F71" s="28">
        <f t="shared" si="4"/>
        <v>0.28892780172413796</v>
      </c>
      <c r="G71" s="179">
        <f>D71+'2018OCT'!G71</f>
        <v>26030.199999999997</v>
      </c>
      <c r="H71" s="66">
        <f>E71+'2018OCT'!H71</f>
        <v>6641</v>
      </c>
      <c r="I71" s="28">
        <f t="shared" si="5"/>
        <v>0.25512673740501418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246">
        <v>10440</v>
      </c>
      <c r="E72" s="327">
        <f>E23-E71</f>
        <v>13948</v>
      </c>
      <c r="F72" s="28">
        <f t="shared" si="4"/>
        <v>1.3360153256704981</v>
      </c>
      <c r="G72" s="248">
        <f>D72+'2018OCT'!G72</f>
        <v>114840</v>
      </c>
      <c r="H72" s="66">
        <f>E72+'2018OCT'!H72</f>
        <v>136664</v>
      </c>
      <c r="I72" s="28">
        <f t="shared" si="5"/>
        <v>1.1900383141762452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325">
        <f>SUM(D71:D72)</f>
        <v>14894.4</v>
      </c>
      <c r="E73" s="325">
        <f>SUM(E71:E72)</f>
        <v>15235</v>
      </c>
      <c r="F73" s="30">
        <f t="shared" si="4"/>
        <v>1.0228676549575679</v>
      </c>
      <c r="G73" s="325">
        <f>SUM(G71:G72)</f>
        <v>140870.20000000001</v>
      </c>
      <c r="H73" s="325">
        <f>SUM(H71:H72)</f>
        <v>143305</v>
      </c>
      <c r="I73" s="30">
        <f t="shared" si="5"/>
        <v>1.0172839961893998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7040</v>
      </c>
      <c r="E74" s="326">
        <v>878</v>
      </c>
      <c r="F74" s="28">
        <f t="shared" si="4"/>
        <v>0.12471590909090909</v>
      </c>
      <c r="G74" s="179">
        <f>D74+'2018OCT'!G74</f>
        <v>42240</v>
      </c>
      <c r="H74" s="66">
        <f>E74+'2018OCT'!H74</f>
        <v>7529</v>
      </c>
      <c r="I74" s="28">
        <f t="shared" si="5"/>
        <v>0.17824337121212122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246">
        <v>9600</v>
      </c>
      <c r="E75" s="327">
        <f>E25-E74</f>
        <v>15697</v>
      </c>
      <c r="F75" s="28">
        <f t="shared" si="4"/>
        <v>1.6351041666666666</v>
      </c>
      <c r="G75" s="248">
        <f>D75+'2018OCT'!G75</f>
        <v>105600</v>
      </c>
      <c r="H75" s="66">
        <f>E75+'2018OCT'!H75</f>
        <v>142559</v>
      </c>
      <c r="I75" s="28">
        <f t="shared" si="5"/>
        <v>1.3499905303030304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319">
        <f>SUM(D74:D75)</f>
        <v>16640</v>
      </c>
      <c r="E76" s="319">
        <f>SUM(E74:E75)</f>
        <v>16575</v>
      </c>
      <c r="F76" s="31">
        <f t="shared" si="4"/>
        <v>0.99609375</v>
      </c>
      <c r="G76" s="319">
        <f>SUM(G74:G75)</f>
        <v>147840</v>
      </c>
      <c r="H76" s="319">
        <f>SUM(H74:H75)</f>
        <v>150088</v>
      </c>
      <c r="I76" s="31">
        <f t="shared" si="5"/>
        <v>1.0152056277056276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315">
        <f>SUM(D71,D74)</f>
        <v>11494.4</v>
      </c>
      <c r="E77" s="315">
        <f>SUM(E71,E74)</f>
        <v>2165</v>
      </c>
      <c r="F77" s="32">
        <f t="shared" si="4"/>
        <v>0.1883525890868597</v>
      </c>
      <c r="G77" s="315">
        <f>SUM(G71,G74)</f>
        <v>68270.2</v>
      </c>
      <c r="H77" s="315">
        <f>SUM(H71,H74)</f>
        <v>14170</v>
      </c>
      <c r="I77" s="32">
        <f t="shared" si="5"/>
        <v>0.20755761664679465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315">
        <f>SUM(D72,D75)</f>
        <v>20040</v>
      </c>
      <c r="E78" s="315">
        <f>SUM(E72,E75)</f>
        <v>29645</v>
      </c>
      <c r="F78" s="32">
        <f t="shared" si="4"/>
        <v>1.4792914171656686</v>
      </c>
      <c r="G78" s="315">
        <f>SUM(G72,G75)</f>
        <v>220440</v>
      </c>
      <c r="H78" s="315">
        <f>SUM(H72,H75)</f>
        <v>279223</v>
      </c>
      <c r="I78" s="32">
        <f t="shared" si="5"/>
        <v>1.2666621302848848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323">
        <f>SUM(D77:D78)</f>
        <v>31534.400000000001</v>
      </c>
      <c r="E79" s="323">
        <f>SUM(E77:E78)</f>
        <v>31810</v>
      </c>
      <c r="F79" s="34">
        <f t="shared" si="4"/>
        <v>1.0087396620833122</v>
      </c>
      <c r="G79" s="323">
        <f>SUM(G77:G78)</f>
        <v>288710.2</v>
      </c>
      <c r="H79" s="323">
        <f>SUM(H77:H78)</f>
        <v>293393</v>
      </c>
      <c r="I79" s="34">
        <f t="shared" si="5"/>
        <v>1.016219724831336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438</v>
      </c>
      <c r="E87" s="130"/>
      <c r="F87" s="134">
        <f>D87+'2018OCT'!F87</f>
        <v>4120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37</v>
      </c>
      <c r="E88" s="128"/>
      <c r="F88" s="134">
        <f>D88+'2018OCT'!F88</f>
        <v>191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43</v>
      </c>
      <c r="E89" s="128">
        <f>D89/D87</f>
        <v>9.8173515981735154E-2</v>
      </c>
      <c r="F89" s="134">
        <f>D89+'2018OCT'!F89</f>
        <v>55</v>
      </c>
      <c r="G89" s="128">
        <f>F89/F87</f>
        <v>1.3349514563106795E-2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22</v>
      </c>
      <c r="E90" s="128">
        <f>D90/D92</f>
        <v>0.15384615384615385</v>
      </c>
      <c r="F90" s="134">
        <f>D90+'2018OCT'!F90</f>
        <v>207</v>
      </c>
      <c r="G90" s="128">
        <f>F90/F92</f>
        <v>9.2825112107623314E-2</v>
      </c>
      <c r="H90" s="128"/>
    </row>
    <row r="91" spans="1:13" ht="15" customHeight="1">
      <c r="A91" s="774"/>
      <c r="B91" s="775" t="s">
        <v>202</v>
      </c>
      <c r="C91" s="775"/>
      <c r="D91" s="131">
        <v>201</v>
      </c>
      <c r="E91" s="128">
        <f>D91/D92</f>
        <v>1.4055944055944056</v>
      </c>
      <c r="F91" s="134">
        <f>D91+'2018OCT'!F91</f>
        <v>2270</v>
      </c>
      <c r="G91" s="128">
        <f>F91/F92</f>
        <v>1.0179372197309418</v>
      </c>
      <c r="H91" s="128"/>
    </row>
    <row r="92" spans="1:13" ht="15" customHeight="1">
      <c r="A92" s="774"/>
      <c r="B92" s="775" t="s">
        <v>203</v>
      </c>
      <c r="C92" s="775"/>
      <c r="D92" s="131">
        <v>143</v>
      </c>
      <c r="E92" s="130"/>
      <c r="F92" s="134">
        <f>D92+'2018OCT'!F92</f>
        <v>2230</v>
      </c>
      <c r="G92" s="130"/>
      <c r="H92" s="128"/>
    </row>
    <row r="93" spans="1:13">
      <c r="C93" s="126" t="s">
        <v>210</v>
      </c>
      <c r="D93" s="132">
        <v>581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322" t="s">
        <v>23</v>
      </c>
      <c r="E97" s="322" t="s">
        <v>24</v>
      </c>
      <c r="F97" s="322" t="s">
        <v>25</v>
      </c>
      <c r="G97" s="322" t="s">
        <v>23</v>
      </c>
      <c r="H97" s="322" t="s">
        <v>24</v>
      </c>
      <c r="I97" s="322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326">
        <v>1</v>
      </c>
      <c r="F98" s="37" t="e">
        <f>E98/D98</f>
        <v>#DIV/0!</v>
      </c>
      <c r="G98" s="66">
        <f>D98+'2018OCT'!G98</f>
        <v>0</v>
      </c>
      <c r="H98" s="66">
        <f>E98+'2018OCT'!H98</f>
        <v>2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41</v>
      </c>
      <c r="E99" s="326">
        <v>20</v>
      </c>
      <c r="F99" s="28">
        <f t="shared" ref="F99:F115" si="6">E99/D99</f>
        <v>0.48780487804878048</v>
      </c>
      <c r="G99" s="66">
        <f>D99+'2018OCT'!G99</f>
        <v>451</v>
      </c>
      <c r="H99" s="66">
        <f>E99+'2018OCT'!H99</f>
        <v>422</v>
      </c>
      <c r="I99" s="28">
        <f t="shared" ref="I99:I115" si="7">H99/G99</f>
        <v>0.93569844789356982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325">
        <f>SUM(D98:D99)</f>
        <v>41</v>
      </c>
      <c r="E100" s="325">
        <f>SUM(E98:E99)</f>
        <v>21</v>
      </c>
      <c r="F100" s="30">
        <f t="shared" si="6"/>
        <v>0.51219512195121952</v>
      </c>
      <c r="G100" s="325">
        <f>SUM(G98:G99)</f>
        <v>451</v>
      </c>
      <c r="H100" s="325">
        <f>SUM(H98:H99)</f>
        <v>424</v>
      </c>
      <c r="I100" s="30">
        <f t="shared" si="7"/>
        <v>0.94013303769401335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326">
        <v>0</v>
      </c>
      <c r="F101" s="28" t="e">
        <f t="shared" si="6"/>
        <v>#DIV/0!</v>
      </c>
      <c r="G101" s="66">
        <f>D101+'2018OCT'!G101</f>
        <v>0</v>
      </c>
      <c r="H101" s="66">
        <f>E101+'2018OCT'!H101</f>
        <v>0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11</v>
      </c>
      <c r="E102" s="326">
        <v>8</v>
      </c>
      <c r="F102" s="28">
        <f t="shared" si="6"/>
        <v>0.72727272727272729</v>
      </c>
      <c r="G102" s="66">
        <f>D102+'2018OCT'!G102</f>
        <v>121</v>
      </c>
      <c r="H102" s="66">
        <f>E102+'2018OCT'!H102</f>
        <v>104</v>
      </c>
      <c r="I102" s="28">
        <f t="shared" si="7"/>
        <v>0.85950413223140498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325">
        <f>SUM(D101:D102)</f>
        <v>11</v>
      </c>
      <c r="E103" s="325">
        <f>SUM(E101:E102)</f>
        <v>8</v>
      </c>
      <c r="F103" s="30">
        <f t="shared" si="6"/>
        <v>0.72727272727272729</v>
      </c>
      <c r="G103" s="325">
        <f>SUM(G101:G102)</f>
        <v>121</v>
      </c>
      <c r="H103" s="325">
        <f>SUM(H101:H102)</f>
        <v>104</v>
      </c>
      <c r="I103" s="30">
        <f t="shared" si="7"/>
        <v>0.85950413223140498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0</v>
      </c>
      <c r="E104" s="326">
        <v>6</v>
      </c>
      <c r="F104" s="28" t="e">
        <f t="shared" si="6"/>
        <v>#DIV/0!</v>
      </c>
      <c r="G104" s="66">
        <f>D104+'2018OCT'!G104</f>
        <v>0</v>
      </c>
      <c r="H104" s="66">
        <f>E104+'2018OCT'!H104</f>
        <v>18</v>
      </c>
      <c r="I104" s="28" t="e">
        <f t="shared" si="7"/>
        <v>#DIV/0!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63</v>
      </c>
      <c r="E105" s="326">
        <v>68</v>
      </c>
      <c r="F105" s="28">
        <f t="shared" si="6"/>
        <v>1.0793650793650793</v>
      </c>
      <c r="G105" s="66">
        <f>D105+'2018OCT'!G105</f>
        <v>693</v>
      </c>
      <c r="H105" s="66">
        <f>E105+'2018OCT'!H105</f>
        <v>671</v>
      </c>
      <c r="I105" s="28">
        <f t="shared" si="7"/>
        <v>0.96825396825396826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325">
        <f>SUM(D104:D105)</f>
        <v>63</v>
      </c>
      <c r="E106" s="325">
        <f>SUM(E104:E105)</f>
        <v>74</v>
      </c>
      <c r="F106" s="30">
        <f t="shared" si="6"/>
        <v>1.1746031746031746</v>
      </c>
      <c r="G106" s="325">
        <f>SUM(G104:G105)</f>
        <v>693</v>
      </c>
      <c r="H106" s="325">
        <f>SUM(H104:H105)</f>
        <v>689</v>
      </c>
      <c r="I106" s="30">
        <f t="shared" si="7"/>
        <v>0.99422799422799424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2</v>
      </c>
      <c r="E107" s="326">
        <v>5</v>
      </c>
      <c r="F107" s="28">
        <f>E107/D107</f>
        <v>2.5</v>
      </c>
      <c r="G107" s="66">
        <f>D107+'2018OCT'!G107</f>
        <v>20</v>
      </c>
      <c r="H107" s="66">
        <f>E107+'2018OCT'!H107</f>
        <v>48</v>
      </c>
      <c r="I107" s="28">
        <f>H107/G107</f>
        <v>2.4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118</v>
      </c>
      <c r="E108" s="326">
        <v>131</v>
      </c>
      <c r="F108" s="28">
        <f>E108/D108</f>
        <v>1.1101694915254237</v>
      </c>
      <c r="G108" s="66">
        <f>D108+'2018OCT'!G108</f>
        <v>1190</v>
      </c>
      <c r="H108" s="66">
        <f>E108+'2018OCT'!H108</f>
        <v>1207</v>
      </c>
      <c r="I108" s="28">
        <f t="shared" si="7"/>
        <v>1.0142857142857142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325">
        <f>SUM(D107:D108)</f>
        <v>120</v>
      </c>
      <c r="E109" s="325">
        <f>SUM(E107:E108)</f>
        <v>136</v>
      </c>
      <c r="F109" s="30">
        <f t="shared" si="6"/>
        <v>1.1333333333333333</v>
      </c>
      <c r="G109" s="325">
        <f>SUM(G107:G108)</f>
        <v>1210</v>
      </c>
      <c r="H109" s="325">
        <f>SUM(H107:H108)</f>
        <v>1255</v>
      </c>
      <c r="I109" s="30">
        <f t="shared" si="7"/>
        <v>1.0371900826446281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8</v>
      </c>
      <c r="E110" s="326">
        <v>14</v>
      </c>
      <c r="F110" s="30">
        <f>E110/D110</f>
        <v>1.75</v>
      </c>
      <c r="G110" s="66">
        <f>D110+'2018OCT'!G110</f>
        <v>88</v>
      </c>
      <c r="H110" s="66">
        <f>E110+'2018OCT'!H110</f>
        <v>71</v>
      </c>
      <c r="I110" s="30">
        <f>H110/G110</f>
        <v>0.80681818181818177</v>
      </c>
      <c r="J110" s="316"/>
      <c r="K110" s="317"/>
      <c r="L110" s="317"/>
      <c r="M110" s="318"/>
    </row>
    <row r="111" spans="1:13">
      <c r="A111" s="573"/>
      <c r="B111" s="777"/>
      <c r="C111" s="27" t="s">
        <v>70</v>
      </c>
      <c r="D111" s="65">
        <v>80</v>
      </c>
      <c r="E111" s="326">
        <v>58</v>
      </c>
      <c r="F111" s="30">
        <f t="shared" ref="F111:F112" si="8">E111/D111</f>
        <v>0.72499999999999998</v>
      </c>
      <c r="G111" s="66">
        <f>D111+'2018OCT'!G111</f>
        <v>440</v>
      </c>
      <c r="H111" s="66">
        <f>E111+'2018OCT'!H111</f>
        <v>386</v>
      </c>
      <c r="I111" s="30">
        <f t="shared" ref="I111:I112" si="9">H111/G111</f>
        <v>0.87727272727272732</v>
      </c>
      <c r="J111" s="316"/>
      <c r="K111" s="317"/>
      <c r="L111" s="317"/>
      <c r="M111" s="318"/>
    </row>
    <row r="112" spans="1:13">
      <c r="A112" s="573"/>
      <c r="B112" s="778"/>
      <c r="C112" s="38" t="s">
        <v>166</v>
      </c>
      <c r="D112" s="325">
        <f>SUM(D110:D111)</f>
        <v>88</v>
      </c>
      <c r="E112" s="325">
        <f>SUM(E110:E111)</f>
        <v>72</v>
      </c>
      <c r="F112" s="30">
        <f t="shared" si="8"/>
        <v>0.81818181818181823</v>
      </c>
      <c r="G112" s="325">
        <f>SUM(G110:G111)</f>
        <v>528</v>
      </c>
      <c r="H112" s="325">
        <f>SUM(H110:H111)</f>
        <v>457</v>
      </c>
      <c r="I112" s="30">
        <f t="shared" si="9"/>
        <v>0.86553030303030298</v>
      </c>
      <c r="J112" s="316"/>
      <c r="K112" s="317"/>
      <c r="L112" s="317"/>
      <c r="M112" s="318"/>
    </row>
    <row r="113" spans="1:13">
      <c r="A113" s="573"/>
      <c r="B113" s="603" t="s">
        <v>46</v>
      </c>
      <c r="C113" s="39" t="s">
        <v>69</v>
      </c>
      <c r="D113" s="319">
        <f>SUM(D98,D101,D104,D107,D110)</f>
        <v>10</v>
      </c>
      <c r="E113" s="319">
        <f>SUM(E98,E101,E104,E107,E110)</f>
        <v>26</v>
      </c>
      <c r="F113" s="31">
        <f t="shared" si="6"/>
        <v>2.6</v>
      </c>
      <c r="G113" s="319">
        <f>SUM(G98,G101,G104,G107,G110)</f>
        <v>108</v>
      </c>
      <c r="H113" s="319">
        <f>SUM(H98,H101,H104,H107,H110)</f>
        <v>139</v>
      </c>
      <c r="I113" s="31">
        <f t="shared" si="7"/>
        <v>1.287037037037037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319">
        <f>SUM(D99,D102,D105,D108,D111)</f>
        <v>313</v>
      </c>
      <c r="E114" s="319">
        <f>SUM(E99,E102,E105,E108,E111)</f>
        <v>285</v>
      </c>
      <c r="F114" s="31">
        <f t="shared" si="6"/>
        <v>0.91054313099041528</v>
      </c>
      <c r="G114" s="319">
        <f>SUM(G99,G102,G105,G108,G111)</f>
        <v>2895</v>
      </c>
      <c r="H114" s="319">
        <f>SUM(H99,H102,H105,H108,H111)</f>
        <v>2790</v>
      </c>
      <c r="I114" s="31">
        <f t="shared" si="7"/>
        <v>0.96373056994818651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320">
        <f>SUM(D113:D114)</f>
        <v>323</v>
      </c>
      <c r="E115" s="320">
        <f>SUM(E113:E114)</f>
        <v>311</v>
      </c>
      <c r="F115" s="41">
        <f t="shared" si="6"/>
        <v>0.96284829721362231</v>
      </c>
      <c r="G115" s="320">
        <f>SUM(G113:G114)</f>
        <v>3003</v>
      </c>
      <c r="H115" s="320">
        <f>SUM(H113:H114)</f>
        <v>2929</v>
      </c>
      <c r="I115" s="41">
        <f t="shared" si="7"/>
        <v>0.9753579753579753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2</v>
      </c>
      <c r="E116" s="64">
        <v>11</v>
      </c>
      <c r="F116" s="43">
        <f>E116/D116</f>
        <v>5.5</v>
      </c>
      <c r="G116" s="70">
        <f>D116+'2018OCT'!G116</f>
        <v>20</v>
      </c>
      <c r="H116" s="70">
        <f>E116+'2018OCT'!H116</f>
        <v>33</v>
      </c>
      <c r="I116" s="43">
        <f>H116/G116</f>
        <v>1.65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66</v>
      </c>
      <c r="E117" s="326">
        <v>68</v>
      </c>
      <c r="F117" s="28">
        <f t="shared" ref="F117:F126" si="10">E117/D117</f>
        <v>1.0303030303030303</v>
      </c>
      <c r="G117" s="71">
        <f>D117+'2018OCT'!G117</f>
        <v>618</v>
      </c>
      <c r="H117" s="71">
        <f>E117+'2018OCT'!H117</f>
        <v>644</v>
      </c>
      <c r="I117" s="28">
        <f t="shared" ref="I117:I126" si="11">H117/G117</f>
        <v>1.0420711974110033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325">
        <f>SUM(D116:D117)</f>
        <v>68</v>
      </c>
      <c r="E118" s="325">
        <f>SUM(E116:E117)</f>
        <v>79</v>
      </c>
      <c r="F118" s="30">
        <f t="shared" si="10"/>
        <v>1.161764705882353</v>
      </c>
      <c r="G118" s="325">
        <f>SUM(G116:G117)</f>
        <v>638</v>
      </c>
      <c r="H118" s="325">
        <f>SUM(H116:H117)</f>
        <v>677</v>
      </c>
      <c r="I118" s="30">
        <f t="shared" si="11"/>
        <v>1.061128526645768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326">
        <v>0</v>
      </c>
      <c r="F119" s="28" t="e">
        <f t="shared" si="10"/>
        <v>#DIV/0!</v>
      </c>
      <c r="G119" s="66">
        <f>D119+'2018OCT'!G119</f>
        <v>0</v>
      </c>
      <c r="H119" s="66">
        <f>E119+'2018OCT'!H119</f>
        <v>7</v>
      </c>
      <c r="I119" s="28" t="e">
        <f t="shared" si="11"/>
        <v>#DIV/0!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37</v>
      </c>
      <c r="E120" s="326">
        <v>48</v>
      </c>
      <c r="F120" s="28">
        <f t="shared" si="10"/>
        <v>1.2972972972972974</v>
      </c>
      <c r="G120" s="66">
        <f>D120+'2018OCT'!G120</f>
        <v>407</v>
      </c>
      <c r="H120" s="66">
        <f>E120+'2018OCT'!H120</f>
        <v>507</v>
      </c>
      <c r="I120" s="28">
        <f t="shared" si="11"/>
        <v>1.2457002457002457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325">
        <f>SUM(D119:D120)</f>
        <v>37</v>
      </c>
      <c r="E121" s="325">
        <f>SUM(E119:E120)</f>
        <v>48</v>
      </c>
      <c r="F121" s="30">
        <f t="shared" si="10"/>
        <v>1.2972972972972974</v>
      </c>
      <c r="G121" s="325">
        <f>SUM(G119:G120)</f>
        <v>407</v>
      </c>
      <c r="H121" s="325">
        <f>SUM(H119:H120)</f>
        <v>514</v>
      </c>
      <c r="I121" s="30">
        <f t="shared" si="11"/>
        <v>1.2628992628992628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319">
        <f>SUM(D116,D119)</f>
        <v>2</v>
      </c>
      <c r="E122" s="319">
        <f>SUM(E116,E119)</f>
        <v>11</v>
      </c>
      <c r="F122" s="30">
        <f t="shared" si="10"/>
        <v>5.5</v>
      </c>
      <c r="G122" s="319">
        <f>SUM(G116,G119)</f>
        <v>20</v>
      </c>
      <c r="H122" s="319">
        <f>SUM(H116,H119)</f>
        <v>40</v>
      </c>
      <c r="I122" s="30">
        <f t="shared" si="11"/>
        <v>2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319">
        <f>SUM(D117,D120)</f>
        <v>103</v>
      </c>
      <c r="E123" s="319">
        <f>SUM(E117,E120)</f>
        <v>116</v>
      </c>
      <c r="F123" s="30">
        <f t="shared" si="10"/>
        <v>1.1262135922330097</v>
      </c>
      <c r="G123" s="319">
        <f>SUM(G117,G120)</f>
        <v>1025</v>
      </c>
      <c r="H123" s="319">
        <f>SUM(H117,H120)</f>
        <v>1151</v>
      </c>
      <c r="I123" s="30">
        <f t="shared" si="11"/>
        <v>1.1229268292682928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320">
        <f>SUM(D122:D123)</f>
        <v>105</v>
      </c>
      <c r="E124" s="320">
        <f>SUM(E122:E123)</f>
        <v>127</v>
      </c>
      <c r="F124" s="41">
        <f t="shared" si="10"/>
        <v>1.2095238095238094</v>
      </c>
      <c r="G124" s="320">
        <f>SUM(G122:G123)</f>
        <v>1045</v>
      </c>
      <c r="H124" s="320">
        <f>SUM(H122:H123)</f>
        <v>1191</v>
      </c>
      <c r="I124" s="41">
        <f t="shared" si="11"/>
        <v>1.139712918660287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314">
        <f>SUM(D113,D122)</f>
        <v>12</v>
      </c>
      <c r="E125" s="314">
        <f>SUM(E113,E122)</f>
        <v>37</v>
      </c>
      <c r="F125" s="45">
        <f t="shared" si="10"/>
        <v>3.0833333333333335</v>
      </c>
      <c r="G125" s="46">
        <f>SUM(G113,G122)</f>
        <v>128</v>
      </c>
      <c r="H125" s="46">
        <f>SUM(H113,H122)</f>
        <v>179</v>
      </c>
      <c r="I125" s="45">
        <f t="shared" si="11"/>
        <v>1.3984375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315">
        <f>SUM(D114,D123)</f>
        <v>416</v>
      </c>
      <c r="E126" s="315">
        <f>SUM(E114,E123)</f>
        <v>401</v>
      </c>
      <c r="F126" s="32">
        <f t="shared" si="10"/>
        <v>0.96394230769230771</v>
      </c>
      <c r="G126" s="315">
        <f>SUM(G114,G123)</f>
        <v>3920</v>
      </c>
      <c r="H126" s="315">
        <f>SUM(H114,H123)</f>
        <v>3941</v>
      </c>
      <c r="I126" s="32">
        <f t="shared" si="11"/>
        <v>1.0053571428571428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315">
        <f>SUM(D125:D126)</f>
        <v>428</v>
      </c>
      <c r="E127" s="315">
        <f>SUM(E125:E126)</f>
        <v>438</v>
      </c>
      <c r="F127" s="49">
        <f>E127/D127</f>
        <v>1.0233644859813085</v>
      </c>
      <c r="G127" s="314">
        <f>SUM(G125:G126)</f>
        <v>4048</v>
      </c>
      <c r="H127" s="314">
        <f>SUM(H125:H126)</f>
        <v>4120</v>
      </c>
      <c r="I127" s="49">
        <f>H127/G127</f>
        <v>1.017786561264822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226</v>
      </c>
      <c r="J134" s="631"/>
      <c r="K134" s="632"/>
      <c r="L134" s="634"/>
    </row>
    <row r="135" spans="1:12">
      <c r="A135" s="628" t="s">
        <v>91</v>
      </c>
      <c r="B135" s="629"/>
      <c r="C135" s="649">
        <v>34</v>
      </c>
      <c r="D135" s="650"/>
      <c r="E135" s="649">
        <v>4</v>
      </c>
      <c r="F135" s="650"/>
      <c r="G135" s="649">
        <v>1</v>
      </c>
      <c r="H135" s="650"/>
      <c r="I135" s="649">
        <v>10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313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313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313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313" t="s">
        <v>99</v>
      </c>
      <c r="C140" s="656">
        <v>92</v>
      </c>
      <c r="D140" s="656"/>
      <c r="E140" s="656">
        <v>34</v>
      </c>
      <c r="F140" s="656"/>
      <c r="G140" s="656">
        <v>0</v>
      </c>
      <c r="H140" s="656"/>
      <c r="I140" s="770">
        <v>15706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259</v>
      </c>
      <c r="D145" s="663"/>
      <c r="E145" s="664"/>
      <c r="F145" s="662" t="s">
        <v>150</v>
      </c>
      <c r="G145" s="663"/>
      <c r="H145" s="663"/>
      <c r="I145" s="664"/>
      <c r="J145" s="663" t="s">
        <v>173</v>
      </c>
      <c r="K145" s="663"/>
      <c r="L145" s="663"/>
      <c r="M145" s="665"/>
    </row>
    <row r="146" spans="1:13" ht="47.25" customHeight="1">
      <c r="A146" s="716" t="s">
        <v>103</v>
      </c>
      <c r="B146" s="717"/>
      <c r="C146" s="718" t="s">
        <v>260</v>
      </c>
      <c r="D146" s="723"/>
      <c r="E146" s="724"/>
      <c r="F146" s="744" t="s">
        <v>261</v>
      </c>
      <c r="G146" s="748"/>
      <c r="H146" s="748"/>
      <c r="I146" s="749"/>
      <c r="J146" s="745" t="s">
        <v>262</v>
      </c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151</v>
      </c>
      <c r="D148" s="719"/>
      <c r="E148" s="720"/>
      <c r="F148" s="744" t="s">
        <v>151</v>
      </c>
      <c r="G148" s="745"/>
      <c r="H148" s="745"/>
      <c r="I148" s="746"/>
      <c r="J148" s="744" t="s">
        <v>151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11" t="s">
        <v>109</v>
      </c>
      <c r="C154" s="311" t="s">
        <v>110</v>
      </c>
      <c r="D154" s="311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>
        <v>0</v>
      </c>
      <c r="B155" s="291">
        <f>'2018OCT'!H155</f>
        <v>16978</v>
      </c>
      <c r="C155" s="63">
        <f>E45-E44</f>
        <v>57893</v>
      </c>
      <c r="D155" s="73">
        <f>72452</f>
        <v>72452</v>
      </c>
      <c r="E155" s="681" t="s">
        <v>114</v>
      </c>
      <c r="F155" s="681"/>
      <c r="G155" s="681"/>
      <c r="H155" s="72">
        <f>C155+A155+B155-D155</f>
        <v>2419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27239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327"/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18659</v>
      </c>
      <c r="H165" s="790"/>
      <c r="I165" s="791"/>
      <c r="J165" s="791"/>
      <c r="K165" s="792"/>
    </row>
    <row r="166" spans="1:11" ht="14">
      <c r="A166" s="310" t="s">
        <v>126</v>
      </c>
      <c r="B166" s="789" t="s">
        <v>127</v>
      </c>
      <c r="C166" s="789"/>
      <c r="D166" s="789"/>
      <c r="E166" s="789"/>
      <c r="F166" s="789"/>
      <c r="G166" s="326">
        <v>1895</v>
      </c>
      <c r="H166" s="790"/>
      <c r="I166" s="791"/>
      <c r="J166" s="791"/>
      <c r="K166" s="792"/>
    </row>
    <row r="167" spans="1:11" ht="14">
      <c r="A167" s="310" t="s">
        <v>128</v>
      </c>
      <c r="B167" s="789" t="s">
        <v>129</v>
      </c>
      <c r="C167" s="789"/>
      <c r="D167" s="789"/>
      <c r="E167" s="789"/>
      <c r="F167" s="789"/>
      <c r="G167" s="327"/>
      <c r="H167" s="790"/>
      <c r="I167" s="791"/>
      <c r="J167" s="791"/>
      <c r="K167" s="792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L3" xr:uid="{98788713-676F-40DF-8590-96D7A8C67B99}">
      <formula1>"USA, JAPAN"</formula1>
    </dataValidation>
    <dataValidation type="list" allowBlank="1" showInputMessage="1" showErrorMessage="1" sqref="G1" xr:uid="{6E4CB02F-B946-4C1A-B2F5-178A7AD83625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AA263-DEDE-45B9-89D8-D67664F4C72A}">
  <sheetPr codeName="Sheet25">
    <pageSetUpPr fitToPage="1"/>
  </sheetPr>
  <dimension ref="A1:N167"/>
  <sheetViews>
    <sheetView topLeftCell="A131" zoomScale="90" zoomScaleNormal="90" zoomScaleSheetLayoutView="85" workbookViewId="0">
      <selection activeCell="F87" sqref="F87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153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/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 t="s">
        <v>266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344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343" t="s">
        <v>176</v>
      </c>
      <c r="C10" s="61">
        <v>2</v>
      </c>
      <c r="D10" s="346">
        <v>1</v>
      </c>
      <c r="E10" s="538" t="s">
        <v>250</v>
      </c>
      <c r="F10" s="538"/>
      <c r="G10" s="538"/>
      <c r="H10" s="538"/>
      <c r="I10" s="539"/>
    </row>
    <row r="11" spans="1:13">
      <c r="A11" s="537"/>
      <c r="B11" s="343" t="s">
        <v>177</v>
      </c>
      <c r="C11" s="61">
        <v>2</v>
      </c>
      <c r="D11" s="346">
        <v>2</v>
      </c>
      <c r="E11" s="805" t="s">
        <v>183</v>
      </c>
      <c r="F11" s="541"/>
      <c r="G11" s="541"/>
      <c r="H11" s="541"/>
      <c r="I11" s="542"/>
    </row>
    <row r="12" spans="1:13">
      <c r="A12" s="537"/>
      <c r="B12" s="343" t="s">
        <v>179</v>
      </c>
      <c r="C12" s="61">
        <v>2</v>
      </c>
      <c r="D12" s="346">
        <v>4</v>
      </c>
      <c r="E12" s="808" t="s">
        <v>257</v>
      </c>
      <c r="F12" s="809"/>
      <c r="G12" s="809"/>
      <c r="H12" s="809"/>
      <c r="I12" s="810"/>
    </row>
    <row r="13" spans="1:13">
      <c r="A13" s="537"/>
      <c r="B13" s="343" t="s">
        <v>180</v>
      </c>
      <c r="C13" s="61">
        <v>3</v>
      </c>
      <c r="D13" s="346">
        <v>1</v>
      </c>
      <c r="E13" s="538" t="s">
        <v>258</v>
      </c>
      <c r="F13" s="538"/>
      <c r="G13" s="538"/>
      <c r="H13" s="538"/>
      <c r="I13" s="539"/>
    </row>
    <row r="14" spans="1:13">
      <c r="A14" s="537"/>
      <c r="B14" s="343" t="s">
        <v>12</v>
      </c>
      <c r="C14" s="61">
        <v>0</v>
      </c>
      <c r="D14" s="346">
        <v>0</v>
      </c>
      <c r="E14" s="540"/>
      <c r="F14" s="541"/>
      <c r="G14" s="541"/>
      <c r="H14" s="541"/>
      <c r="I14" s="542"/>
    </row>
    <row r="15" spans="1:13">
      <c r="A15" s="537"/>
      <c r="B15" s="343" t="s">
        <v>13</v>
      </c>
      <c r="C15" s="61">
        <v>2</v>
      </c>
      <c r="D15" s="346">
        <v>2</v>
      </c>
      <c r="E15" s="768" t="s">
        <v>251</v>
      </c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10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19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345" t="s">
        <v>23</v>
      </c>
      <c r="E21" s="345" t="s">
        <v>24</v>
      </c>
      <c r="F21" s="345" t="s">
        <v>25</v>
      </c>
      <c r="G21" s="345" t="s">
        <v>23</v>
      </c>
      <c r="H21" s="345" t="s">
        <v>24</v>
      </c>
      <c r="I21" s="345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328">
        <v>15312</v>
      </c>
      <c r="E23" s="329">
        <v>15791</v>
      </c>
      <c r="F23" s="14">
        <f t="shared" ref="F23:F28" si="0">E23/D23</f>
        <v>1.0312826541274818</v>
      </c>
      <c r="G23" s="332">
        <f>D23+'2018NOV'!G23</f>
        <v>156182.19999999998</v>
      </c>
      <c r="H23" s="332">
        <f>E23+'2018NOV'!H23</f>
        <v>159096</v>
      </c>
      <c r="I23" s="14">
        <f t="shared" ref="I23:I28" si="1">H23/G23</f>
        <v>1.018656415391767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330">
        <f>SUM(D23:D23)</f>
        <v>15312</v>
      </c>
      <c r="E24" s="330">
        <f>SUM(E23:E23)</f>
        <v>15791</v>
      </c>
      <c r="F24" s="16">
        <f t="shared" si="0"/>
        <v>1.0312826541274818</v>
      </c>
      <c r="G24" s="330">
        <f>SUM(G23:G23)</f>
        <v>156182.19999999998</v>
      </c>
      <c r="H24" s="330">
        <f>SUM(H23:H23)</f>
        <v>159096</v>
      </c>
      <c r="I24" s="16">
        <f t="shared" si="1"/>
        <v>1.018656415391767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328">
        <v>17280</v>
      </c>
      <c r="E25" s="329">
        <v>17983</v>
      </c>
      <c r="F25" s="14">
        <f t="shared" si="0"/>
        <v>1.0406828703703703</v>
      </c>
      <c r="G25" s="332">
        <f>D25+'2018NOV'!G25</f>
        <v>165120</v>
      </c>
      <c r="H25" s="332">
        <f>E25+'2018NOV'!H25</f>
        <v>168071</v>
      </c>
      <c r="I25" s="14">
        <f t="shared" si="1"/>
        <v>1.0178718507751938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330">
        <f>SUM(D25:D26)</f>
        <v>17280</v>
      </c>
      <c r="E27" s="330">
        <f>SUM(E25:E26)</f>
        <v>17983</v>
      </c>
      <c r="F27" s="16">
        <f t="shared" si="0"/>
        <v>1.0406828703703703</v>
      </c>
      <c r="G27" s="330">
        <f>SUM(G25:G26)</f>
        <v>165120</v>
      </c>
      <c r="H27" s="330">
        <f>SUM(H25:H26)</f>
        <v>168071</v>
      </c>
      <c r="I27" s="16">
        <f t="shared" si="1"/>
        <v>1.0178718507751938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331">
        <f>SUM(D24,D27)</f>
        <v>32592</v>
      </c>
      <c r="E28" s="331">
        <f>SUM(E24,E27)</f>
        <v>33774</v>
      </c>
      <c r="F28" s="17">
        <f t="shared" si="0"/>
        <v>1.0362665684830634</v>
      </c>
      <c r="G28" s="331">
        <f>SUM(G24,G27)</f>
        <v>321302.19999999995</v>
      </c>
      <c r="H28" s="331">
        <f>SUM(H24,H27)</f>
        <v>327167</v>
      </c>
      <c r="I28" s="17">
        <f t="shared" si="1"/>
        <v>1.0182532207996087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35</v>
      </c>
      <c r="C30" s="128" t="s">
        <v>29</v>
      </c>
      <c r="D30" s="328">
        <v>1000</v>
      </c>
      <c r="E30" s="329">
        <v>3590</v>
      </c>
      <c r="F30" s="14">
        <f>E30/D30</f>
        <v>3.59</v>
      </c>
      <c r="G30" s="332">
        <f>D30+'2018NOV'!G30</f>
        <v>12000</v>
      </c>
      <c r="H30" s="332">
        <f>E30+'2018NOV'!H30</f>
        <v>43104</v>
      </c>
      <c r="I30" s="14">
        <f>H30/G30</f>
        <v>3.5920000000000001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328">
        <v>0</v>
      </c>
      <c r="E31" s="329">
        <v>9455</v>
      </c>
      <c r="F31" s="14" t="e">
        <f t="shared" ref="F31:F47" si="2">E31/D31</f>
        <v>#DIV/0!</v>
      </c>
      <c r="G31" s="332">
        <f>D31+'2018NOV'!G31</f>
        <v>0</v>
      </c>
      <c r="H31" s="332">
        <f>E31+'2018NOV'!H31</f>
        <v>54078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330">
        <f>SUM(D30:D31)</f>
        <v>1000</v>
      </c>
      <c r="E32" s="330">
        <f>SUM(E30:E31)</f>
        <v>13045</v>
      </c>
      <c r="F32" s="14">
        <f t="shared" si="2"/>
        <v>13.045</v>
      </c>
      <c r="G32" s="330">
        <f>SUM(G30:G31)</f>
        <v>12000</v>
      </c>
      <c r="H32" s="330">
        <f>SUM(H30:H31)</f>
        <v>97182</v>
      </c>
      <c r="I32" s="14">
        <f t="shared" si="3"/>
        <v>8.0984999999999996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328">
        <v>5100</v>
      </c>
      <c r="E33" s="329">
        <v>786</v>
      </c>
      <c r="F33" s="14">
        <f t="shared" si="2"/>
        <v>0.15411764705882353</v>
      </c>
      <c r="G33" s="332">
        <f>D33+'2018NOV'!G33</f>
        <v>12250</v>
      </c>
      <c r="H33" s="332">
        <f>E33+'2018NOV'!H33</f>
        <v>7538</v>
      </c>
      <c r="I33" s="14">
        <f t="shared" si="3"/>
        <v>0.61534693877551017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334">
        <f>SUM(D32,D33)</f>
        <v>6100</v>
      </c>
      <c r="E34" s="334">
        <f>SUM(E32,E33)</f>
        <v>13831</v>
      </c>
      <c r="F34" s="14">
        <f t="shared" si="2"/>
        <v>2.267377049180328</v>
      </c>
      <c r="G34" s="334">
        <f>SUM(G32,G33)</f>
        <v>24250</v>
      </c>
      <c r="H34" s="334">
        <f>SUM(H32,H33)</f>
        <v>104720</v>
      </c>
      <c r="I34" s="14">
        <f t="shared" si="3"/>
        <v>4.3183505154639175</v>
      </c>
      <c r="J34" s="534"/>
      <c r="K34" s="534"/>
      <c r="L34" s="534"/>
      <c r="M34" s="543"/>
    </row>
    <row r="35" spans="1:13" ht="24.75" customHeight="1">
      <c r="A35" s="573" t="s">
        <v>37</v>
      </c>
      <c r="B35" s="555" t="s">
        <v>38</v>
      </c>
      <c r="C35" s="1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D35+'2018NOV'!G35</f>
        <v>434784</v>
      </c>
      <c r="H35" s="332">
        <f>E35+'2018NOV'!H35</f>
        <v>451801</v>
      </c>
      <c r="I35" s="14">
        <f t="shared" si="3"/>
        <v>1.0391389747552808</v>
      </c>
      <c r="J35" s="806" t="s">
        <v>253</v>
      </c>
      <c r="K35" s="806"/>
      <c r="L35" s="806"/>
      <c r="M35" s="807"/>
    </row>
    <row r="36" spans="1:13">
      <c r="A36" s="573"/>
      <c r="B36" s="555"/>
      <c r="C36" s="128" t="s">
        <v>40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434784</v>
      </c>
      <c r="H37" s="341">
        <f>SUM(H35:H36)</f>
        <v>451801</v>
      </c>
      <c r="I37" s="16">
        <f t="shared" si="3"/>
        <v>1.0391389747552808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40</v>
      </c>
      <c r="D38" s="328">
        <v>1100</v>
      </c>
      <c r="E38" s="329">
        <v>0</v>
      </c>
      <c r="F38" s="14">
        <f t="shared" si="2"/>
        <v>0</v>
      </c>
      <c r="G38" s="332">
        <f>D38+'2018NOV'!G38</f>
        <v>13200</v>
      </c>
      <c r="H38" s="332">
        <f>E38+'2018NOV'!H38</f>
        <v>0</v>
      </c>
      <c r="I38" s="14">
        <f t="shared" si="3"/>
        <v>0</v>
      </c>
      <c r="J38" s="525"/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330">
        <f>SUM(D38:D39)</f>
        <v>1100</v>
      </c>
      <c r="E40" s="330">
        <f>SUM(E38:E39)</f>
        <v>0</v>
      </c>
      <c r="F40" s="16">
        <f t="shared" si="2"/>
        <v>0</v>
      </c>
      <c r="G40" s="330">
        <f>SUM(G38:G39)</f>
        <v>13200</v>
      </c>
      <c r="H40" s="330">
        <f>SUM(H38:H39)</f>
        <v>0</v>
      </c>
      <c r="I40" s="16">
        <f t="shared" si="3"/>
        <v>0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334">
        <f>SUM(D37,D40)</f>
        <v>37332</v>
      </c>
      <c r="E41" s="334">
        <f>SUM(E37,E40)</f>
        <v>0</v>
      </c>
      <c r="F41" s="19">
        <f t="shared" si="2"/>
        <v>0</v>
      </c>
      <c r="G41" s="334">
        <f>SUM(G37,G40)</f>
        <v>447984</v>
      </c>
      <c r="H41" s="334">
        <f>SUM(H37,H40)</f>
        <v>451801</v>
      </c>
      <c r="I41" s="19">
        <f t="shared" si="3"/>
        <v>1.0085203935854852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335">
        <v>12500</v>
      </c>
      <c r="E42" s="336">
        <f>C140+E140+G140+I140</f>
        <v>26909</v>
      </c>
      <c r="F42" s="21">
        <f t="shared" si="2"/>
        <v>2.15272</v>
      </c>
      <c r="G42" s="342">
        <f>D42+'2018NOV'!G42</f>
        <v>141000</v>
      </c>
      <c r="H42" s="342">
        <f>E42+'2018NOV'!H42</f>
        <v>203304</v>
      </c>
      <c r="I42" s="21">
        <f t="shared" si="3"/>
        <v>1.4418723404255318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337">
        <v>20000</v>
      </c>
      <c r="E43" s="338">
        <v>451</v>
      </c>
      <c r="F43" s="21">
        <f t="shared" si="2"/>
        <v>2.2550000000000001E-2</v>
      </c>
      <c r="G43" s="342">
        <f>D43+'2018NOV'!G43</f>
        <v>90000</v>
      </c>
      <c r="H43" s="342">
        <f>E43+'2018NOV'!H43</f>
        <v>2862</v>
      </c>
      <c r="I43" s="21">
        <f t="shared" si="3"/>
        <v>3.1800000000000002E-2</v>
      </c>
      <c r="J43" s="572"/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337">
        <v>31500</v>
      </c>
      <c r="E44" s="338">
        <v>0</v>
      </c>
      <c r="F44" s="21">
        <f t="shared" si="2"/>
        <v>0</v>
      </c>
      <c r="G44" s="342">
        <f>D44+'2018NOV'!G44</f>
        <v>400000</v>
      </c>
      <c r="H44" s="342">
        <f>E44+'2018NOV'!H44</f>
        <v>399970</v>
      </c>
      <c r="I44" s="21">
        <f t="shared" si="3"/>
        <v>0.99992499999999995</v>
      </c>
      <c r="J44" s="570"/>
      <c r="K44" s="570"/>
      <c r="L44" s="570"/>
      <c r="M44" s="571"/>
    </row>
    <row r="45" spans="1:13" s="8" customFormat="1">
      <c r="A45" s="587" t="s">
        <v>46</v>
      </c>
      <c r="B45" s="588"/>
      <c r="C45" s="589"/>
      <c r="D45" s="339">
        <f>SUM(D28,D34,D41,D42:D44)</f>
        <v>140024</v>
      </c>
      <c r="E45" s="339">
        <f>SUM(E28,E34,E41,E42:E44)</f>
        <v>74965</v>
      </c>
      <c r="F45" s="22">
        <f t="shared" si="2"/>
        <v>0.53537250757013088</v>
      </c>
      <c r="G45" s="339">
        <f>SUM(G28,G34,G41,G42:G44)</f>
        <v>1424536.2</v>
      </c>
      <c r="H45" s="339">
        <f>SUM(H28,H34,H41,H42:H44)</f>
        <v>1489824</v>
      </c>
      <c r="I45" s="22">
        <f t="shared" si="3"/>
        <v>1.0458309167573279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339">
        <f>D45-D42</f>
        <v>127524</v>
      </c>
      <c r="E46" s="339">
        <f>E45-E42</f>
        <v>48056</v>
      </c>
      <c r="F46" s="22">
        <f t="shared" si="2"/>
        <v>0.37683886954612467</v>
      </c>
      <c r="G46" s="339">
        <f>G45-G42</f>
        <v>1283536.2</v>
      </c>
      <c r="H46" s="339">
        <f>H45-H42</f>
        <v>1286520</v>
      </c>
      <c r="I46" s="22">
        <f t="shared" si="3"/>
        <v>1.0023246714818017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340">
        <f>D46-D44</f>
        <v>96024</v>
      </c>
      <c r="E47" s="340">
        <f>E46-E44</f>
        <v>48056</v>
      </c>
      <c r="F47" s="23">
        <f t="shared" si="2"/>
        <v>0.50045821877863872</v>
      </c>
      <c r="G47" s="340">
        <f>G46-G44</f>
        <v>883536.2</v>
      </c>
      <c r="H47" s="340">
        <f>H46-H44</f>
        <v>886550</v>
      </c>
      <c r="I47" s="23">
        <f t="shared" si="3"/>
        <v>1.0034110656699748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348" t="s">
        <v>23</v>
      </c>
      <c r="E52" s="348" t="s">
        <v>24</v>
      </c>
      <c r="F52" s="348" t="s">
        <v>25</v>
      </c>
      <c r="G52" s="348" t="s">
        <v>23</v>
      </c>
      <c r="H52" s="348" t="s">
        <v>24</v>
      </c>
      <c r="I52" s="348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12</v>
      </c>
      <c r="E53" s="346">
        <v>31</v>
      </c>
      <c r="F53" s="28">
        <f t="shared" ref="F53:F79" si="4">E53/D53</f>
        <v>2.5833333333333335</v>
      </c>
      <c r="G53" s="66">
        <f>D53+'2018NOV'!G53</f>
        <v>140</v>
      </c>
      <c r="H53" s="66">
        <f>E53+'2018NOV'!H53</f>
        <v>222</v>
      </c>
      <c r="I53" s="28">
        <f t="shared" ref="I53:I79" si="5">H53/G53</f>
        <v>1.5857142857142856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300</v>
      </c>
      <c r="E54" s="346">
        <v>423</v>
      </c>
      <c r="F54" s="28">
        <f t="shared" si="4"/>
        <v>1.41</v>
      </c>
      <c r="G54" s="66">
        <f>D54+'2018NOV'!G54</f>
        <v>3600</v>
      </c>
      <c r="H54" s="66">
        <f>E54+'2018NOV'!H54</f>
        <v>4352</v>
      </c>
      <c r="I54" s="28">
        <f t="shared" si="5"/>
        <v>1.2088888888888889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347">
        <f>SUM(D53:D54)</f>
        <v>312</v>
      </c>
      <c r="E55" s="347">
        <f>SUM(E53:E54)</f>
        <v>454</v>
      </c>
      <c r="F55" s="30">
        <f t="shared" si="4"/>
        <v>1.4551282051282051</v>
      </c>
      <c r="G55" s="347">
        <f>SUM(G53:G54)</f>
        <v>3740</v>
      </c>
      <c r="H55" s="347">
        <f>SUM(H53:H54)</f>
        <v>4574</v>
      </c>
      <c r="I55" s="30">
        <f t="shared" si="5"/>
        <v>1.222994652406417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40</v>
      </c>
      <c r="E56" s="346">
        <v>121</v>
      </c>
      <c r="F56" s="28">
        <f t="shared" si="4"/>
        <v>3.0249999999999999</v>
      </c>
      <c r="G56" s="66">
        <f>D56+'2018NOV'!G56</f>
        <v>480</v>
      </c>
      <c r="H56" s="66">
        <f>E56+'2018NOV'!H56</f>
        <v>701</v>
      </c>
      <c r="I56" s="28">
        <f t="shared" si="5"/>
        <v>1.4604166666666667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600</v>
      </c>
      <c r="E57" s="346">
        <v>1110</v>
      </c>
      <c r="F57" s="28">
        <f t="shared" si="4"/>
        <v>1.85</v>
      </c>
      <c r="G57" s="66">
        <f>D57+'2018NOV'!G57</f>
        <v>7200</v>
      </c>
      <c r="H57" s="66">
        <f>E57+'2018NOV'!H57</f>
        <v>10397</v>
      </c>
      <c r="I57" s="28">
        <f t="shared" si="5"/>
        <v>1.4440277777777777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352">
        <f>SUM(D56:D57)</f>
        <v>640</v>
      </c>
      <c r="E58" s="352">
        <f>SUM(E56:E57)</f>
        <v>1231</v>
      </c>
      <c r="F58" s="28">
        <f t="shared" si="4"/>
        <v>1.9234374999999999</v>
      </c>
      <c r="G58" s="352">
        <f>SUM(G56:G57)</f>
        <v>7680</v>
      </c>
      <c r="H58" s="352">
        <f>SUM(H56:H57)</f>
        <v>11098</v>
      </c>
      <c r="I58" s="31">
        <f t="shared" si="5"/>
        <v>1.4450520833333333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353">
        <f>SUM(D53,D56)</f>
        <v>52</v>
      </c>
      <c r="E59" s="353">
        <f>SUM(E53,E56)</f>
        <v>152</v>
      </c>
      <c r="F59" s="32">
        <f t="shared" si="4"/>
        <v>2.9230769230769229</v>
      </c>
      <c r="G59" s="353">
        <f>SUM(G53,G56)</f>
        <v>620</v>
      </c>
      <c r="H59" s="353">
        <f>SUM(H53,H56)</f>
        <v>923</v>
      </c>
      <c r="I59" s="32">
        <f t="shared" si="5"/>
        <v>1.4887096774193549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353">
        <f>SUM(D54,D57)</f>
        <v>900</v>
      </c>
      <c r="E60" s="353">
        <f>SUM(E54,E57)</f>
        <v>1533</v>
      </c>
      <c r="F60" s="32">
        <f t="shared" si="4"/>
        <v>1.7033333333333334</v>
      </c>
      <c r="G60" s="353">
        <f>SUM(G54,G57)</f>
        <v>10800</v>
      </c>
      <c r="H60" s="353">
        <f>SUM(H54,H57)</f>
        <v>14749</v>
      </c>
      <c r="I60" s="32">
        <f t="shared" si="5"/>
        <v>1.3656481481481482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354">
        <f>SUM(D59:D60)</f>
        <v>952</v>
      </c>
      <c r="E61" s="354">
        <f>SUM(E59:E60)</f>
        <v>1685</v>
      </c>
      <c r="F61" s="33">
        <f t="shared" si="4"/>
        <v>1.7699579831932772</v>
      </c>
      <c r="G61" s="354">
        <f>SUM(G59:G60)</f>
        <v>11420</v>
      </c>
      <c r="H61" s="354">
        <f>SUM(H59:H60)</f>
        <v>15672</v>
      </c>
      <c r="I61" s="33">
        <f t="shared" si="5"/>
        <v>1.3723292469352013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42</v>
      </c>
      <c r="E62" s="343">
        <f>E71/10</f>
        <v>107.8</v>
      </c>
      <c r="F62" s="28">
        <f t="shared" si="4"/>
        <v>2.5666666666666664</v>
      </c>
      <c r="G62" s="66">
        <f>D62+'2018NOV'!G62</f>
        <v>490</v>
      </c>
      <c r="H62" s="66">
        <f>E62+'2018NOV'!H62</f>
        <v>771.89999999999986</v>
      </c>
      <c r="I62" s="28">
        <f t="shared" si="5"/>
        <v>1.5753061224489793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246">
        <v>1044</v>
      </c>
      <c r="E63" s="343">
        <f>E72/10</f>
        <v>1471.3</v>
      </c>
      <c r="F63" s="28">
        <f t="shared" si="4"/>
        <v>1.4092911877394636</v>
      </c>
      <c r="G63" s="248">
        <f>D63+'2018NOV'!G63</f>
        <v>12528</v>
      </c>
      <c r="H63" s="66">
        <f>E63+'2018NOV'!H63</f>
        <v>15137.699999999997</v>
      </c>
      <c r="I63" s="28">
        <f t="shared" si="5"/>
        <v>1.2083093869731798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1086</v>
      </c>
      <c r="E64" s="347">
        <f>SUM(E62:E63)</f>
        <v>1579.1</v>
      </c>
      <c r="F64" s="30">
        <f t="shared" si="4"/>
        <v>1.4540515653775321</v>
      </c>
      <c r="G64" s="347">
        <f>SUM(G62:G63)</f>
        <v>13018</v>
      </c>
      <c r="H64" s="347">
        <f>SUM(H62:H63)</f>
        <v>15909.599999999997</v>
      </c>
      <c r="I64" s="30">
        <f t="shared" si="5"/>
        <v>1.2221232140113687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64</v>
      </c>
      <c r="E65" s="343">
        <f>E74/10</f>
        <v>157.4</v>
      </c>
      <c r="F65" s="28">
        <f t="shared" si="4"/>
        <v>2.4593750000000001</v>
      </c>
      <c r="G65" s="66">
        <f>D65+'2018NOV'!G65</f>
        <v>768</v>
      </c>
      <c r="H65" s="66">
        <f>E65+'2018NOV'!H65</f>
        <v>910.30000000000007</v>
      </c>
      <c r="I65" s="28">
        <f t="shared" si="5"/>
        <v>1.1852864583333333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960</v>
      </c>
      <c r="E66" s="343">
        <f>E75/10</f>
        <v>1640.9</v>
      </c>
      <c r="F66" s="28">
        <f t="shared" si="4"/>
        <v>1.7092708333333335</v>
      </c>
      <c r="G66" s="66">
        <f>D66+'2018NOV'!G66</f>
        <v>11520</v>
      </c>
      <c r="H66" s="66">
        <f>E66+'2018NOV'!H66</f>
        <v>15896.800000000001</v>
      </c>
      <c r="I66" s="28">
        <f t="shared" si="5"/>
        <v>1.3799305555555557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352">
        <f>SUM(D65:D66)</f>
        <v>1024</v>
      </c>
      <c r="E67" s="352">
        <f>SUM(E65:E66)</f>
        <v>1798.3000000000002</v>
      </c>
      <c r="F67" s="31">
        <f t="shared" si="4"/>
        <v>1.7561523437500002</v>
      </c>
      <c r="G67" s="352">
        <f>SUM(G65:G66)</f>
        <v>12288</v>
      </c>
      <c r="H67" s="352">
        <f>SUM(H65:H66)</f>
        <v>16807.100000000002</v>
      </c>
      <c r="I67" s="31">
        <f t="shared" si="5"/>
        <v>1.3677652994791669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353">
        <f>SUM(D62,D65)</f>
        <v>106</v>
      </c>
      <c r="E68" s="353">
        <f>SUM(E62,E65)</f>
        <v>265.2</v>
      </c>
      <c r="F68" s="32">
        <f t="shared" si="4"/>
        <v>2.5018867924528303</v>
      </c>
      <c r="G68" s="353">
        <f>SUM(G62,G65)</f>
        <v>1258</v>
      </c>
      <c r="H68" s="353">
        <f>SUM(H62,H65)</f>
        <v>1682.1999999999998</v>
      </c>
      <c r="I68" s="32">
        <f t="shared" si="5"/>
        <v>1.3372019077901429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353">
        <f>SUM(D63,D66)</f>
        <v>2004</v>
      </c>
      <c r="E69" s="353">
        <f>SUM(E63,E66)</f>
        <v>3112.2</v>
      </c>
      <c r="F69" s="32">
        <f t="shared" si="4"/>
        <v>1.5529940119760479</v>
      </c>
      <c r="G69" s="353">
        <f>SUM(G63,G66)</f>
        <v>24048</v>
      </c>
      <c r="H69" s="353">
        <f>SUM(H63,H66)</f>
        <v>31034.5</v>
      </c>
      <c r="I69" s="32">
        <f t="shared" si="5"/>
        <v>1.290523120425815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354">
        <f>SUM(D68:D69)</f>
        <v>2110</v>
      </c>
      <c r="E70" s="354">
        <f>SUM(E68:E69)</f>
        <v>3377.3999999999996</v>
      </c>
      <c r="F70" s="34">
        <f t="shared" si="4"/>
        <v>1.6006635071090045</v>
      </c>
      <c r="G70" s="354">
        <f>SUM(G68:G69)</f>
        <v>25306</v>
      </c>
      <c r="H70" s="354">
        <f>SUM(H68:H69)</f>
        <v>32716.7</v>
      </c>
      <c r="I70" s="34">
        <f t="shared" si="5"/>
        <v>1.2928435944044891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4872</v>
      </c>
      <c r="E71" s="346">
        <v>1078</v>
      </c>
      <c r="F71" s="28">
        <f t="shared" si="4"/>
        <v>0.22126436781609196</v>
      </c>
      <c r="G71" s="179">
        <f>D71+'2018NOV'!G71</f>
        <v>30902.199999999997</v>
      </c>
      <c r="H71" s="66">
        <f>E71+'2018NOV'!H71</f>
        <v>7719</v>
      </c>
      <c r="I71" s="28">
        <f t="shared" si="5"/>
        <v>0.24978804098090107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246">
        <v>10440</v>
      </c>
      <c r="E72" s="360">
        <f>E23-E71</f>
        <v>14713</v>
      </c>
      <c r="F72" s="28">
        <f t="shared" si="4"/>
        <v>1.4092911877394636</v>
      </c>
      <c r="G72" s="248">
        <f>D72+'2018NOV'!G72</f>
        <v>125280</v>
      </c>
      <c r="H72" s="66">
        <f>E72+'2018NOV'!H72</f>
        <v>151377</v>
      </c>
      <c r="I72" s="28">
        <f t="shared" si="5"/>
        <v>1.20830938697318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347">
        <f>SUM(D71:D72)</f>
        <v>15312</v>
      </c>
      <c r="E73" s="347">
        <f>SUM(E71:E72)</f>
        <v>15791</v>
      </c>
      <c r="F73" s="30">
        <f t="shared" si="4"/>
        <v>1.0312826541274818</v>
      </c>
      <c r="G73" s="347">
        <f>SUM(G71:G72)</f>
        <v>156182.20000000001</v>
      </c>
      <c r="H73" s="347">
        <f>SUM(H71:H72)</f>
        <v>159096</v>
      </c>
      <c r="I73" s="30">
        <f t="shared" si="5"/>
        <v>1.0186564153917668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7680</v>
      </c>
      <c r="E74" s="346">
        <v>1574</v>
      </c>
      <c r="F74" s="28">
        <f t="shared" si="4"/>
        <v>0.20494791666666667</v>
      </c>
      <c r="G74" s="179">
        <f>D74+'2018NOV'!G74</f>
        <v>49920</v>
      </c>
      <c r="H74" s="66">
        <f>E74+'2018NOV'!H74</f>
        <v>9103</v>
      </c>
      <c r="I74" s="28">
        <f t="shared" si="5"/>
        <v>0.18235176282051282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246">
        <v>9600</v>
      </c>
      <c r="E75" s="360">
        <f>E25-E74</f>
        <v>16409</v>
      </c>
      <c r="F75" s="28">
        <f t="shared" si="4"/>
        <v>1.7092708333333333</v>
      </c>
      <c r="G75" s="248">
        <f>D75+'2018NOV'!G75</f>
        <v>115200</v>
      </c>
      <c r="H75" s="66">
        <f>E75+'2018NOV'!H75</f>
        <v>158968</v>
      </c>
      <c r="I75" s="28">
        <f t="shared" si="5"/>
        <v>1.3799305555555557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352">
        <f>SUM(D74:D75)</f>
        <v>17280</v>
      </c>
      <c r="E76" s="352">
        <f>SUM(E74:E75)</f>
        <v>17983</v>
      </c>
      <c r="F76" s="31">
        <f t="shared" si="4"/>
        <v>1.0406828703703703</v>
      </c>
      <c r="G76" s="352">
        <f>SUM(G74:G75)</f>
        <v>165120</v>
      </c>
      <c r="H76" s="352">
        <f>SUM(H74:H75)</f>
        <v>168071</v>
      </c>
      <c r="I76" s="31">
        <f t="shared" si="5"/>
        <v>1.0178718507751938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353">
        <f>SUM(D71,D74)</f>
        <v>12552</v>
      </c>
      <c r="E77" s="353">
        <f>SUM(E71,E74)</f>
        <v>2652</v>
      </c>
      <c r="F77" s="32">
        <f t="shared" si="4"/>
        <v>0.21128107074569791</v>
      </c>
      <c r="G77" s="353">
        <f>SUM(G71,G74)</f>
        <v>80822.2</v>
      </c>
      <c r="H77" s="353">
        <f>SUM(H71,H74)</f>
        <v>16822</v>
      </c>
      <c r="I77" s="32">
        <f t="shared" si="5"/>
        <v>0.20813588345776285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353">
        <f>SUM(D72,D75)</f>
        <v>20040</v>
      </c>
      <c r="E78" s="353">
        <f>SUM(E72,E75)</f>
        <v>31122</v>
      </c>
      <c r="F78" s="32">
        <f t="shared" si="4"/>
        <v>1.5529940119760479</v>
      </c>
      <c r="G78" s="353">
        <f>SUM(G72,G75)</f>
        <v>240480</v>
      </c>
      <c r="H78" s="353">
        <f>SUM(H72,H75)</f>
        <v>310345</v>
      </c>
      <c r="I78" s="32">
        <f t="shared" si="5"/>
        <v>1.290523120425815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354">
        <f>SUM(D77:D78)</f>
        <v>32592</v>
      </c>
      <c r="E79" s="354">
        <f>SUM(E77:E78)</f>
        <v>33774</v>
      </c>
      <c r="F79" s="34">
        <f t="shared" si="4"/>
        <v>1.0362665684830634</v>
      </c>
      <c r="G79" s="354">
        <f>SUM(G77:G78)</f>
        <v>321302.2</v>
      </c>
      <c r="H79" s="354">
        <f>SUM(H77:H78)</f>
        <v>327167</v>
      </c>
      <c r="I79" s="34">
        <f t="shared" si="5"/>
        <v>1.0182532207996084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454</v>
      </c>
      <c r="E87" s="130"/>
      <c r="F87" s="134">
        <f>D87+'2018NOV'!F87</f>
        <v>4574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31</v>
      </c>
      <c r="E88" s="128"/>
      <c r="F88" s="134">
        <f>D88+'2018NOV'!F88</f>
        <v>222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12</v>
      </c>
      <c r="E89" s="128">
        <f>D89/D87</f>
        <v>2.643171806167401E-2</v>
      </c>
      <c r="F89" s="134">
        <f>D89+'2018NOV'!F89</f>
        <v>67</v>
      </c>
      <c r="G89" s="128">
        <f>F89/F87</f>
        <v>1.464801049409707E-2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16</v>
      </c>
      <c r="E90" s="128">
        <f>D90/D92</f>
        <v>0.13793103448275862</v>
      </c>
      <c r="F90" s="134">
        <f>D90+'2018NOV'!F90</f>
        <v>223</v>
      </c>
      <c r="G90" s="128">
        <f>F90/F92</f>
        <v>9.5055413469735714E-2</v>
      </c>
      <c r="H90" s="128"/>
    </row>
    <row r="91" spans="1:13" ht="15" customHeight="1">
      <c r="A91" s="774"/>
      <c r="B91" s="775" t="s">
        <v>202</v>
      </c>
      <c r="C91" s="775"/>
      <c r="D91" s="131">
        <v>143</v>
      </c>
      <c r="E91" s="128">
        <f>D91/D92</f>
        <v>1.2327586206896552</v>
      </c>
      <c r="F91" s="134">
        <f>D91+'2018NOV'!F91</f>
        <v>2413</v>
      </c>
      <c r="G91" s="128">
        <f>F91/F92</f>
        <v>1.0285592497868712</v>
      </c>
      <c r="H91" s="128"/>
    </row>
    <row r="92" spans="1:13" ht="15" customHeight="1">
      <c r="A92" s="774"/>
      <c r="B92" s="775" t="s">
        <v>203</v>
      </c>
      <c r="C92" s="775"/>
      <c r="D92" s="131">
        <v>116</v>
      </c>
      <c r="E92" s="130"/>
      <c r="F92" s="134">
        <f>D92+'2018NOV'!F92</f>
        <v>2346</v>
      </c>
      <c r="G92" s="130"/>
      <c r="H92" s="128"/>
    </row>
    <row r="93" spans="1:13">
      <c r="C93" s="126" t="s">
        <v>210</v>
      </c>
      <c r="D93" s="132">
        <v>570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348" t="s">
        <v>23</v>
      </c>
      <c r="E97" s="348" t="s">
        <v>24</v>
      </c>
      <c r="F97" s="348" t="s">
        <v>25</v>
      </c>
      <c r="G97" s="348" t="s">
        <v>23</v>
      </c>
      <c r="H97" s="348" t="s">
        <v>24</v>
      </c>
      <c r="I97" s="348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346">
        <v>0</v>
      </c>
      <c r="F98" s="37" t="e">
        <f>E98/D98</f>
        <v>#DIV/0!</v>
      </c>
      <c r="G98" s="66">
        <f>D98+'2018NOV'!G98</f>
        <v>0</v>
      </c>
      <c r="H98" s="66">
        <f>E98+'2018NOV'!H98</f>
        <v>2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41</v>
      </c>
      <c r="E99" s="346">
        <v>21</v>
      </c>
      <c r="F99" s="28">
        <f t="shared" ref="F99:F115" si="6">E99/D99</f>
        <v>0.51219512195121952</v>
      </c>
      <c r="G99" s="66">
        <f>D99+'2018NOV'!G99</f>
        <v>492</v>
      </c>
      <c r="H99" s="66">
        <f>E99+'2018NOV'!H99</f>
        <v>443</v>
      </c>
      <c r="I99" s="28">
        <f t="shared" ref="I99:I115" si="7">H99/G99</f>
        <v>0.90040650406504064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347">
        <f>SUM(D98:D99)</f>
        <v>41</v>
      </c>
      <c r="E100" s="347">
        <f>SUM(E98:E99)</f>
        <v>21</v>
      </c>
      <c r="F100" s="30">
        <f t="shared" si="6"/>
        <v>0.51219512195121952</v>
      </c>
      <c r="G100" s="347">
        <f>SUM(G98:G99)</f>
        <v>492</v>
      </c>
      <c r="H100" s="347">
        <f>SUM(H98:H99)</f>
        <v>445</v>
      </c>
      <c r="I100" s="30">
        <f t="shared" si="7"/>
        <v>0.90447154471544711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346">
        <v>1</v>
      </c>
      <c r="F101" s="28" t="e">
        <f t="shared" si="6"/>
        <v>#DIV/0!</v>
      </c>
      <c r="G101" s="66">
        <f>D101+'2018NOV'!G101</f>
        <v>0</v>
      </c>
      <c r="H101" s="66">
        <f>E101+'2018NOV'!H101</f>
        <v>1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11</v>
      </c>
      <c r="E102" s="346">
        <v>8</v>
      </c>
      <c r="F102" s="28">
        <f t="shared" si="6"/>
        <v>0.72727272727272729</v>
      </c>
      <c r="G102" s="66">
        <f>D102+'2018NOV'!G102</f>
        <v>132</v>
      </c>
      <c r="H102" s="66">
        <f>E102+'2018NOV'!H102</f>
        <v>112</v>
      </c>
      <c r="I102" s="28">
        <f t="shared" si="7"/>
        <v>0.84848484848484851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347">
        <f>SUM(D101:D102)</f>
        <v>11</v>
      </c>
      <c r="E103" s="347">
        <f>SUM(E101:E102)</f>
        <v>9</v>
      </c>
      <c r="F103" s="30">
        <f t="shared" si="6"/>
        <v>0.81818181818181823</v>
      </c>
      <c r="G103" s="347">
        <f>SUM(G101:G102)</f>
        <v>132</v>
      </c>
      <c r="H103" s="347">
        <f>SUM(H101:H102)</f>
        <v>113</v>
      </c>
      <c r="I103" s="30">
        <f t="shared" si="7"/>
        <v>0.85606060606060608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0</v>
      </c>
      <c r="E104" s="346">
        <v>0</v>
      </c>
      <c r="F104" s="28" t="e">
        <f t="shared" si="6"/>
        <v>#DIV/0!</v>
      </c>
      <c r="G104" s="66">
        <f>D104+'2018NOV'!G104</f>
        <v>0</v>
      </c>
      <c r="H104" s="66">
        <f>E104+'2018NOV'!H104</f>
        <v>18</v>
      </c>
      <c r="I104" s="28" t="e">
        <f t="shared" si="7"/>
        <v>#DIV/0!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63</v>
      </c>
      <c r="E105" s="346">
        <v>73</v>
      </c>
      <c r="F105" s="28">
        <f t="shared" si="6"/>
        <v>1.1587301587301588</v>
      </c>
      <c r="G105" s="66">
        <f>D105+'2018NOV'!G105</f>
        <v>756</v>
      </c>
      <c r="H105" s="66">
        <f>E105+'2018NOV'!H105</f>
        <v>744</v>
      </c>
      <c r="I105" s="28">
        <f t="shared" si="7"/>
        <v>0.98412698412698407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347">
        <f>SUM(D104:D105)</f>
        <v>63</v>
      </c>
      <c r="E106" s="347">
        <f>SUM(E104:E105)</f>
        <v>73</v>
      </c>
      <c r="F106" s="30">
        <f t="shared" si="6"/>
        <v>1.1587301587301588</v>
      </c>
      <c r="G106" s="347">
        <f>SUM(G104:G105)</f>
        <v>756</v>
      </c>
      <c r="H106" s="347">
        <f>SUM(H104:H105)</f>
        <v>762</v>
      </c>
      <c r="I106" s="30">
        <f t="shared" si="7"/>
        <v>1.0079365079365079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2</v>
      </c>
      <c r="E107" s="346">
        <v>6</v>
      </c>
      <c r="F107" s="28">
        <f>E107/D107</f>
        <v>3</v>
      </c>
      <c r="G107" s="66">
        <f>D107+'2018NOV'!G107</f>
        <v>22</v>
      </c>
      <c r="H107" s="66">
        <f>E107+'2018NOV'!H107</f>
        <v>54</v>
      </c>
      <c r="I107" s="28">
        <f>H107/G107</f>
        <v>2.4545454545454546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120</v>
      </c>
      <c r="E108" s="346">
        <v>133</v>
      </c>
      <c r="F108" s="28">
        <f>E108/D108</f>
        <v>1.1083333333333334</v>
      </c>
      <c r="G108" s="66">
        <f>D108+'2018NOV'!G108</f>
        <v>1310</v>
      </c>
      <c r="H108" s="66">
        <f>E108+'2018NOV'!H108</f>
        <v>1340</v>
      </c>
      <c r="I108" s="28">
        <f t="shared" si="7"/>
        <v>1.0229007633587786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347">
        <f>SUM(D107:D108)</f>
        <v>122</v>
      </c>
      <c r="E109" s="347">
        <f>SUM(E107:E108)</f>
        <v>139</v>
      </c>
      <c r="F109" s="30">
        <f t="shared" si="6"/>
        <v>1.139344262295082</v>
      </c>
      <c r="G109" s="347">
        <f>SUM(G107:G108)</f>
        <v>1332</v>
      </c>
      <c r="H109" s="347">
        <f>SUM(H107:H108)</f>
        <v>1394</v>
      </c>
      <c r="I109" s="30">
        <f t="shared" si="7"/>
        <v>1.0465465465465464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8</v>
      </c>
      <c r="E110" s="346">
        <v>14</v>
      </c>
      <c r="F110" s="30">
        <f>E110/D110</f>
        <v>1.75</v>
      </c>
      <c r="G110" s="66">
        <f>D110+'2018NOV'!G110</f>
        <v>96</v>
      </c>
      <c r="H110" s="66">
        <f>E110+'2018NOV'!H110</f>
        <v>85</v>
      </c>
      <c r="I110" s="30">
        <f>H110/G110</f>
        <v>0.88541666666666663</v>
      </c>
      <c r="J110" s="349"/>
      <c r="K110" s="350"/>
      <c r="L110" s="350"/>
      <c r="M110" s="351"/>
    </row>
    <row r="111" spans="1:13">
      <c r="A111" s="573"/>
      <c r="B111" s="777"/>
      <c r="C111" s="27" t="s">
        <v>70</v>
      </c>
      <c r="D111" s="65">
        <v>88</v>
      </c>
      <c r="E111" s="346">
        <v>72</v>
      </c>
      <c r="F111" s="30">
        <f t="shared" ref="F111:F112" si="8">E111/D111</f>
        <v>0.81818181818181823</v>
      </c>
      <c r="G111" s="66">
        <f>D111+'2018NOV'!G111</f>
        <v>528</v>
      </c>
      <c r="H111" s="66">
        <f>E111+'2018NOV'!H111</f>
        <v>458</v>
      </c>
      <c r="I111" s="30">
        <f t="shared" ref="I111:I112" si="9">H111/G111</f>
        <v>0.86742424242424243</v>
      </c>
      <c r="J111" s="349"/>
      <c r="K111" s="350"/>
      <c r="L111" s="350"/>
      <c r="M111" s="351"/>
    </row>
    <row r="112" spans="1:13">
      <c r="A112" s="573"/>
      <c r="B112" s="778"/>
      <c r="C112" s="38" t="s">
        <v>166</v>
      </c>
      <c r="D112" s="347">
        <f>SUM(D110:D111)</f>
        <v>96</v>
      </c>
      <c r="E112" s="347">
        <f>SUM(E110:E111)</f>
        <v>86</v>
      </c>
      <c r="F112" s="30">
        <f t="shared" si="8"/>
        <v>0.89583333333333337</v>
      </c>
      <c r="G112" s="347">
        <f>SUM(G110:G111)</f>
        <v>624</v>
      </c>
      <c r="H112" s="347">
        <f>SUM(H110:H111)</f>
        <v>543</v>
      </c>
      <c r="I112" s="30">
        <f t="shared" si="9"/>
        <v>0.87019230769230771</v>
      </c>
      <c r="J112" s="349"/>
      <c r="K112" s="350"/>
      <c r="L112" s="350"/>
      <c r="M112" s="351"/>
    </row>
    <row r="113" spans="1:13">
      <c r="A113" s="573"/>
      <c r="B113" s="603" t="s">
        <v>46</v>
      </c>
      <c r="C113" s="39" t="s">
        <v>69</v>
      </c>
      <c r="D113" s="352">
        <f>SUM(D98,D101,D104,D107,D110)</f>
        <v>10</v>
      </c>
      <c r="E113" s="352">
        <f>SUM(E98,E101,E104,E107,E110)</f>
        <v>21</v>
      </c>
      <c r="F113" s="31">
        <f t="shared" si="6"/>
        <v>2.1</v>
      </c>
      <c r="G113" s="352">
        <f>SUM(G98,G101,G104,G107,G110)</f>
        <v>118</v>
      </c>
      <c r="H113" s="352">
        <f>SUM(H98,H101,H104,H107,H110)</f>
        <v>160</v>
      </c>
      <c r="I113" s="31">
        <f t="shared" si="7"/>
        <v>1.3559322033898304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352">
        <f>SUM(D99,D102,D105,D108,D111)</f>
        <v>323</v>
      </c>
      <c r="E114" s="352">
        <f>SUM(E99,E102,E105,E108,E111)</f>
        <v>307</v>
      </c>
      <c r="F114" s="31">
        <f t="shared" si="6"/>
        <v>0.9504643962848297</v>
      </c>
      <c r="G114" s="352">
        <f>SUM(G99,G102,G105,G108,G111)</f>
        <v>3218</v>
      </c>
      <c r="H114" s="352">
        <f>SUM(H99,H102,H105,H108,H111)</f>
        <v>3097</v>
      </c>
      <c r="I114" s="31">
        <f t="shared" si="7"/>
        <v>0.96239900559353631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355">
        <f>SUM(D113:D114)</f>
        <v>333</v>
      </c>
      <c r="E115" s="355">
        <f>SUM(E113:E114)</f>
        <v>328</v>
      </c>
      <c r="F115" s="41">
        <f t="shared" si="6"/>
        <v>0.98498498498498499</v>
      </c>
      <c r="G115" s="355">
        <f>SUM(G113:G114)</f>
        <v>3336</v>
      </c>
      <c r="H115" s="355">
        <f>SUM(H113:H114)</f>
        <v>3257</v>
      </c>
      <c r="I115" s="41">
        <f t="shared" si="7"/>
        <v>0.97631894484412474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2</v>
      </c>
      <c r="E116" s="64">
        <v>1</v>
      </c>
      <c r="F116" s="43">
        <f>E116/D116</f>
        <v>0.5</v>
      </c>
      <c r="G116" s="70">
        <f>D116+'2018NOV'!G116</f>
        <v>22</v>
      </c>
      <c r="H116" s="70">
        <f>E116+'2018NOV'!H116</f>
        <v>34</v>
      </c>
      <c r="I116" s="43">
        <f>H116/G116</f>
        <v>1.5454545454545454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68</v>
      </c>
      <c r="E117" s="346">
        <v>79</v>
      </c>
      <c r="F117" s="28">
        <f t="shared" ref="F117:F126" si="10">E117/D117</f>
        <v>1.161764705882353</v>
      </c>
      <c r="G117" s="71">
        <f>D117+'2018NOV'!G117</f>
        <v>686</v>
      </c>
      <c r="H117" s="71">
        <f>E117+'2018NOV'!H117</f>
        <v>723</v>
      </c>
      <c r="I117" s="28">
        <f t="shared" ref="I117:I126" si="11">H117/G117</f>
        <v>1.0539358600583091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347">
        <f>SUM(D116:D117)</f>
        <v>70</v>
      </c>
      <c r="E118" s="347">
        <f>SUM(E116:E117)</f>
        <v>80</v>
      </c>
      <c r="F118" s="30">
        <f t="shared" si="10"/>
        <v>1.1428571428571428</v>
      </c>
      <c r="G118" s="347">
        <f>SUM(G116:G117)</f>
        <v>708</v>
      </c>
      <c r="H118" s="347">
        <f>SUM(H116:H117)</f>
        <v>757</v>
      </c>
      <c r="I118" s="30">
        <f t="shared" si="11"/>
        <v>1.0692090395480225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346">
        <v>0</v>
      </c>
      <c r="F119" s="28" t="e">
        <f t="shared" si="10"/>
        <v>#DIV/0!</v>
      </c>
      <c r="G119" s="66">
        <f>D119+'2018NOV'!G119</f>
        <v>0</v>
      </c>
      <c r="H119" s="66">
        <f>E119+'2018NOV'!H119</f>
        <v>7</v>
      </c>
      <c r="I119" s="28" t="e">
        <f t="shared" si="11"/>
        <v>#DIV/0!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37</v>
      </c>
      <c r="E120" s="346">
        <v>46</v>
      </c>
      <c r="F120" s="28">
        <f t="shared" si="10"/>
        <v>1.2432432432432432</v>
      </c>
      <c r="G120" s="66">
        <f>D120+'2018NOV'!G120</f>
        <v>444</v>
      </c>
      <c r="H120" s="66">
        <f>E120+'2018NOV'!H120</f>
        <v>553</v>
      </c>
      <c r="I120" s="28">
        <f t="shared" si="11"/>
        <v>1.2454954954954955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347">
        <f>SUM(D119:D120)</f>
        <v>37</v>
      </c>
      <c r="E121" s="347">
        <f>SUM(E119:E120)</f>
        <v>46</v>
      </c>
      <c r="F121" s="30">
        <f t="shared" si="10"/>
        <v>1.2432432432432432</v>
      </c>
      <c r="G121" s="347">
        <f>SUM(G119:G120)</f>
        <v>444</v>
      </c>
      <c r="H121" s="347">
        <f>SUM(H119:H120)</f>
        <v>560</v>
      </c>
      <c r="I121" s="30">
        <f t="shared" si="11"/>
        <v>1.2612612612612613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352">
        <f>SUM(D116,D119)</f>
        <v>2</v>
      </c>
      <c r="E122" s="352">
        <f>SUM(E116,E119)</f>
        <v>1</v>
      </c>
      <c r="F122" s="30">
        <f t="shared" si="10"/>
        <v>0.5</v>
      </c>
      <c r="G122" s="352">
        <f>SUM(G116,G119)</f>
        <v>22</v>
      </c>
      <c r="H122" s="352">
        <f>SUM(H116,H119)</f>
        <v>41</v>
      </c>
      <c r="I122" s="30">
        <f t="shared" si="11"/>
        <v>1.8636363636363635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352">
        <f>SUM(D117,D120)</f>
        <v>105</v>
      </c>
      <c r="E123" s="352">
        <f>SUM(E117,E120)</f>
        <v>125</v>
      </c>
      <c r="F123" s="30">
        <f t="shared" si="10"/>
        <v>1.1904761904761905</v>
      </c>
      <c r="G123" s="352">
        <f>SUM(G117,G120)</f>
        <v>1130</v>
      </c>
      <c r="H123" s="352">
        <f>SUM(H117,H120)</f>
        <v>1276</v>
      </c>
      <c r="I123" s="30">
        <f t="shared" si="11"/>
        <v>1.1292035398230089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355">
        <f>SUM(D122:D123)</f>
        <v>107</v>
      </c>
      <c r="E124" s="355">
        <f>SUM(E122:E123)</f>
        <v>126</v>
      </c>
      <c r="F124" s="41">
        <f t="shared" si="10"/>
        <v>1.1775700934579438</v>
      </c>
      <c r="G124" s="355">
        <f>SUM(G122:G123)</f>
        <v>1152</v>
      </c>
      <c r="H124" s="355">
        <f>SUM(H122:H123)</f>
        <v>1317</v>
      </c>
      <c r="I124" s="41">
        <f t="shared" si="11"/>
        <v>1.1432291666666667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357">
        <f>SUM(D113,D122)</f>
        <v>12</v>
      </c>
      <c r="E125" s="357">
        <f>SUM(E113,E122)</f>
        <v>22</v>
      </c>
      <c r="F125" s="45">
        <f t="shared" si="10"/>
        <v>1.8333333333333333</v>
      </c>
      <c r="G125" s="46">
        <f>SUM(G113,G122)</f>
        <v>140</v>
      </c>
      <c r="H125" s="46">
        <f>SUM(H113,H122)</f>
        <v>201</v>
      </c>
      <c r="I125" s="45">
        <f t="shared" si="11"/>
        <v>1.4357142857142857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353">
        <f>SUM(D114,D123)</f>
        <v>428</v>
      </c>
      <c r="E126" s="353">
        <f>SUM(E114,E123)</f>
        <v>432</v>
      </c>
      <c r="F126" s="32">
        <f t="shared" si="10"/>
        <v>1.0093457943925233</v>
      </c>
      <c r="G126" s="353">
        <f>SUM(G114,G123)</f>
        <v>4348</v>
      </c>
      <c r="H126" s="353">
        <f>SUM(H114,H123)</f>
        <v>4373</v>
      </c>
      <c r="I126" s="32">
        <f t="shared" si="11"/>
        <v>1.0057497700091997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353">
        <f>SUM(D125:D126)</f>
        <v>440</v>
      </c>
      <c r="E127" s="353">
        <f>SUM(E125:E126)</f>
        <v>454</v>
      </c>
      <c r="F127" s="49">
        <f>E127/D127</f>
        <v>1.0318181818181817</v>
      </c>
      <c r="G127" s="357">
        <f>SUM(G125:G126)</f>
        <v>4488</v>
      </c>
      <c r="H127" s="357">
        <f>SUM(H125:H126)</f>
        <v>4574</v>
      </c>
      <c r="I127" s="49">
        <f>H127/G127</f>
        <v>1.0191622103386808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226</v>
      </c>
      <c r="J134" s="631"/>
      <c r="K134" s="632"/>
      <c r="L134" s="634"/>
    </row>
    <row r="135" spans="1:12">
      <c r="A135" s="628" t="s">
        <v>91</v>
      </c>
      <c r="B135" s="629"/>
      <c r="C135" s="649">
        <v>35</v>
      </c>
      <c r="D135" s="650"/>
      <c r="E135" s="649">
        <v>2</v>
      </c>
      <c r="F135" s="650"/>
      <c r="G135" s="649">
        <v>2</v>
      </c>
      <c r="H135" s="650"/>
      <c r="I135" s="649">
        <v>21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356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356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356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356" t="s">
        <v>99</v>
      </c>
      <c r="C140" s="656">
        <v>104</v>
      </c>
      <c r="D140" s="656"/>
      <c r="E140" s="656">
        <v>24</v>
      </c>
      <c r="F140" s="656"/>
      <c r="G140" s="656">
        <v>32</v>
      </c>
      <c r="H140" s="656"/>
      <c r="I140" s="770">
        <v>26749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172</v>
      </c>
      <c r="D145" s="663"/>
      <c r="E145" s="664"/>
      <c r="F145" s="662" t="s">
        <v>173</v>
      </c>
      <c r="G145" s="663"/>
      <c r="H145" s="663"/>
      <c r="I145" s="664"/>
      <c r="J145" s="663" t="s">
        <v>102</v>
      </c>
      <c r="K145" s="663"/>
      <c r="L145" s="663"/>
      <c r="M145" s="665"/>
    </row>
    <row r="146" spans="1:13" ht="47.25" customHeight="1">
      <c r="A146" s="716" t="s">
        <v>103</v>
      </c>
      <c r="B146" s="717"/>
      <c r="C146" s="718" t="s">
        <v>263</v>
      </c>
      <c r="D146" s="723"/>
      <c r="E146" s="724"/>
      <c r="F146" s="744" t="s">
        <v>265</v>
      </c>
      <c r="G146" s="748"/>
      <c r="H146" s="748"/>
      <c r="I146" s="749"/>
      <c r="J146" s="745" t="s">
        <v>264</v>
      </c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151</v>
      </c>
      <c r="D148" s="719"/>
      <c r="E148" s="720"/>
      <c r="F148" s="744" t="s">
        <v>151</v>
      </c>
      <c r="G148" s="745"/>
      <c r="H148" s="745"/>
      <c r="I148" s="746"/>
      <c r="J148" s="744" t="s">
        <v>151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59" t="s">
        <v>109</v>
      </c>
      <c r="C154" s="359" t="s">
        <v>110</v>
      </c>
      <c r="D154" s="359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>
        <v>0</v>
      </c>
      <c r="B155" s="291">
        <f>'2018NOV'!H155</f>
        <v>2419</v>
      </c>
      <c r="C155" s="63">
        <f>E45-E44</f>
        <v>74965</v>
      </c>
      <c r="D155" s="73">
        <f>74452</f>
        <v>74452</v>
      </c>
      <c r="E155" s="681" t="s">
        <v>114</v>
      </c>
      <c r="F155" s="681"/>
      <c r="G155" s="681"/>
      <c r="H155" s="72">
        <f>C155+A155+B155-D155</f>
        <v>2932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25346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360"/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18782</v>
      </c>
      <c r="H165" s="790"/>
      <c r="I165" s="791"/>
      <c r="J165" s="791"/>
      <c r="K165" s="792"/>
    </row>
    <row r="166" spans="1:11" ht="14">
      <c r="A166" s="358" t="s">
        <v>126</v>
      </c>
      <c r="B166" s="789" t="s">
        <v>127</v>
      </c>
      <c r="C166" s="789"/>
      <c r="D166" s="789"/>
      <c r="E166" s="789"/>
      <c r="F166" s="789"/>
      <c r="G166" s="346">
        <v>1897</v>
      </c>
      <c r="H166" s="790"/>
      <c r="I166" s="791"/>
      <c r="J166" s="791"/>
      <c r="K166" s="792"/>
    </row>
    <row r="167" spans="1:11" ht="14">
      <c r="A167" s="358" t="s">
        <v>128</v>
      </c>
      <c r="B167" s="789" t="s">
        <v>129</v>
      </c>
      <c r="C167" s="789"/>
      <c r="D167" s="789"/>
      <c r="E167" s="789"/>
      <c r="F167" s="789"/>
      <c r="G167" s="360"/>
      <c r="H167" s="790"/>
      <c r="I167" s="791"/>
      <c r="J167" s="791"/>
      <c r="K167" s="792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G1" xr:uid="{0F5838A3-E230-4F8A-AAA9-03263631D9FA}">
      <formula1>"Jan, Feb, March, April, May, June, July, Aug, Sep, Oct, Nov, Dec"</formula1>
    </dataValidation>
    <dataValidation type="list" allowBlank="1" showInputMessage="1" showErrorMessage="1" sqref="L3" xr:uid="{662C56D2-F8BB-4274-88ED-1AC1B790278D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7F467-5117-4BED-8088-D7D4D104F57F}">
  <sheetPr codeName="Sheet26">
    <pageSetUpPr fitToPage="1"/>
  </sheetPr>
  <dimension ref="A1:N167"/>
  <sheetViews>
    <sheetView topLeftCell="A137" zoomScale="90" zoomScaleNormal="90" zoomScaleSheetLayoutView="85" workbookViewId="0">
      <selection activeCell="D34" sqref="D34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140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275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 t="s">
        <v>266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362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361" t="s">
        <v>176</v>
      </c>
      <c r="C10" s="61">
        <v>2</v>
      </c>
      <c r="D10" s="364">
        <v>1</v>
      </c>
      <c r="E10" s="538" t="s">
        <v>250</v>
      </c>
      <c r="F10" s="538"/>
      <c r="G10" s="538"/>
      <c r="H10" s="538"/>
      <c r="I10" s="539"/>
    </row>
    <row r="11" spans="1:13">
      <c r="A11" s="537"/>
      <c r="B11" s="361" t="s">
        <v>177</v>
      </c>
      <c r="C11" s="61">
        <v>2</v>
      </c>
      <c r="D11" s="364">
        <v>2</v>
      </c>
      <c r="E11" s="805" t="s">
        <v>183</v>
      </c>
      <c r="F11" s="541"/>
      <c r="G11" s="541"/>
      <c r="H11" s="541"/>
      <c r="I11" s="542"/>
    </row>
    <row r="12" spans="1:13">
      <c r="A12" s="537"/>
      <c r="B12" s="361" t="s">
        <v>179</v>
      </c>
      <c r="C12" s="61">
        <v>2</v>
      </c>
      <c r="D12" s="364">
        <v>4</v>
      </c>
      <c r="E12" s="768" t="s">
        <v>267</v>
      </c>
      <c r="F12" s="538"/>
      <c r="G12" s="538"/>
      <c r="H12" s="538"/>
      <c r="I12" s="539"/>
    </row>
    <row r="13" spans="1:13">
      <c r="A13" s="537"/>
      <c r="B13" s="361" t="s">
        <v>180</v>
      </c>
      <c r="C13" s="61">
        <v>3</v>
      </c>
      <c r="D13" s="364">
        <v>1</v>
      </c>
      <c r="E13" s="538" t="s">
        <v>268</v>
      </c>
      <c r="F13" s="538"/>
      <c r="G13" s="538"/>
      <c r="H13" s="538"/>
      <c r="I13" s="539"/>
    </row>
    <row r="14" spans="1:13">
      <c r="A14" s="537"/>
      <c r="B14" s="361" t="s">
        <v>12</v>
      </c>
      <c r="C14" s="61">
        <v>0</v>
      </c>
      <c r="D14" s="364">
        <v>0</v>
      </c>
      <c r="E14" s="540"/>
      <c r="F14" s="541"/>
      <c r="G14" s="541"/>
      <c r="H14" s="541"/>
      <c r="I14" s="542"/>
    </row>
    <row r="15" spans="1:13">
      <c r="A15" s="537"/>
      <c r="B15" s="361" t="s">
        <v>13</v>
      </c>
      <c r="C15" s="61">
        <v>2</v>
      </c>
      <c r="D15" s="364">
        <v>2</v>
      </c>
      <c r="E15" s="768" t="s">
        <v>269</v>
      </c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10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19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363" t="s">
        <v>23</v>
      </c>
      <c r="E21" s="363" t="s">
        <v>24</v>
      </c>
      <c r="F21" s="363" t="s">
        <v>25</v>
      </c>
      <c r="G21" s="363" t="s">
        <v>23</v>
      </c>
      <c r="H21" s="363" t="s">
        <v>24</v>
      </c>
      <c r="I21" s="363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328">
        <v>17017</v>
      </c>
      <c r="E23" s="329">
        <v>16000</v>
      </c>
      <c r="F23" s="14">
        <f t="shared" ref="F23:F28" si="0">E23/D23</f>
        <v>0.94023623435388137</v>
      </c>
      <c r="G23" s="332">
        <f>D23</f>
        <v>17017</v>
      </c>
      <c r="H23" s="332">
        <f>E23</f>
        <v>16000</v>
      </c>
      <c r="I23" s="14">
        <f t="shared" ref="I23:I28" si="1">H23/G23</f>
        <v>0.94023623435388137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330">
        <f>SUM(D23:D23)</f>
        <v>17017</v>
      </c>
      <c r="E24" s="330">
        <f>SUM(E23:E23)</f>
        <v>16000</v>
      </c>
      <c r="F24" s="16">
        <f t="shared" si="0"/>
        <v>0.94023623435388137</v>
      </c>
      <c r="G24" s="330">
        <f>SUM(G23:G23)</f>
        <v>17017</v>
      </c>
      <c r="H24" s="330">
        <f>SUM(H23:H23)</f>
        <v>16000</v>
      </c>
      <c r="I24" s="16">
        <f t="shared" si="1"/>
        <v>0.94023623435388137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328">
        <v>18923</v>
      </c>
      <c r="E25" s="329">
        <v>18388</v>
      </c>
      <c r="F25" s="14">
        <f t="shared" si="0"/>
        <v>0.97172752734767209</v>
      </c>
      <c r="G25" s="332">
        <f>D25</f>
        <v>18923</v>
      </c>
      <c r="H25" s="332">
        <f>E25</f>
        <v>18388</v>
      </c>
      <c r="I25" s="14">
        <f t="shared" si="1"/>
        <v>0.97172752734767209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330">
        <f>SUM(D25:D26)</f>
        <v>18923</v>
      </c>
      <c r="E27" s="330">
        <f>SUM(E25:E26)</f>
        <v>18388</v>
      </c>
      <c r="F27" s="16">
        <f t="shared" si="0"/>
        <v>0.97172752734767209</v>
      </c>
      <c r="G27" s="330">
        <f>SUM(G25:G26)</f>
        <v>18923</v>
      </c>
      <c r="H27" s="330">
        <f>SUM(H25:H26)</f>
        <v>18388</v>
      </c>
      <c r="I27" s="16">
        <f t="shared" si="1"/>
        <v>0.97172752734767209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331">
        <f>SUM(D24,D27)</f>
        <v>35940</v>
      </c>
      <c r="E28" s="331">
        <f>SUM(E24,E27)</f>
        <v>34388</v>
      </c>
      <c r="F28" s="17">
        <f t="shared" si="0"/>
        <v>0.95681691708402894</v>
      </c>
      <c r="G28" s="331">
        <f>SUM(G24,G27)</f>
        <v>35940</v>
      </c>
      <c r="H28" s="331">
        <f>SUM(H24,H27)</f>
        <v>34388</v>
      </c>
      <c r="I28" s="17">
        <f t="shared" si="1"/>
        <v>0.95681691708402894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35</v>
      </c>
      <c r="C30" s="128" t="s">
        <v>29</v>
      </c>
      <c r="D30" s="328">
        <v>2900</v>
      </c>
      <c r="E30" s="329">
        <v>2890</v>
      </c>
      <c r="F30" s="14">
        <f>E30/D30</f>
        <v>0.99655172413793103</v>
      </c>
      <c r="G30" s="332">
        <f>D30</f>
        <v>2900</v>
      </c>
      <c r="H30" s="332">
        <f>E30</f>
        <v>2890</v>
      </c>
      <c r="I30" s="14">
        <f>H30/G30</f>
        <v>0.99655172413793103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328">
        <v>0</v>
      </c>
      <c r="E31" s="329">
        <v>4993</v>
      </c>
      <c r="F31" s="14" t="e">
        <f t="shared" ref="F31:F47" si="2">E31/D31</f>
        <v>#DIV/0!</v>
      </c>
      <c r="G31" s="332">
        <f>D31</f>
        <v>0</v>
      </c>
      <c r="H31" s="332">
        <f>E31</f>
        <v>4993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330">
        <f>SUM(D30:D31)</f>
        <v>2900</v>
      </c>
      <c r="E32" s="330">
        <f>SUM(E30:E31)</f>
        <v>7883</v>
      </c>
      <c r="F32" s="14">
        <f t="shared" si="2"/>
        <v>2.7182758620689653</v>
      </c>
      <c r="G32" s="330">
        <f>SUM(G30:G31)</f>
        <v>2900</v>
      </c>
      <c r="H32" s="330">
        <f>SUM(H30:H31)</f>
        <v>7883</v>
      </c>
      <c r="I32" s="14">
        <f t="shared" si="3"/>
        <v>2.7182758620689653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328">
        <v>0</v>
      </c>
      <c r="E33" s="329">
        <v>757</v>
      </c>
      <c r="F33" s="14" t="e">
        <f t="shared" si="2"/>
        <v>#DIV/0!</v>
      </c>
      <c r="G33" s="332">
        <f>D33</f>
        <v>0</v>
      </c>
      <c r="H33" s="332">
        <f>E33</f>
        <v>757</v>
      </c>
      <c r="I33" s="14" t="e">
        <f t="shared" si="3"/>
        <v>#DIV/0!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334">
        <f>SUM(D32,D33)</f>
        <v>2900</v>
      </c>
      <c r="E34" s="334">
        <f>SUM(E32,E33)</f>
        <v>8640</v>
      </c>
      <c r="F34" s="14">
        <f t="shared" si="2"/>
        <v>2.9793103448275864</v>
      </c>
      <c r="G34" s="334">
        <f>SUM(G32,G33)</f>
        <v>2900</v>
      </c>
      <c r="H34" s="334">
        <f>SUM(H32,H33)</f>
        <v>8640</v>
      </c>
      <c r="I34" s="14">
        <f t="shared" si="3"/>
        <v>2.9793103448275864</v>
      </c>
      <c r="J34" s="534"/>
      <c r="K34" s="534"/>
      <c r="L34" s="534"/>
      <c r="M34" s="543"/>
    </row>
    <row r="35" spans="1:13" ht="24.75" customHeight="1">
      <c r="A35" s="573" t="s">
        <v>37</v>
      </c>
      <c r="B35" s="555" t="s">
        <v>38</v>
      </c>
      <c r="C35" s="18" t="s">
        <v>39</v>
      </c>
      <c r="D35" s="328">
        <v>36232</v>
      </c>
      <c r="E35" s="333">
        <v>0</v>
      </c>
      <c r="F35" s="14">
        <f t="shared" si="2"/>
        <v>0</v>
      </c>
      <c r="G35" s="332">
        <f>D35</f>
        <v>36232</v>
      </c>
      <c r="H35" s="332">
        <f>E35</f>
        <v>0</v>
      </c>
      <c r="I35" s="14">
        <f t="shared" si="3"/>
        <v>0</v>
      </c>
      <c r="J35" s="806"/>
      <c r="K35" s="806"/>
      <c r="L35" s="806"/>
      <c r="M35" s="807"/>
    </row>
    <row r="36" spans="1:13">
      <c r="A36" s="573"/>
      <c r="B36" s="555"/>
      <c r="C36" s="128" t="s">
        <v>40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36232</v>
      </c>
      <c r="H37" s="341">
        <f>SUM(H35:H36)</f>
        <v>0</v>
      </c>
      <c r="I37" s="16">
        <f t="shared" si="3"/>
        <v>0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270</v>
      </c>
      <c r="D38" s="328">
        <v>0</v>
      </c>
      <c r="E38" s="329">
        <v>11478</v>
      </c>
      <c r="F38" s="14" t="e">
        <f t="shared" si="2"/>
        <v>#DIV/0!</v>
      </c>
      <c r="G38" s="332">
        <f>D38</f>
        <v>0</v>
      </c>
      <c r="H38" s="332">
        <f>E38</f>
        <v>11478</v>
      </c>
      <c r="I38" s="14" t="e">
        <f t="shared" si="3"/>
        <v>#DIV/0!</v>
      </c>
      <c r="J38" s="525" t="s">
        <v>271</v>
      </c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330">
        <f>SUM(D38:D39)</f>
        <v>0</v>
      </c>
      <c r="E40" s="330">
        <f>SUM(E38:E39)</f>
        <v>11478</v>
      </c>
      <c r="F40" s="16" t="e">
        <f t="shared" si="2"/>
        <v>#DIV/0!</v>
      </c>
      <c r="G40" s="330">
        <f>SUM(G38:G39)</f>
        <v>0</v>
      </c>
      <c r="H40" s="330">
        <f>SUM(H38:H39)</f>
        <v>11478</v>
      </c>
      <c r="I40" s="16" t="e">
        <f t="shared" si="3"/>
        <v>#DIV/0!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334">
        <f>SUM(D37,D40)</f>
        <v>36232</v>
      </c>
      <c r="E41" s="334">
        <f>SUM(E37,E40)</f>
        <v>11478</v>
      </c>
      <c r="F41" s="19">
        <f t="shared" si="2"/>
        <v>0.31679178626628396</v>
      </c>
      <c r="G41" s="334">
        <f>SUM(G37,G40)</f>
        <v>36232</v>
      </c>
      <c r="H41" s="334">
        <f>SUM(H37,H40)</f>
        <v>11478</v>
      </c>
      <c r="I41" s="19">
        <f t="shared" si="3"/>
        <v>0.31679178626628396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335">
        <v>12500</v>
      </c>
      <c r="E42" s="336">
        <f>C140+E140+G140+I140</f>
        <v>10209</v>
      </c>
      <c r="F42" s="21">
        <f t="shared" si="2"/>
        <v>0.81672</v>
      </c>
      <c r="G42" s="342">
        <f t="shared" ref="G42:H44" si="4">D42</f>
        <v>12500</v>
      </c>
      <c r="H42" s="342">
        <f t="shared" si="4"/>
        <v>10209</v>
      </c>
      <c r="I42" s="21">
        <f t="shared" si="3"/>
        <v>0.81672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337">
        <v>2000</v>
      </c>
      <c r="E43" s="338">
        <v>451</v>
      </c>
      <c r="F43" s="21">
        <f t="shared" si="2"/>
        <v>0.22550000000000001</v>
      </c>
      <c r="G43" s="342">
        <f t="shared" si="4"/>
        <v>2000</v>
      </c>
      <c r="H43" s="342">
        <f t="shared" si="4"/>
        <v>451</v>
      </c>
      <c r="I43" s="21">
        <f t="shared" si="3"/>
        <v>0.22550000000000001</v>
      </c>
      <c r="J43" s="572"/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337">
        <v>40000</v>
      </c>
      <c r="E44" s="338">
        <v>0</v>
      </c>
      <c r="F44" s="21">
        <f t="shared" si="2"/>
        <v>0</v>
      </c>
      <c r="G44" s="342">
        <f t="shared" si="4"/>
        <v>40000</v>
      </c>
      <c r="H44" s="342">
        <f t="shared" si="4"/>
        <v>0</v>
      </c>
      <c r="I44" s="21">
        <f t="shared" si="3"/>
        <v>0</v>
      </c>
      <c r="J44" s="570"/>
      <c r="K44" s="570"/>
      <c r="L44" s="570"/>
      <c r="M44" s="571"/>
    </row>
    <row r="45" spans="1:13" s="8" customFormat="1">
      <c r="A45" s="587" t="s">
        <v>46</v>
      </c>
      <c r="B45" s="588"/>
      <c r="C45" s="589"/>
      <c r="D45" s="339">
        <f>SUM(D28,D34,D41,D42:D44)</f>
        <v>129572</v>
      </c>
      <c r="E45" s="339">
        <f>SUM(E28,E34,E41,E42:E44)</f>
        <v>65166</v>
      </c>
      <c r="F45" s="22">
        <f t="shared" si="2"/>
        <v>0.50293273238045255</v>
      </c>
      <c r="G45" s="339">
        <f>SUM(G28,G34,G41,G42:G44)</f>
        <v>129572</v>
      </c>
      <c r="H45" s="339">
        <f>SUM(H28,H34,H41,H42:H44)</f>
        <v>65166</v>
      </c>
      <c r="I45" s="22">
        <f t="shared" si="3"/>
        <v>0.50293273238045255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339">
        <f>D45-D42</f>
        <v>117072</v>
      </c>
      <c r="E46" s="339">
        <f>E45-E42</f>
        <v>54957</v>
      </c>
      <c r="F46" s="22">
        <f t="shared" si="2"/>
        <v>0.46942906929069289</v>
      </c>
      <c r="G46" s="339">
        <f>G45-G42</f>
        <v>117072</v>
      </c>
      <c r="H46" s="339">
        <f>H45-H42</f>
        <v>54957</v>
      </c>
      <c r="I46" s="22">
        <f t="shared" si="3"/>
        <v>0.46942906929069289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340">
        <f>D46-D44</f>
        <v>77072</v>
      </c>
      <c r="E47" s="340">
        <f>E46-E44</f>
        <v>54957</v>
      </c>
      <c r="F47" s="23">
        <f t="shared" si="2"/>
        <v>0.71306051484326349</v>
      </c>
      <c r="G47" s="340">
        <f>G46-G44</f>
        <v>77072</v>
      </c>
      <c r="H47" s="340">
        <f>H46-H44</f>
        <v>54957</v>
      </c>
      <c r="I47" s="23">
        <f t="shared" si="3"/>
        <v>0.71306051484326349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366" t="s">
        <v>23</v>
      </c>
      <c r="E52" s="366" t="s">
        <v>24</v>
      </c>
      <c r="F52" s="366" t="s">
        <v>25</v>
      </c>
      <c r="G52" s="366" t="s">
        <v>23</v>
      </c>
      <c r="H52" s="366" t="s">
        <v>24</v>
      </c>
      <c r="I52" s="366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20</v>
      </c>
      <c r="E53" s="364">
        <v>14</v>
      </c>
      <c r="F53" s="28">
        <f t="shared" ref="F53:F79" si="5">E53/D53</f>
        <v>0.7</v>
      </c>
      <c r="G53" s="66">
        <f>D53</f>
        <v>20</v>
      </c>
      <c r="H53" s="66">
        <f>E53</f>
        <v>14</v>
      </c>
      <c r="I53" s="28">
        <f t="shared" ref="I53:I79" si="6">H53/G53</f>
        <v>0.7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469</v>
      </c>
      <c r="E54" s="364">
        <v>446</v>
      </c>
      <c r="F54" s="28">
        <f t="shared" si="5"/>
        <v>0.95095948827292109</v>
      </c>
      <c r="G54" s="66">
        <f>D54</f>
        <v>469</v>
      </c>
      <c r="H54" s="66">
        <f>E54</f>
        <v>446</v>
      </c>
      <c r="I54" s="28">
        <f t="shared" si="6"/>
        <v>0.95095948827292109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365">
        <f>SUM(D53:D54)</f>
        <v>489</v>
      </c>
      <c r="E55" s="365">
        <f>SUM(E53:E54)</f>
        <v>460</v>
      </c>
      <c r="F55" s="30">
        <f t="shared" si="5"/>
        <v>0.94069529652351735</v>
      </c>
      <c r="G55" s="365">
        <f>SUM(G53:G54)</f>
        <v>489</v>
      </c>
      <c r="H55" s="365">
        <f>SUM(H53:H54)</f>
        <v>460</v>
      </c>
      <c r="I55" s="30">
        <f t="shared" si="6"/>
        <v>0.94069529652351735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83</v>
      </c>
      <c r="E56" s="364">
        <v>47</v>
      </c>
      <c r="F56" s="28">
        <f t="shared" si="5"/>
        <v>0.5662650602409639</v>
      </c>
      <c r="G56" s="66">
        <f>D56</f>
        <v>83</v>
      </c>
      <c r="H56" s="66">
        <f>E56</f>
        <v>47</v>
      </c>
      <c r="I56" s="28">
        <f t="shared" si="6"/>
        <v>0.5662650602409639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1187</v>
      </c>
      <c r="E57" s="364">
        <v>1214</v>
      </c>
      <c r="F57" s="28">
        <f t="shared" si="5"/>
        <v>1.0227464195450715</v>
      </c>
      <c r="G57" s="66">
        <f>D57</f>
        <v>1187</v>
      </c>
      <c r="H57" s="66">
        <f>E57</f>
        <v>1214</v>
      </c>
      <c r="I57" s="28">
        <f t="shared" si="6"/>
        <v>1.0227464195450715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370">
        <f>SUM(D56:D57)</f>
        <v>1270</v>
      </c>
      <c r="E58" s="370">
        <f>SUM(E56:E57)</f>
        <v>1261</v>
      </c>
      <c r="F58" s="28">
        <f t="shared" si="5"/>
        <v>0.99291338582677169</v>
      </c>
      <c r="G58" s="370">
        <f>SUM(G56:G57)</f>
        <v>1270</v>
      </c>
      <c r="H58" s="370">
        <f>SUM(H56:H57)</f>
        <v>1261</v>
      </c>
      <c r="I58" s="31">
        <f t="shared" si="6"/>
        <v>0.99291338582677169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371">
        <f>SUM(D53,D56)</f>
        <v>103</v>
      </c>
      <c r="E59" s="371">
        <f>SUM(E53,E56)</f>
        <v>61</v>
      </c>
      <c r="F59" s="32">
        <f t="shared" si="5"/>
        <v>0.59223300970873782</v>
      </c>
      <c r="G59" s="371">
        <f>SUM(G53,G56)</f>
        <v>103</v>
      </c>
      <c r="H59" s="371">
        <f>SUM(H53,H56)</f>
        <v>61</v>
      </c>
      <c r="I59" s="32">
        <f t="shared" si="6"/>
        <v>0.59223300970873782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371">
        <f>SUM(D54,D57)</f>
        <v>1656</v>
      </c>
      <c r="E60" s="371">
        <f>SUM(E54,E57)</f>
        <v>1660</v>
      </c>
      <c r="F60" s="32">
        <f t="shared" si="5"/>
        <v>1.0024154589371981</v>
      </c>
      <c r="G60" s="371">
        <f>SUM(G54,G57)</f>
        <v>1656</v>
      </c>
      <c r="H60" s="371">
        <f>SUM(H54,H57)</f>
        <v>1660</v>
      </c>
      <c r="I60" s="32">
        <f t="shared" si="6"/>
        <v>1.0024154589371981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372">
        <f>SUM(D59:D60)</f>
        <v>1759</v>
      </c>
      <c r="E61" s="372">
        <f>SUM(E59:E60)</f>
        <v>1721</v>
      </c>
      <c r="F61" s="33">
        <f t="shared" si="5"/>
        <v>0.97839681637293918</v>
      </c>
      <c r="G61" s="372">
        <f>SUM(G59:G60)</f>
        <v>1759</v>
      </c>
      <c r="H61" s="372">
        <f>SUM(H59:H60)</f>
        <v>1721</v>
      </c>
      <c r="I61" s="33">
        <f t="shared" si="6"/>
        <v>0.97839681637293918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70</v>
      </c>
      <c r="E62" s="361">
        <f>E71/10</f>
        <v>48.7</v>
      </c>
      <c r="F62" s="28">
        <f t="shared" si="5"/>
        <v>0.69571428571428573</v>
      </c>
      <c r="G62" s="66">
        <f>D62</f>
        <v>70</v>
      </c>
      <c r="H62" s="66">
        <f>E62</f>
        <v>48.7</v>
      </c>
      <c r="I62" s="28">
        <f t="shared" si="6"/>
        <v>0.69571428571428573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246">
        <v>1632</v>
      </c>
      <c r="E63" s="361">
        <f>E72/10</f>
        <v>1551.3</v>
      </c>
      <c r="F63" s="28">
        <f t="shared" si="5"/>
        <v>0.9505514705882353</v>
      </c>
      <c r="G63" s="248">
        <f>D63</f>
        <v>1632</v>
      </c>
      <c r="H63" s="66">
        <f>E63</f>
        <v>1551.3</v>
      </c>
      <c r="I63" s="28">
        <f t="shared" si="6"/>
        <v>0.9505514705882353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1702</v>
      </c>
      <c r="E64" s="365">
        <f>SUM(E62:E63)</f>
        <v>1600</v>
      </c>
      <c r="F64" s="30">
        <f t="shared" si="5"/>
        <v>0.9400705052878966</v>
      </c>
      <c r="G64" s="365">
        <f>SUM(G62:G63)</f>
        <v>1702</v>
      </c>
      <c r="H64" s="365">
        <f>SUM(H62:H63)</f>
        <v>1600</v>
      </c>
      <c r="I64" s="30">
        <f t="shared" si="6"/>
        <v>0.9400705052878966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124</v>
      </c>
      <c r="E65" s="361">
        <f>E74/10</f>
        <v>63</v>
      </c>
      <c r="F65" s="28">
        <f t="shared" si="5"/>
        <v>0.50806451612903225</v>
      </c>
      <c r="G65" s="66">
        <f>D65</f>
        <v>124</v>
      </c>
      <c r="H65" s="66">
        <f>E65</f>
        <v>63</v>
      </c>
      <c r="I65" s="28">
        <f t="shared" si="6"/>
        <v>0.50806451612903225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1769</v>
      </c>
      <c r="E66" s="361">
        <f>E75/10</f>
        <v>1775.8</v>
      </c>
      <c r="F66" s="28">
        <f t="shared" si="5"/>
        <v>1.0038439796495195</v>
      </c>
      <c r="G66" s="66">
        <f>D66</f>
        <v>1769</v>
      </c>
      <c r="H66" s="66">
        <f>E66</f>
        <v>1775.8</v>
      </c>
      <c r="I66" s="28">
        <f t="shared" si="6"/>
        <v>1.0038439796495195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370">
        <f>SUM(D65:D66)</f>
        <v>1893</v>
      </c>
      <c r="E67" s="370">
        <f>SUM(E65:E66)</f>
        <v>1838.8</v>
      </c>
      <c r="F67" s="31">
        <f t="shared" si="5"/>
        <v>0.97136819862651869</v>
      </c>
      <c r="G67" s="370">
        <f>SUM(G65:G66)</f>
        <v>1893</v>
      </c>
      <c r="H67" s="370">
        <f>SUM(H65:H66)</f>
        <v>1838.8</v>
      </c>
      <c r="I67" s="31">
        <f t="shared" si="6"/>
        <v>0.97136819862651869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371">
        <f>SUM(D62,D65)</f>
        <v>194</v>
      </c>
      <c r="E68" s="371">
        <f>SUM(E62,E65)</f>
        <v>111.7</v>
      </c>
      <c r="F68" s="32">
        <f t="shared" si="5"/>
        <v>0.57577319587628872</v>
      </c>
      <c r="G68" s="371">
        <f>SUM(G62,G65)</f>
        <v>194</v>
      </c>
      <c r="H68" s="371">
        <f>SUM(H62,H65)</f>
        <v>111.7</v>
      </c>
      <c r="I68" s="32">
        <f t="shared" si="6"/>
        <v>0.57577319587628872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371">
        <f>SUM(D63,D66)</f>
        <v>3401</v>
      </c>
      <c r="E69" s="371">
        <f>SUM(E63,E66)</f>
        <v>3327.1</v>
      </c>
      <c r="F69" s="32">
        <f t="shared" si="5"/>
        <v>0.97827109673625401</v>
      </c>
      <c r="G69" s="371">
        <f>SUM(G63,G66)</f>
        <v>3401</v>
      </c>
      <c r="H69" s="371">
        <f>SUM(H63,H66)</f>
        <v>3327.1</v>
      </c>
      <c r="I69" s="32">
        <f t="shared" si="6"/>
        <v>0.97827109673625401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372">
        <f>SUM(D68:D69)</f>
        <v>3595</v>
      </c>
      <c r="E70" s="372">
        <f>SUM(E68:E69)</f>
        <v>3438.7999999999997</v>
      </c>
      <c r="F70" s="34">
        <f t="shared" si="5"/>
        <v>0.95655076495132119</v>
      </c>
      <c r="G70" s="372">
        <f>SUM(G68:G69)</f>
        <v>3595</v>
      </c>
      <c r="H70" s="372">
        <f>SUM(H68:H69)</f>
        <v>3438.7999999999997</v>
      </c>
      <c r="I70" s="34">
        <f t="shared" si="6"/>
        <v>0.95655076495132119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696</v>
      </c>
      <c r="E71" s="364">
        <v>487</v>
      </c>
      <c r="F71" s="28">
        <f t="shared" si="5"/>
        <v>0.69971264367816088</v>
      </c>
      <c r="G71" s="179">
        <f>D71</f>
        <v>696</v>
      </c>
      <c r="H71" s="66">
        <f>E71</f>
        <v>487</v>
      </c>
      <c r="I71" s="28">
        <f t="shared" si="6"/>
        <v>0.69971264367816088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246">
        <v>16321</v>
      </c>
      <c r="E72" s="378">
        <f>E23-E71</f>
        <v>15513</v>
      </c>
      <c r="F72" s="28">
        <f t="shared" si="5"/>
        <v>0.95049322958152072</v>
      </c>
      <c r="G72" s="248">
        <f>D72</f>
        <v>16321</v>
      </c>
      <c r="H72" s="66">
        <f>E72</f>
        <v>15513</v>
      </c>
      <c r="I72" s="28">
        <f t="shared" si="6"/>
        <v>0.95049322958152072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365">
        <f>SUM(D71:D72)</f>
        <v>17017</v>
      </c>
      <c r="E73" s="365">
        <f>SUM(E71:E72)</f>
        <v>16000</v>
      </c>
      <c r="F73" s="30">
        <f t="shared" si="5"/>
        <v>0.94023623435388137</v>
      </c>
      <c r="G73" s="365">
        <f>SUM(G71:G72)</f>
        <v>17017</v>
      </c>
      <c r="H73" s="365">
        <f>SUM(H71:H72)</f>
        <v>16000</v>
      </c>
      <c r="I73" s="30">
        <f t="shared" si="6"/>
        <v>0.94023623435388137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1237</v>
      </c>
      <c r="E74" s="364">
        <v>630</v>
      </c>
      <c r="F74" s="28">
        <f t="shared" si="5"/>
        <v>0.50929668552950691</v>
      </c>
      <c r="G74" s="179">
        <f>D74</f>
        <v>1237</v>
      </c>
      <c r="H74" s="66">
        <f>E74</f>
        <v>630</v>
      </c>
      <c r="I74" s="28">
        <f t="shared" si="6"/>
        <v>0.50929668552950691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246">
        <v>17686</v>
      </c>
      <c r="E75" s="378">
        <f>E25-E74</f>
        <v>17758</v>
      </c>
      <c r="F75" s="28">
        <f t="shared" si="5"/>
        <v>1.0040710166233178</v>
      </c>
      <c r="G75" s="248">
        <f>D75</f>
        <v>17686</v>
      </c>
      <c r="H75" s="66">
        <f>E75</f>
        <v>17758</v>
      </c>
      <c r="I75" s="28">
        <f t="shared" si="6"/>
        <v>1.0040710166233178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370">
        <f>SUM(D74:D75)</f>
        <v>18923</v>
      </c>
      <c r="E76" s="370">
        <f>SUM(E74:E75)</f>
        <v>18388</v>
      </c>
      <c r="F76" s="31">
        <f t="shared" si="5"/>
        <v>0.97172752734767209</v>
      </c>
      <c r="G76" s="370">
        <f>SUM(G74:G75)</f>
        <v>18923</v>
      </c>
      <c r="H76" s="370">
        <f>SUM(H74:H75)</f>
        <v>18388</v>
      </c>
      <c r="I76" s="31">
        <f t="shared" si="6"/>
        <v>0.97172752734767209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371">
        <f>SUM(D71,D74)</f>
        <v>1933</v>
      </c>
      <c r="E77" s="371">
        <f>SUM(E71,E74)</f>
        <v>1117</v>
      </c>
      <c r="F77" s="32">
        <f t="shared" si="5"/>
        <v>0.57785825142265912</v>
      </c>
      <c r="G77" s="371">
        <f>SUM(G71,G74)</f>
        <v>1933</v>
      </c>
      <c r="H77" s="371">
        <f>SUM(H71,H74)</f>
        <v>1117</v>
      </c>
      <c r="I77" s="32">
        <f t="shared" si="6"/>
        <v>0.57785825142265912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371">
        <f>SUM(D72,D75)</f>
        <v>34007</v>
      </c>
      <c r="E78" s="371">
        <f>SUM(E72,E75)</f>
        <v>33271</v>
      </c>
      <c r="F78" s="32">
        <f t="shared" si="5"/>
        <v>0.97835739700649871</v>
      </c>
      <c r="G78" s="371">
        <f>SUM(G72,G75)</f>
        <v>34007</v>
      </c>
      <c r="H78" s="371">
        <f>SUM(H72,H75)</f>
        <v>33271</v>
      </c>
      <c r="I78" s="32">
        <f t="shared" si="6"/>
        <v>0.97835739700649871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372">
        <f>SUM(D77:D78)</f>
        <v>35940</v>
      </c>
      <c r="E79" s="372">
        <f>SUM(E77:E78)</f>
        <v>34388</v>
      </c>
      <c r="F79" s="34">
        <f t="shared" si="5"/>
        <v>0.95681691708402894</v>
      </c>
      <c r="G79" s="372">
        <f>SUM(G77:G78)</f>
        <v>35940</v>
      </c>
      <c r="H79" s="372">
        <f>SUM(H77:H78)</f>
        <v>34388</v>
      </c>
      <c r="I79" s="34">
        <f t="shared" si="6"/>
        <v>0.95681691708402894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460</v>
      </c>
      <c r="E87" s="130"/>
      <c r="F87" s="134">
        <f t="shared" ref="F87:F92" si="7">D87</f>
        <v>460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14</v>
      </c>
      <c r="E88" s="128"/>
      <c r="F88" s="134">
        <f t="shared" si="7"/>
        <v>14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0</v>
      </c>
      <c r="E89" s="128">
        <f>D89/D87</f>
        <v>0</v>
      </c>
      <c r="F89" s="134">
        <f t="shared" si="7"/>
        <v>0</v>
      </c>
      <c r="G89" s="128">
        <f>F89/F87</f>
        <v>0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108</v>
      </c>
      <c r="E90" s="128">
        <f>D90/D92</f>
        <v>0.51428571428571423</v>
      </c>
      <c r="F90" s="134">
        <f t="shared" si="7"/>
        <v>108</v>
      </c>
      <c r="G90" s="128">
        <f>F90/F92</f>
        <v>0.51428571428571423</v>
      </c>
      <c r="H90" s="128"/>
    </row>
    <row r="91" spans="1:13" ht="15" customHeight="1">
      <c r="A91" s="774"/>
      <c r="B91" s="775" t="s">
        <v>202</v>
      </c>
      <c r="C91" s="775"/>
      <c r="D91" s="131">
        <v>116</v>
      </c>
      <c r="E91" s="128">
        <f>D91/D92</f>
        <v>0.55238095238095242</v>
      </c>
      <c r="F91" s="134">
        <f t="shared" si="7"/>
        <v>116</v>
      </c>
      <c r="G91" s="128">
        <f>F91/F92</f>
        <v>0.55238095238095242</v>
      </c>
      <c r="H91" s="128"/>
    </row>
    <row r="92" spans="1:13" ht="15" customHeight="1">
      <c r="A92" s="774"/>
      <c r="B92" s="775" t="s">
        <v>203</v>
      </c>
      <c r="C92" s="775"/>
      <c r="D92" s="131">
        <v>210</v>
      </c>
      <c r="E92" s="130"/>
      <c r="F92" s="134">
        <f t="shared" si="7"/>
        <v>210</v>
      </c>
      <c r="G92" s="130"/>
      <c r="H92" s="128"/>
    </row>
    <row r="93" spans="1:13">
      <c r="C93" s="126" t="s">
        <v>210</v>
      </c>
      <c r="D93" s="132">
        <v>670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366" t="s">
        <v>23</v>
      </c>
      <c r="E97" s="366" t="s">
        <v>24</v>
      </c>
      <c r="F97" s="366" t="s">
        <v>25</v>
      </c>
      <c r="G97" s="366" t="s">
        <v>23</v>
      </c>
      <c r="H97" s="366" t="s">
        <v>24</v>
      </c>
      <c r="I97" s="366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364">
        <v>0</v>
      </c>
      <c r="F98" s="37" t="e">
        <f>E98/D98</f>
        <v>#DIV/0!</v>
      </c>
      <c r="G98" s="66">
        <f>D98</f>
        <v>0</v>
      </c>
      <c r="H98" s="66">
        <f>E98</f>
        <v>0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39</v>
      </c>
      <c r="E99" s="364">
        <v>21</v>
      </c>
      <c r="F99" s="28">
        <f t="shared" ref="F99:F115" si="8">E99/D99</f>
        <v>0.53846153846153844</v>
      </c>
      <c r="G99" s="66">
        <f>D99</f>
        <v>39</v>
      </c>
      <c r="H99" s="66">
        <f>E99</f>
        <v>21</v>
      </c>
      <c r="I99" s="28">
        <f t="shared" ref="I99:I115" si="9">H99/G99</f>
        <v>0.53846153846153844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365">
        <f>SUM(D98:D99)</f>
        <v>39</v>
      </c>
      <c r="E100" s="365">
        <f>SUM(E98:E99)</f>
        <v>21</v>
      </c>
      <c r="F100" s="30">
        <f t="shared" si="8"/>
        <v>0.53846153846153844</v>
      </c>
      <c r="G100" s="365">
        <f>SUM(G98:G99)</f>
        <v>39</v>
      </c>
      <c r="H100" s="365">
        <f>SUM(H98:H99)</f>
        <v>21</v>
      </c>
      <c r="I100" s="30">
        <f t="shared" si="9"/>
        <v>0.53846153846153844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364">
        <v>0</v>
      </c>
      <c r="F101" s="28" t="e">
        <f t="shared" si="8"/>
        <v>#DIV/0!</v>
      </c>
      <c r="G101" s="66">
        <f>D101</f>
        <v>0</v>
      </c>
      <c r="H101" s="66">
        <f>E101</f>
        <v>0</v>
      </c>
      <c r="I101" s="28" t="e">
        <f t="shared" si="9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9</v>
      </c>
      <c r="E102" s="364">
        <v>9</v>
      </c>
      <c r="F102" s="28">
        <f t="shared" si="8"/>
        <v>1</v>
      </c>
      <c r="G102" s="66">
        <f>D102</f>
        <v>9</v>
      </c>
      <c r="H102" s="66">
        <f>E102</f>
        <v>9</v>
      </c>
      <c r="I102" s="28">
        <f t="shared" si="9"/>
        <v>1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365">
        <f>SUM(D101:D102)</f>
        <v>9</v>
      </c>
      <c r="E103" s="365">
        <f>SUM(E101:E102)</f>
        <v>9</v>
      </c>
      <c r="F103" s="30">
        <f t="shared" si="8"/>
        <v>1</v>
      </c>
      <c r="G103" s="365">
        <f>SUM(G101:G102)</f>
        <v>9</v>
      </c>
      <c r="H103" s="365">
        <f>SUM(H101:H102)</f>
        <v>9</v>
      </c>
      <c r="I103" s="30">
        <f t="shared" si="9"/>
        <v>1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10</v>
      </c>
      <c r="E104" s="364">
        <v>2</v>
      </c>
      <c r="F104" s="28">
        <f t="shared" si="8"/>
        <v>0.2</v>
      </c>
      <c r="G104" s="66">
        <f>D104</f>
        <v>10</v>
      </c>
      <c r="H104" s="66">
        <f>E104</f>
        <v>2</v>
      </c>
      <c r="I104" s="28">
        <f t="shared" si="9"/>
        <v>0.2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71</v>
      </c>
      <c r="E105" s="364">
        <v>72</v>
      </c>
      <c r="F105" s="28">
        <f t="shared" si="8"/>
        <v>1.0140845070422535</v>
      </c>
      <c r="G105" s="66">
        <f>D105</f>
        <v>71</v>
      </c>
      <c r="H105" s="66">
        <f>E105</f>
        <v>72</v>
      </c>
      <c r="I105" s="28">
        <f t="shared" si="9"/>
        <v>1.0140845070422535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365">
        <f>SUM(D104:D105)</f>
        <v>81</v>
      </c>
      <c r="E106" s="365">
        <f>SUM(E104:E105)</f>
        <v>74</v>
      </c>
      <c r="F106" s="30">
        <f t="shared" si="8"/>
        <v>0.9135802469135802</v>
      </c>
      <c r="G106" s="365">
        <f>SUM(G104:G105)</f>
        <v>81</v>
      </c>
      <c r="H106" s="365">
        <f>SUM(H104:H105)</f>
        <v>74</v>
      </c>
      <c r="I106" s="30">
        <f t="shared" si="9"/>
        <v>0.9135802469135802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0</v>
      </c>
      <c r="E107" s="364">
        <v>1</v>
      </c>
      <c r="F107" s="28" t="e">
        <f>E107/D107</f>
        <v>#DIV/0!</v>
      </c>
      <c r="G107" s="66">
        <f>D107</f>
        <v>0</v>
      </c>
      <c r="H107" s="66">
        <f>E107</f>
        <v>1</v>
      </c>
      <c r="I107" s="28" t="e">
        <f>H107/G107</f>
        <v>#DIV/0!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139</v>
      </c>
      <c r="E108" s="364">
        <v>136</v>
      </c>
      <c r="F108" s="28">
        <f>E108/D108</f>
        <v>0.97841726618705038</v>
      </c>
      <c r="G108" s="66">
        <f>D108</f>
        <v>139</v>
      </c>
      <c r="H108" s="66">
        <f>E108</f>
        <v>136</v>
      </c>
      <c r="I108" s="28">
        <f t="shared" si="9"/>
        <v>0.97841726618705038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365">
        <f>SUM(D107:D108)</f>
        <v>139</v>
      </c>
      <c r="E109" s="365">
        <f>SUM(E107:E108)</f>
        <v>137</v>
      </c>
      <c r="F109" s="30">
        <f t="shared" si="8"/>
        <v>0.98561151079136688</v>
      </c>
      <c r="G109" s="365">
        <f>SUM(G107:G108)</f>
        <v>139</v>
      </c>
      <c r="H109" s="365">
        <f>SUM(H107:H108)</f>
        <v>137</v>
      </c>
      <c r="I109" s="30">
        <f t="shared" si="9"/>
        <v>0.98561151079136688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10</v>
      </c>
      <c r="E110" s="364">
        <v>8</v>
      </c>
      <c r="F110" s="30">
        <f>E110/D110</f>
        <v>0.8</v>
      </c>
      <c r="G110" s="66">
        <f>D110</f>
        <v>10</v>
      </c>
      <c r="H110" s="66">
        <f>E110</f>
        <v>8</v>
      </c>
      <c r="I110" s="30">
        <f>H110/G110</f>
        <v>0.8</v>
      </c>
      <c r="J110" s="367"/>
      <c r="K110" s="368"/>
      <c r="L110" s="368"/>
      <c r="M110" s="369"/>
    </row>
    <row r="111" spans="1:13">
      <c r="A111" s="573"/>
      <c r="B111" s="777"/>
      <c r="C111" s="27" t="s">
        <v>70</v>
      </c>
      <c r="D111" s="65">
        <v>82</v>
      </c>
      <c r="E111" s="364">
        <v>84</v>
      </c>
      <c r="F111" s="30">
        <f t="shared" ref="F111:F112" si="10">E111/D111</f>
        <v>1.024390243902439</v>
      </c>
      <c r="G111" s="66">
        <f>D111</f>
        <v>82</v>
      </c>
      <c r="H111" s="66">
        <f>E111</f>
        <v>84</v>
      </c>
      <c r="I111" s="30">
        <f t="shared" ref="I111:I112" si="11">H111/G111</f>
        <v>1.024390243902439</v>
      </c>
      <c r="J111" s="367"/>
      <c r="K111" s="368"/>
      <c r="L111" s="368"/>
      <c r="M111" s="369"/>
    </row>
    <row r="112" spans="1:13">
      <c r="A112" s="573"/>
      <c r="B112" s="778"/>
      <c r="C112" s="38" t="s">
        <v>166</v>
      </c>
      <c r="D112" s="365">
        <f>SUM(D110:D111)</f>
        <v>92</v>
      </c>
      <c r="E112" s="365">
        <f>SUM(E110:E111)</f>
        <v>92</v>
      </c>
      <c r="F112" s="30">
        <f t="shared" si="10"/>
        <v>1</v>
      </c>
      <c r="G112" s="365">
        <f>SUM(G110:G111)</f>
        <v>92</v>
      </c>
      <c r="H112" s="365">
        <f>SUM(H110:H111)</f>
        <v>92</v>
      </c>
      <c r="I112" s="30">
        <f t="shared" si="11"/>
        <v>1</v>
      </c>
      <c r="J112" s="367"/>
      <c r="K112" s="368"/>
      <c r="L112" s="368"/>
      <c r="M112" s="369"/>
    </row>
    <row r="113" spans="1:13">
      <c r="A113" s="573"/>
      <c r="B113" s="603" t="s">
        <v>46</v>
      </c>
      <c r="C113" s="39" t="s">
        <v>69</v>
      </c>
      <c r="D113" s="370">
        <f>SUM(D98,D101,D104,D107,D110)</f>
        <v>20</v>
      </c>
      <c r="E113" s="370">
        <f>SUM(E98,E101,E104,E107,E110)</f>
        <v>11</v>
      </c>
      <c r="F113" s="31">
        <f t="shared" si="8"/>
        <v>0.55000000000000004</v>
      </c>
      <c r="G113" s="370">
        <f>SUM(G98,G101,G104,G107,G110)</f>
        <v>20</v>
      </c>
      <c r="H113" s="370">
        <f>SUM(H98,H101,H104,H107,H110)</f>
        <v>11</v>
      </c>
      <c r="I113" s="31">
        <f t="shared" si="9"/>
        <v>0.55000000000000004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370">
        <f>SUM(D99,D102,D105,D108,D111)</f>
        <v>340</v>
      </c>
      <c r="E114" s="370">
        <f>SUM(E99,E102,E105,E108,E111)</f>
        <v>322</v>
      </c>
      <c r="F114" s="31">
        <f t="shared" si="8"/>
        <v>0.94705882352941173</v>
      </c>
      <c r="G114" s="370">
        <f>SUM(G99,G102,G105,G108,G111)</f>
        <v>340</v>
      </c>
      <c r="H114" s="370">
        <f>SUM(H99,H102,H105,H108,H111)</f>
        <v>322</v>
      </c>
      <c r="I114" s="31">
        <f t="shared" si="9"/>
        <v>0.94705882352941173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373">
        <f>SUM(D113:D114)</f>
        <v>360</v>
      </c>
      <c r="E115" s="373">
        <f>SUM(E113:E114)</f>
        <v>333</v>
      </c>
      <c r="F115" s="41">
        <f t="shared" si="8"/>
        <v>0.92500000000000004</v>
      </c>
      <c r="G115" s="373">
        <f>SUM(G113:G114)</f>
        <v>360</v>
      </c>
      <c r="H115" s="373">
        <f>SUM(H113:H114)</f>
        <v>333</v>
      </c>
      <c r="I115" s="41">
        <f t="shared" si="9"/>
        <v>0.92500000000000004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0</v>
      </c>
      <c r="E116" s="64">
        <v>1</v>
      </c>
      <c r="F116" s="43" t="e">
        <f>E116/D116</f>
        <v>#DIV/0!</v>
      </c>
      <c r="G116" s="70">
        <f>D116</f>
        <v>0</v>
      </c>
      <c r="H116" s="70">
        <f>E116</f>
        <v>1</v>
      </c>
      <c r="I116" s="43" t="e">
        <f>H116/G116</f>
        <v>#DIV/0!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77</v>
      </c>
      <c r="E117" s="364">
        <v>79</v>
      </c>
      <c r="F117" s="28">
        <f t="shared" ref="F117:F126" si="12">E117/D117</f>
        <v>1.025974025974026</v>
      </c>
      <c r="G117" s="71">
        <f>D117</f>
        <v>77</v>
      </c>
      <c r="H117" s="71">
        <f>E117</f>
        <v>79</v>
      </c>
      <c r="I117" s="28">
        <f t="shared" ref="I117:I126" si="13">H117/G117</f>
        <v>1.025974025974026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365">
        <f>SUM(D116:D117)</f>
        <v>77</v>
      </c>
      <c r="E118" s="365">
        <f>SUM(E116:E117)</f>
        <v>80</v>
      </c>
      <c r="F118" s="30">
        <f t="shared" si="12"/>
        <v>1.0389610389610389</v>
      </c>
      <c r="G118" s="365">
        <f>SUM(G116:G117)</f>
        <v>77</v>
      </c>
      <c r="H118" s="365">
        <f>SUM(H116:H117)</f>
        <v>80</v>
      </c>
      <c r="I118" s="30">
        <f t="shared" si="13"/>
        <v>1.0389610389610389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364">
        <v>2</v>
      </c>
      <c r="F119" s="28" t="e">
        <f t="shared" si="12"/>
        <v>#DIV/0!</v>
      </c>
      <c r="G119" s="66">
        <f>D119</f>
        <v>0</v>
      </c>
      <c r="H119" s="66">
        <f>E119</f>
        <v>2</v>
      </c>
      <c r="I119" s="28" t="e">
        <f t="shared" si="13"/>
        <v>#DIV/0!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52</v>
      </c>
      <c r="E120" s="364">
        <v>45</v>
      </c>
      <c r="F120" s="28">
        <f t="shared" si="12"/>
        <v>0.86538461538461542</v>
      </c>
      <c r="G120" s="66">
        <f>D120</f>
        <v>52</v>
      </c>
      <c r="H120" s="66">
        <f>E120</f>
        <v>45</v>
      </c>
      <c r="I120" s="28">
        <f t="shared" si="13"/>
        <v>0.86538461538461542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365">
        <f>SUM(D119:D120)</f>
        <v>52</v>
      </c>
      <c r="E121" s="365">
        <f>SUM(E119:E120)</f>
        <v>47</v>
      </c>
      <c r="F121" s="30">
        <f t="shared" si="12"/>
        <v>0.90384615384615385</v>
      </c>
      <c r="G121" s="365">
        <f>SUM(G119:G120)</f>
        <v>52</v>
      </c>
      <c r="H121" s="365">
        <f>SUM(H119:H120)</f>
        <v>47</v>
      </c>
      <c r="I121" s="30">
        <f t="shared" si="13"/>
        <v>0.90384615384615385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370">
        <f>SUM(D116,D119)</f>
        <v>0</v>
      </c>
      <c r="E122" s="370">
        <f>SUM(E116,E119)</f>
        <v>3</v>
      </c>
      <c r="F122" s="30" t="e">
        <f t="shared" si="12"/>
        <v>#DIV/0!</v>
      </c>
      <c r="G122" s="370">
        <f>SUM(G116,G119)</f>
        <v>0</v>
      </c>
      <c r="H122" s="370">
        <f>SUM(H116,H119)</f>
        <v>3</v>
      </c>
      <c r="I122" s="30" t="e">
        <f t="shared" si="13"/>
        <v>#DIV/0!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370">
        <f>SUM(D117,D120)</f>
        <v>129</v>
      </c>
      <c r="E123" s="370">
        <f>SUM(E117,E120)</f>
        <v>124</v>
      </c>
      <c r="F123" s="30">
        <f t="shared" si="12"/>
        <v>0.96124031007751942</v>
      </c>
      <c r="G123" s="370">
        <f>SUM(G117,G120)</f>
        <v>129</v>
      </c>
      <c r="H123" s="370">
        <f>SUM(H117,H120)</f>
        <v>124</v>
      </c>
      <c r="I123" s="30">
        <f t="shared" si="13"/>
        <v>0.96124031007751942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373">
        <f>SUM(D122:D123)</f>
        <v>129</v>
      </c>
      <c r="E124" s="373">
        <f>SUM(E122:E123)</f>
        <v>127</v>
      </c>
      <c r="F124" s="41">
        <f t="shared" si="12"/>
        <v>0.98449612403100772</v>
      </c>
      <c r="G124" s="373">
        <f>SUM(G122:G123)</f>
        <v>129</v>
      </c>
      <c r="H124" s="373">
        <f>SUM(H122:H123)</f>
        <v>127</v>
      </c>
      <c r="I124" s="41">
        <f t="shared" si="13"/>
        <v>0.98449612403100772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375">
        <f>SUM(D113,D122)</f>
        <v>20</v>
      </c>
      <c r="E125" s="375">
        <f>SUM(E113,E122)</f>
        <v>14</v>
      </c>
      <c r="F125" s="45">
        <f t="shared" si="12"/>
        <v>0.7</v>
      </c>
      <c r="G125" s="46">
        <f>SUM(G113,G122)</f>
        <v>20</v>
      </c>
      <c r="H125" s="46">
        <f>SUM(H113,H122)</f>
        <v>14</v>
      </c>
      <c r="I125" s="45">
        <f t="shared" si="13"/>
        <v>0.7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371">
        <f>SUM(D114,D123)</f>
        <v>469</v>
      </c>
      <c r="E126" s="371">
        <f>SUM(E114,E123)</f>
        <v>446</v>
      </c>
      <c r="F126" s="32">
        <f t="shared" si="12"/>
        <v>0.95095948827292109</v>
      </c>
      <c r="G126" s="371">
        <f>SUM(G114,G123)</f>
        <v>469</v>
      </c>
      <c r="H126" s="371">
        <f>SUM(H114,H123)</f>
        <v>446</v>
      </c>
      <c r="I126" s="32">
        <f t="shared" si="13"/>
        <v>0.95095948827292109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371">
        <f>SUM(D125:D126)</f>
        <v>489</v>
      </c>
      <c r="E127" s="371">
        <f>SUM(E125:E126)</f>
        <v>460</v>
      </c>
      <c r="F127" s="49">
        <f>E127/D127</f>
        <v>0.94069529652351735</v>
      </c>
      <c r="G127" s="375">
        <f>SUM(G125:G126)</f>
        <v>489</v>
      </c>
      <c r="H127" s="375">
        <f>SUM(H125:H126)</f>
        <v>460</v>
      </c>
      <c r="I127" s="49">
        <f>H127/G127</f>
        <v>0.94069529652351735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226</v>
      </c>
      <c r="J134" s="631"/>
      <c r="K134" s="632"/>
      <c r="L134" s="634"/>
    </row>
    <row r="135" spans="1:12">
      <c r="A135" s="628" t="s">
        <v>91</v>
      </c>
      <c r="B135" s="629"/>
      <c r="C135" s="649">
        <v>46</v>
      </c>
      <c r="D135" s="650"/>
      <c r="E135" s="649">
        <v>3</v>
      </c>
      <c r="F135" s="650"/>
      <c r="G135" s="649">
        <v>0</v>
      </c>
      <c r="H135" s="650"/>
      <c r="I135" s="649">
        <v>11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374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374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374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374" t="s">
        <v>99</v>
      </c>
      <c r="C140" s="656">
        <v>113</v>
      </c>
      <c r="D140" s="656"/>
      <c r="E140" s="656">
        <v>81</v>
      </c>
      <c r="F140" s="656"/>
      <c r="G140" s="656">
        <v>0</v>
      </c>
      <c r="H140" s="656"/>
      <c r="I140" s="770">
        <v>10015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185</v>
      </c>
      <c r="D145" s="663"/>
      <c r="E145" s="664"/>
      <c r="F145" s="662" t="s">
        <v>133</v>
      </c>
      <c r="G145" s="663"/>
      <c r="H145" s="663"/>
      <c r="I145" s="664"/>
      <c r="J145" s="663" t="s">
        <v>137</v>
      </c>
      <c r="K145" s="663"/>
      <c r="L145" s="663"/>
      <c r="M145" s="665"/>
    </row>
    <row r="146" spans="1:13" ht="47.25" customHeight="1">
      <c r="A146" s="716" t="s">
        <v>103</v>
      </c>
      <c r="B146" s="717"/>
      <c r="C146" s="718" t="s">
        <v>272</v>
      </c>
      <c r="D146" s="723"/>
      <c r="E146" s="724"/>
      <c r="F146" s="744" t="s">
        <v>273</v>
      </c>
      <c r="G146" s="748"/>
      <c r="H146" s="748"/>
      <c r="I146" s="749"/>
      <c r="J146" s="745" t="s">
        <v>274</v>
      </c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151</v>
      </c>
      <c r="D148" s="719"/>
      <c r="E148" s="720"/>
      <c r="F148" s="744" t="s">
        <v>151</v>
      </c>
      <c r="G148" s="745"/>
      <c r="H148" s="745"/>
      <c r="I148" s="746"/>
      <c r="J148" s="744" t="s">
        <v>151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77" t="s">
        <v>109</v>
      </c>
      <c r="C154" s="377" t="s">
        <v>110</v>
      </c>
      <c r="D154" s="377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>
        <v>0</v>
      </c>
      <c r="B155" s="291">
        <v>0</v>
      </c>
      <c r="C155" s="63">
        <f>E45-E44</f>
        <v>65166</v>
      </c>
      <c r="D155" s="73">
        <f>135747</f>
        <v>135747</v>
      </c>
      <c r="E155" s="681" t="s">
        <v>114</v>
      </c>
      <c r="F155" s="681"/>
      <c r="G155" s="681"/>
      <c r="H155" s="72">
        <f>C155+A155+B155-D155</f>
        <v>-70581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20257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378"/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18224</v>
      </c>
      <c r="H165" s="790"/>
      <c r="I165" s="791"/>
      <c r="J165" s="791"/>
      <c r="K165" s="792"/>
    </row>
    <row r="166" spans="1:11" ht="14">
      <c r="A166" s="376" t="s">
        <v>126</v>
      </c>
      <c r="B166" s="789" t="s">
        <v>127</v>
      </c>
      <c r="C166" s="789"/>
      <c r="D166" s="789"/>
      <c r="E166" s="789"/>
      <c r="F166" s="789"/>
      <c r="G166" s="364">
        <v>1900</v>
      </c>
      <c r="H166" s="790"/>
      <c r="I166" s="791"/>
      <c r="J166" s="791"/>
      <c r="K166" s="792"/>
    </row>
    <row r="167" spans="1:11" ht="14">
      <c r="A167" s="376" t="s">
        <v>128</v>
      </c>
      <c r="B167" s="789" t="s">
        <v>129</v>
      </c>
      <c r="C167" s="789"/>
      <c r="D167" s="789"/>
      <c r="E167" s="789"/>
      <c r="F167" s="789"/>
      <c r="G167" s="378"/>
      <c r="H167" s="790"/>
      <c r="I167" s="791"/>
      <c r="J167" s="791"/>
      <c r="K167" s="792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L3" xr:uid="{EE8C9E5F-4256-4B34-B292-D2CB21D0B097}">
      <formula1>"USA, JAPAN"</formula1>
    </dataValidation>
    <dataValidation type="list" allowBlank="1" showInputMessage="1" showErrorMessage="1" sqref="G1" xr:uid="{94766E9F-5EB6-460C-AD23-B8E3D4EE2475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D7272-418F-41D9-BD21-0B2F9D37F294}">
  <sheetPr codeName="Sheet27">
    <pageSetUpPr fitToPage="1"/>
  </sheetPr>
  <dimension ref="A1:N167"/>
  <sheetViews>
    <sheetView topLeftCell="A17" zoomScaleNormal="100" zoomScaleSheetLayoutView="85" workbookViewId="0">
      <selection activeCell="H143" sqref="H143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131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275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/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381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390" t="s">
        <v>176</v>
      </c>
      <c r="C10" s="61">
        <v>2</v>
      </c>
      <c r="D10" s="396">
        <v>2</v>
      </c>
      <c r="E10" s="538" t="s">
        <v>276</v>
      </c>
      <c r="F10" s="538"/>
      <c r="G10" s="538"/>
      <c r="H10" s="538"/>
      <c r="I10" s="539"/>
    </row>
    <row r="11" spans="1:13">
      <c r="A11" s="537"/>
      <c r="B11" s="390" t="s">
        <v>177</v>
      </c>
      <c r="C11" s="61">
        <v>2</v>
      </c>
      <c r="D11" s="396">
        <v>2</v>
      </c>
      <c r="E11" s="805" t="s">
        <v>183</v>
      </c>
      <c r="F11" s="541"/>
      <c r="G11" s="541"/>
      <c r="H11" s="541"/>
      <c r="I11" s="542"/>
    </row>
    <row r="12" spans="1:13">
      <c r="A12" s="537"/>
      <c r="B12" s="390" t="s">
        <v>179</v>
      </c>
      <c r="C12" s="61">
        <v>2</v>
      </c>
      <c r="D12" s="396">
        <v>3</v>
      </c>
      <c r="E12" s="768" t="s">
        <v>277</v>
      </c>
      <c r="F12" s="538"/>
      <c r="G12" s="538"/>
      <c r="H12" s="538"/>
      <c r="I12" s="539"/>
    </row>
    <row r="13" spans="1:13">
      <c r="A13" s="537"/>
      <c r="B13" s="390" t="s">
        <v>180</v>
      </c>
      <c r="C13" s="61">
        <v>3</v>
      </c>
      <c r="D13" s="396">
        <v>1</v>
      </c>
      <c r="E13" s="538" t="s">
        <v>268</v>
      </c>
      <c r="F13" s="538"/>
      <c r="G13" s="538"/>
      <c r="H13" s="538"/>
      <c r="I13" s="539"/>
    </row>
    <row r="14" spans="1:13">
      <c r="A14" s="537"/>
      <c r="B14" s="390" t="s">
        <v>12</v>
      </c>
      <c r="C14" s="61">
        <v>0</v>
      </c>
      <c r="D14" s="396">
        <v>0</v>
      </c>
      <c r="E14" s="540"/>
      <c r="F14" s="541"/>
      <c r="G14" s="541"/>
      <c r="H14" s="541"/>
      <c r="I14" s="542"/>
    </row>
    <row r="15" spans="1:13">
      <c r="A15" s="537"/>
      <c r="B15" s="390" t="s">
        <v>13</v>
      </c>
      <c r="C15" s="61">
        <v>2</v>
      </c>
      <c r="D15" s="396">
        <v>2</v>
      </c>
      <c r="E15" s="768" t="s">
        <v>269</v>
      </c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10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19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393" t="s">
        <v>23</v>
      </c>
      <c r="E21" s="393" t="s">
        <v>24</v>
      </c>
      <c r="F21" s="393" t="s">
        <v>25</v>
      </c>
      <c r="G21" s="393" t="s">
        <v>23</v>
      </c>
      <c r="H21" s="393" t="s">
        <v>24</v>
      </c>
      <c r="I21" s="393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328">
        <v>17468</v>
      </c>
      <c r="E23" s="329">
        <v>16243</v>
      </c>
      <c r="F23" s="14">
        <f t="shared" ref="F23:F28" si="0">E23/D23</f>
        <v>0.9298717655140829</v>
      </c>
      <c r="G23" s="332">
        <f>D23+'2019JAN'!G23</f>
        <v>34485</v>
      </c>
      <c r="H23" s="332">
        <f>E23+'2019JAN'!H23</f>
        <v>32243</v>
      </c>
      <c r="I23" s="14">
        <f t="shared" ref="I23:I28" si="1">H23/G23</f>
        <v>0.93498622589531677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330">
        <f>SUM(D23:D23)</f>
        <v>17468</v>
      </c>
      <c r="E24" s="330">
        <f>SUM(E23:E23)</f>
        <v>16243</v>
      </c>
      <c r="F24" s="16">
        <f t="shared" si="0"/>
        <v>0.9298717655140829</v>
      </c>
      <c r="G24" s="330">
        <f>SUM(G23:G23)</f>
        <v>34485</v>
      </c>
      <c r="H24" s="330">
        <f>SUM(H23:H23)</f>
        <v>32243</v>
      </c>
      <c r="I24" s="16">
        <f t="shared" si="1"/>
        <v>0.93498622589531677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328">
        <v>19894</v>
      </c>
      <c r="E25" s="329">
        <v>18470</v>
      </c>
      <c r="F25" s="14">
        <f t="shared" si="0"/>
        <v>0.92842062933547809</v>
      </c>
      <c r="G25" s="332">
        <f>D25+'2019JAN'!G25</f>
        <v>38817</v>
      </c>
      <c r="H25" s="332">
        <f>E25+'2019JAN'!H25</f>
        <v>36858</v>
      </c>
      <c r="I25" s="14">
        <f t="shared" si="1"/>
        <v>0.94953242136177451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330">
        <f>SUM(D25:D26)</f>
        <v>19894</v>
      </c>
      <c r="E27" s="330">
        <f>SUM(E25:E26)</f>
        <v>18470</v>
      </c>
      <c r="F27" s="16">
        <f t="shared" si="0"/>
        <v>0.92842062933547809</v>
      </c>
      <c r="G27" s="330">
        <f>SUM(G25:G26)</f>
        <v>38817</v>
      </c>
      <c r="H27" s="330">
        <f>SUM(H25:H26)</f>
        <v>36858</v>
      </c>
      <c r="I27" s="16">
        <f t="shared" si="1"/>
        <v>0.94953242136177451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331">
        <f>SUM(D24,D27)</f>
        <v>37362</v>
      </c>
      <c r="E28" s="331">
        <f>SUM(E24,E27)</f>
        <v>34713</v>
      </c>
      <c r="F28" s="17">
        <f t="shared" si="0"/>
        <v>0.92909908463144375</v>
      </c>
      <c r="G28" s="331">
        <f>SUM(G24,G27)</f>
        <v>73302</v>
      </c>
      <c r="H28" s="331">
        <f>SUM(H24,H27)</f>
        <v>69101</v>
      </c>
      <c r="I28" s="17">
        <f t="shared" si="1"/>
        <v>0.94268914900002732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35</v>
      </c>
      <c r="C30" s="128" t="s">
        <v>29</v>
      </c>
      <c r="D30" s="328">
        <v>2900</v>
      </c>
      <c r="E30" s="329">
        <v>2759</v>
      </c>
      <c r="F30" s="14">
        <f>E30/D30</f>
        <v>0.95137931034482759</v>
      </c>
      <c r="G30" s="332">
        <f>D30+'2019JAN'!G30</f>
        <v>5800</v>
      </c>
      <c r="H30" s="332">
        <f>E30+'2019JAN'!H30</f>
        <v>5649</v>
      </c>
      <c r="I30" s="14">
        <f>H30/G30</f>
        <v>0.97396551724137936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328">
        <v>0</v>
      </c>
      <c r="E31" s="329">
        <v>826</v>
      </c>
      <c r="F31" s="14" t="e">
        <f t="shared" ref="F31:F47" si="2">E31/D31</f>
        <v>#DIV/0!</v>
      </c>
      <c r="G31" s="332">
        <f>D31+'2019JAN'!G31</f>
        <v>0</v>
      </c>
      <c r="H31" s="332">
        <f>E31+'2019JAN'!H31</f>
        <v>5819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330">
        <f>SUM(D30:D31)</f>
        <v>2900</v>
      </c>
      <c r="E32" s="330">
        <f>SUM(E30:E31)</f>
        <v>3585</v>
      </c>
      <c r="F32" s="14">
        <f t="shared" si="2"/>
        <v>1.2362068965517241</v>
      </c>
      <c r="G32" s="330">
        <f>SUM(G30:G31)</f>
        <v>5800</v>
      </c>
      <c r="H32" s="330">
        <f>SUM(H30:H31)</f>
        <v>11468</v>
      </c>
      <c r="I32" s="14">
        <f t="shared" si="3"/>
        <v>1.9772413793103449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328">
        <v>0</v>
      </c>
      <c r="E33" s="329">
        <v>452</v>
      </c>
      <c r="F33" s="14" t="e">
        <f t="shared" si="2"/>
        <v>#DIV/0!</v>
      </c>
      <c r="G33" s="332">
        <f>D33+'2019JAN'!G33</f>
        <v>0</v>
      </c>
      <c r="H33" s="332">
        <f>E33+'2019JAN'!H33</f>
        <v>1209</v>
      </c>
      <c r="I33" s="14" t="e">
        <f t="shared" si="3"/>
        <v>#DIV/0!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334">
        <f>SUM(D32,D33)</f>
        <v>2900</v>
      </c>
      <c r="E34" s="334">
        <f>SUM(E32,E33)</f>
        <v>4037</v>
      </c>
      <c r="F34" s="14">
        <f t="shared" si="2"/>
        <v>1.3920689655172414</v>
      </c>
      <c r="G34" s="334">
        <f>SUM(G32,G33)</f>
        <v>5800</v>
      </c>
      <c r="H34" s="334">
        <f>SUM(H32,H33)</f>
        <v>12677</v>
      </c>
      <c r="I34" s="14">
        <f t="shared" si="3"/>
        <v>2.1856896551724136</v>
      </c>
      <c r="J34" s="534"/>
      <c r="K34" s="534"/>
      <c r="L34" s="534"/>
      <c r="M34" s="543"/>
    </row>
    <row r="35" spans="1:13" ht="24.75" customHeight="1">
      <c r="A35" s="573" t="s">
        <v>37</v>
      </c>
      <c r="B35" s="555" t="s">
        <v>38</v>
      </c>
      <c r="C35" s="12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D35+'2019JAN'!G35</f>
        <v>72464</v>
      </c>
      <c r="H35" s="332">
        <f>E35+'2019JAN'!H35</f>
        <v>0</v>
      </c>
      <c r="I35" s="14">
        <f t="shared" si="3"/>
        <v>0</v>
      </c>
      <c r="J35" s="806"/>
      <c r="K35" s="806"/>
      <c r="L35" s="806"/>
      <c r="M35" s="807"/>
    </row>
    <row r="36" spans="1:13">
      <c r="A36" s="573"/>
      <c r="B36" s="555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72464</v>
      </c>
      <c r="H37" s="341">
        <f>SUM(H35:H36)</f>
        <v>0</v>
      </c>
      <c r="I37" s="16">
        <f t="shared" si="3"/>
        <v>0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270</v>
      </c>
      <c r="D38" s="328">
        <v>0</v>
      </c>
      <c r="E38" s="329">
        <v>3739</v>
      </c>
      <c r="F38" s="14" t="e">
        <f t="shared" si="2"/>
        <v>#DIV/0!</v>
      </c>
      <c r="G38" s="332">
        <f>D38+'2019JAN'!G38</f>
        <v>0</v>
      </c>
      <c r="H38" s="332">
        <f>E38+'2019JAN'!H38</f>
        <v>15217</v>
      </c>
      <c r="I38" s="14" t="e">
        <f t="shared" si="3"/>
        <v>#DIV/0!</v>
      </c>
      <c r="J38" s="525" t="s">
        <v>280</v>
      </c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330">
        <f>SUM(D38:D39)</f>
        <v>0</v>
      </c>
      <c r="E40" s="330">
        <f>SUM(E38:E39)</f>
        <v>3739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334">
        <f>SUM(D37,D40)</f>
        <v>36232</v>
      </c>
      <c r="E41" s="334">
        <f>SUM(E37,E40)</f>
        <v>3739</v>
      </c>
      <c r="F41" s="19">
        <f t="shared" si="2"/>
        <v>0.10319606977257673</v>
      </c>
      <c r="G41" s="334">
        <f>SUM(G37,G40)</f>
        <v>72464</v>
      </c>
      <c r="H41" s="334">
        <f>SUM(H37,H40)</f>
        <v>15217</v>
      </c>
      <c r="I41" s="19">
        <f t="shared" si="3"/>
        <v>0.20999392801943034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335">
        <v>12500</v>
      </c>
      <c r="E42" s="336">
        <f>C140+E140+G140+I140</f>
        <v>32709</v>
      </c>
      <c r="F42" s="21">
        <f t="shared" si="2"/>
        <v>2.6167199999999999</v>
      </c>
      <c r="G42" s="342">
        <f>D42+'2019JAN'!G42</f>
        <v>25000</v>
      </c>
      <c r="H42" s="342">
        <f>E42+'2019JAN'!H42</f>
        <v>42918</v>
      </c>
      <c r="I42" s="21">
        <f t="shared" si="3"/>
        <v>1.71672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337">
        <v>2000</v>
      </c>
      <c r="E43" s="338">
        <v>0</v>
      </c>
      <c r="F43" s="21">
        <f t="shared" si="2"/>
        <v>0</v>
      </c>
      <c r="G43" s="342">
        <f>D43+'2019JAN'!G43</f>
        <v>4000</v>
      </c>
      <c r="H43" s="342">
        <f>E43+'2019JAN'!H43</f>
        <v>451</v>
      </c>
      <c r="I43" s="21">
        <f t="shared" si="3"/>
        <v>0.11275</v>
      </c>
      <c r="J43" s="572"/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337">
        <v>40000</v>
      </c>
      <c r="E44" s="338">
        <v>120000</v>
      </c>
      <c r="F44" s="21">
        <f t="shared" si="2"/>
        <v>3</v>
      </c>
      <c r="G44" s="342">
        <f>D44+'2019JAN'!G44</f>
        <v>80000</v>
      </c>
      <c r="H44" s="342">
        <f>E44+'2019JAN'!H44</f>
        <v>120000</v>
      </c>
      <c r="I44" s="21">
        <f t="shared" si="3"/>
        <v>1.5</v>
      </c>
      <c r="J44" s="811" t="s">
        <v>278</v>
      </c>
      <c r="K44" s="811"/>
      <c r="L44" s="811"/>
      <c r="M44" s="812"/>
    </row>
    <row r="45" spans="1:13" s="8" customFormat="1">
      <c r="A45" s="587" t="s">
        <v>46</v>
      </c>
      <c r="B45" s="588"/>
      <c r="C45" s="589"/>
      <c r="D45" s="339">
        <f>SUM(D28,D34,D41,D42:D44)</f>
        <v>130994</v>
      </c>
      <c r="E45" s="339">
        <f>SUM(E28,E34,E41,E42:E44)</f>
        <v>195198</v>
      </c>
      <c r="F45" s="22">
        <f t="shared" si="2"/>
        <v>1.4901293189001024</v>
      </c>
      <c r="G45" s="339">
        <f>SUM(G28,G34,G41,G42:G44)</f>
        <v>260566</v>
      </c>
      <c r="H45" s="339">
        <f>SUM(H28,H34,H41,H42:H44)</f>
        <v>260364</v>
      </c>
      <c r="I45" s="22">
        <f t="shared" si="3"/>
        <v>0.99922476455101583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339">
        <f>D45-D42</f>
        <v>118494</v>
      </c>
      <c r="E46" s="339">
        <f>E45-E42</f>
        <v>162489</v>
      </c>
      <c r="F46" s="22">
        <f t="shared" si="2"/>
        <v>1.3712846220061776</v>
      </c>
      <c r="G46" s="339">
        <f>G45-G42</f>
        <v>235566</v>
      </c>
      <c r="H46" s="339">
        <f>H45-H42</f>
        <v>217446</v>
      </c>
      <c r="I46" s="22">
        <f t="shared" si="3"/>
        <v>0.92307888235144286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340">
        <f>D46-D44</f>
        <v>78494</v>
      </c>
      <c r="E47" s="340">
        <f>E46-E44</f>
        <v>42489</v>
      </c>
      <c r="F47" s="23">
        <f t="shared" si="2"/>
        <v>0.54130251993782963</v>
      </c>
      <c r="G47" s="340">
        <f>G46-G44</f>
        <v>155566</v>
      </c>
      <c r="H47" s="340">
        <f>H46-H44</f>
        <v>97446</v>
      </c>
      <c r="I47" s="23">
        <f t="shared" si="3"/>
        <v>0.62639651337695901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391" t="s">
        <v>23</v>
      </c>
      <c r="E52" s="391" t="s">
        <v>24</v>
      </c>
      <c r="F52" s="391" t="s">
        <v>25</v>
      </c>
      <c r="G52" s="391" t="s">
        <v>23</v>
      </c>
      <c r="H52" s="391" t="s">
        <v>24</v>
      </c>
      <c r="I52" s="391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20</v>
      </c>
      <c r="E53" s="396">
        <v>8</v>
      </c>
      <c r="F53" s="28">
        <f t="shared" ref="F53:F79" si="4">E53/D53</f>
        <v>0.4</v>
      </c>
      <c r="G53" s="66">
        <f>D53+'2019JAN'!G53</f>
        <v>40</v>
      </c>
      <c r="H53" s="66">
        <f>E53+'2019JAN'!H53</f>
        <v>22</v>
      </c>
      <c r="I53" s="28">
        <f t="shared" ref="I53:I79" si="5">H53/G53</f>
        <v>0.55000000000000004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462</v>
      </c>
      <c r="E54" s="396">
        <v>459</v>
      </c>
      <c r="F54" s="28">
        <f t="shared" si="4"/>
        <v>0.99350649350649356</v>
      </c>
      <c r="G54" s="66">
        <f>D54+'2019JAN'!G54</f>
        <v>931</v>
      </c>
      <c r="H54" s="66">
        <f>E54+'2019JAN'!H54</f>
        <v>905</v>
      </c>
      <c r="I54" s="28">
        <f t="shared" si="5"/>
        <v>0.97207303974221271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394">
        <f>SUM(D53:D54)</f>
        <v>482</v>
      </c>
      <c r="E55" s="394">
        <f>SUM(E53:E54)</f>
        <v>467</v>
      </c>
      <c r="F55" s="30">
        <f t="shared" si="4"/>
        <v>0.96887966804979253</v>
      </c>
      <c r="G55" s="394">
        <f>SUM(G53:G54)</f>
        <v>971</v>
      </c>
      <c r="H55" s="394">
        <f>SUM(H53:H54)</f>
        <v>927</v>
      </c>
      <c r="I55" s="30">
        <f t="shared" si="5"/>
        <v>0.95468589083419153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83</v>
      </c>
      <c r="E56" s="396">
        <v>29</v>
      </c>
      <c r="F56" s="28">
        <f t="shared" si="4"/>
        <v>0.3493975903614458</v>
      </c>
      <c r="G56" s="66">
        <f>D56+'2019JAN'!G56</f>
        <v>166</v>
      </c>
      <c r="H56" s="66">
        <f>E56+'2019JAN'!H56</f>
        <v>76</v>
      </c>
      <c r="I56" s="28">
        <f t="shared" si="5"/>
        <v>0.45783132530120479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1169</v>
      </c>
      <c r="E57" s="396">
        <v>1243</v>
      </c>
      <c r="F57" s="28">
        <f t="shared" si="4"/>
        <v>1.0633019674935842</v>
      </c>
      <c r="G57" s="66">
        <f>D57+'2019JAN'!G57</f>
        <v>2356</v>
      </c>
      <c r="H57" s="66">
        <f>E57+'2019JAN'!H57</f>
        <v>2457</v>
      </c>
      <c r="I57" s="28">
        <f t="shared" si="5"/>
        <v>1.0428692699490663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388">
        <f>SUM(D56:D57)</f>
        <v>1252</v>
      </c>
      <c r="E58" s="388">
        <f>SUM(E56:E57)</f>
        <v>1272</v>
      </c>
      <c r="F58" s="28">
        <f t="shared" si="4"/>
        <v>1.0159744408945688</v>
      </c>
      <c r="G58" s="388">
        <f>SUM(G56:G57)</f>
        <v>2522</v>
      </c>
      <c r="H58" s="388">
        <f>SUM(H56:H57)</f>
        <v>2533</v>
      </c>
      <c r="I58" s="31">
        <f t="shared" si="5"/>
        <v>1.0043616177636796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384">
        <f>SUM(D53,D56)</f>
        <v>103</v>
      </c>
      <c r="E59" s="384">
        <f>SUM(E53,E56)</f>
        <v>37</v>
      </c>
      <c r="F59" s="32">
        <f t="shared" si="4"/>
        <v>0.35922330097087379</v>
      </c>
      <c r="G59" s="384">
        <f>SUM(G53,G56)</f>
        <v>206</v>
      </c>
      <c r="H59" s="384">
        <f>SUM(H53,H56)</f>
        <v>98</v>
      </c>
      <c r="I59" s="32">
        <f t="shared" si="5"/>
        <v>0.47572815533980584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384">
        <f>SUM(D54,D57)</f>
        <v>1631</v>
      </c>
      <c r="E60" s="384">
        <f>SUM(E54,E57)</f>
        <v>1702</v>
      </c>
      <c r="F60" s="32">
        <f t="shared" si="4"/>
        <v>1.0435315757204169</v>
      </c>
      <c r="G60" s="384">
        <f>SUM(G54,G57)</f>
        <v>3287</v>
      </c>
      <c r="H60" s="384">
        <f>SUM(H54,H57)</f>
        <v>3362</v>
      </c>
      <c r="I60" s="32">
        <f t="shared" si="5"/>
        <v>1.0228171585031944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392">
        <f>SUM(D59:D60)</f>
        <v>1734</v>
      </c>
      <c r="E61" s="392">
        <f>SUM(E59:E60)</f>
        <v>1739</v>
      </c>
      <c r="F61" s="33">
        <f t="shared" si="4"/>
        <v>1.002883506343714</v>
      </c>
      <c r="G61" s="392">
        <f>SUM(G59:G60)</f>
        <v>3493</v>
      </c>
      <c r="H61" s="392">
        <f>SUM(H59:H60)</f>
        <v>3460</v>
      </c>
      <c r="I61" s="33">
        <f t="shared" si="5"/>
        <v>0.99055253363870599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70</v>
      </c>
      <c r="E62" s="390">
        <f>E71/10</f>
        <v>27.8</v>
      </c>
      <c r="F62" s="28">
        <f t="shared" si="4"/>
        <v>0.39714285714285713</v>
      </c>
      <c r="G62" s="66">
        <f>D62+'2019JAN'!G62</f>
        <v>140</v>
      </c>
      <c r="H62" s="66">
        <f>E62+'2019JAN'!H62</f>
        <v>76.5</v>
      </c>
      <c r="I62" s="28">
        <f t="shared" si="5"/>
        <v>0.54642857142857137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246">
        <v>1608</v>
      </c>
      <c r="E63" s="390">
        <f>E72/10</f>
        <v>1596.5</v>
      </c>
      <c r="F63" s="28">
        <f t="shared" si="4"/>
        <v>0.99284825870646765</v>
      </c>
      <c r="G63" s="248">
        <f>D63+'2019JAN'!G63</f>
        <v>3240</v>
      </c>
      <c r="H63" s="66">
        <f>E63+'2019JAN'!H63</f>
        <v>3147.8</v>
      </c>
      <c r="I63" s="28">
        <f t="shared" si="5"/>
        <v>0.9715432098765433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1678</v>
      </c>
      <c r="E64" s="394">
        <f>SUM(E62:E63)</f>
        <v>1624.3</v>
      </c>
      <c r="F64" s="30">
        <f t="shared" si="4"/>
        <v>0.96799761620977354</v>
      </c>
      <c r="G64" s="394">
        <f>SUM(G62:G63)</f>
        <v>3380</v>
      </c>
      <c r="H64" s="394">
        <f>SUM(H62:H63)</f>
        <v>3224.3</v>
      </c>
      <c r="I64" s="30">
        <f t="shared" si="5"/>
        <v>0.95393491124260366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124</v>
      </c>
      <c r="E65" s="390">
        <f>E74/10</f>
        <v>35.200000000000003</v>
      </c>
      <c r="F65" s="28">
        <f t="shared" si="4"/>
        <v>0.28387096774193549</v>
      </c>
      <c r="G65" s="66">
        <f>D65+'2019JAN'!G65</f>
        <v>248</v>
      </c>
      <c r="H65" s="66">
        <f>E65+'2019JAN'!H65</f>
        <v>98.2</v>
      </c>
      <c r="I65" s="28">
        <f t="shared" si="5"/>
        <v>0.3959677419354839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1742</v>
      </c>
      <c r="E66" s="390">
        <f>E75/10</f>
        <v>1811.8</v>
      </c>
      <c r="F66" s="28">
        <f t="shared" si="4"/>
        <v>1.0400688863375431</v>
      </c>
      <c r="G66" s="66">
        <f>D66+'2019JAN'!G66</f>
        <v>3511</v>
      </c>
      <c r="H66" s="66">
        <f>E66+'2019JAN'!H66</f>
        <v>3587.6</v>
      </c>
      <c r="I66" s="28">
        <f t="shared" si="5"/>
        <v>1.0218171461122187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388">
        <f>SUM(D65:D66)</f>
        <v>1866</v>
      </c>
      <c r="E67" s="388">
        <f>SUM(E65:E66)</f>
        <v>1847</v>
      </c>
      <c r="F67" s="31">
        <f t="shared" si="4"/>
        <v>0.98981779206859588</v>
      </c>
      <c r="G67" s="388">
        <f>SUM(G65:G66)</f>
        <v>3759</v>
      </c>
      <c r="H67" s="388">
        <f>SUM(H65:H66)</f>
        <v>3685.7999999999997</v>
      </c>
      <c r="I67" s="31">
        <f t="shared" si="5"/>
        <v>0.9805267358339983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384">
        <f>SUM(D62,D65)</f>
        <v>194</v>
      </c>
      <c r="E68" s="384">
        <f>SUM(E62,E65)</f>
        <v>63</v>
      </c>
      <c r="F68" s="32">
        <f t="shared" si="4"/>
        <v>0.32474226804123713</v>
      </c>
      <c r="G68" s="384">
        <f>SUM(G62,G65)</f>
        <v>388</v>
      </c>
      <c r="H68" s="384">
        <f>SUM(H62,H65)</f>
        <v>174.7</v>
      </c>
      <c r="I68" s="32">
        <f t="shared" si="5"/>
        <v>0.45025773195876284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384">
        <f>SUM(D63,D66)</f>
        <v>3350</v>
      </c>
      <c r="E69" s="384">
        <f>SUM(E63,E66)</f>
        <v>3408.3</v>
      </c>
      <c r="F69" s="32">
        <f t="shared" si="4"/>
        <v>1.0174029850746269</v>
      </c>
      <c r="G69" s="384">
        <f>SUM(G63,G66)</f>
        <v>6751</v>
      </c>
      <c r="H69" s="384">
        <f>SUM(H63,H66)</f>
        <v>6735.4</v>
      </c>
      <c r="I69" s="32">
        <f t="shared" si="5"/>
        <v>0.99768923122500364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392">
        <f>SUM(D68:D69)</f>
        <v>3544</v>
      </c>
      <c r="E70" s="392">
        <f>SUM(E68:E69)</f>
        <v>3471.3</v>
      </c>
      <c r="F70" s="34">
        <f t="shared" si="4"/>
        <v>0.9794864559819414</v>
      </c>
      <c r="G70" s="392">
        <f>SUM(G68:G69)</f>
        <v>7139</v>
      </c>
      <c r="H70" s="392">
        <f>SUM(H68:H69)</f>
        <v>6910.0999999999995</v>
      </c>
      <c r="I70" s="34">
        <f t="shared" si="5"/>
        <v>0.96793668581033754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1392</v>
      </c>
      <c r="E71" s="396">
        <v>278</v>
      </c>
      <c r="F71" s="28">
        <f t="shared" si="4"/>
        <v>0.19971264367816091</v>
      </c>
      <c r="G71" s="179">
        <f>D71+'2019JAN'!G71</f>
        <v>2088</v>
      </c>
      <c r="H71" s="66">
        <f>E71+'2019JAN'!H71</f>
        <v>765</v>
      </c>
      <c r="I71" s="28">
        <f t="shared" si="5"/>
        <v>0.36637931034482757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246">
        <v>16076</v>
      </c>
      <c r="E72" s="341">
        <f>E23-E71</f>
        <v>15965</v>
      </c>
      <c r="F72" s="28">
        <f t="shared" si="4"/>
        <v>0.99309529733764623</v>
      </c>
      <c r="G72" s="248">
        <f>D72+'2019JAN'!G72</f>
        <v>32397</v>
      </c>
      <c r="H72" s="332">
        <f>E72+'2019JAN'!H72</f>
        <v>31478</v>
      </c>
      <c r="I72" s="28">
        <f t="shared" si="5"/>
        <v>0.97163317591134979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394">
        <f>SUM(D71:D72)</f>
        <v>17468</v>
      </c>
      <c r="E73" s="394">
        <f>SUM(E71:E72)</f>
        <v>16243</v>
      </c>
      <c r="F73" s="30">
        <f t="shared" si="4"/>
        <v>0.9298717655140829</v>
      </c>
      <c r="G73" s="394">
        <f>SUM(G71:G72)</f>
        <v>34485</v>
      </c>
      <c r="H73" s="394">
        <f>SUM(H71:H72)</f>
        <v>32243</v>
      </c>
      <c r="I73" s="30">
        <f t="shared" si="5"/>
        <v>0.93498622589531677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2473</v>
      </c>
      <c r="E74" s="396">
        <v>352</v>
      </c>
      <c r="F74" s="28">
        <f t="shared" si="4"/>
        <v>0.14233724221593205</v>
      </c>
      <c r="G74" s="179">
        <f>D74+'2019JAN'!G74</f>
        <v>3710</v>
      </c>
      <c r="H74" s="66">
        <f>E74+'2019JAN'!H74</f>
        <v>982</v>
      </c>
      <c r="I74" s="28">
        <f t="shared" si="5"/>
        <v>0.26469002695417787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246">
        <v>17421</v>
      </c>
      <c r="E75" s="395">
        <f>E25-E74</f>
        <v>18118</v>
      </c>
      <c r="F75" s="28">
        <f t="shared" si="4"/>
        <v>1.0400091843177774</v>
      </c>
      <c r="G75" s="248">
        <f>D75+'2019JAN'!G75</f>
        <v>35107</v>
      </c>
      <c r="H75" s="66">
        <f>E75+'2019JAN'!H75</f>
        <v>35876</v>
      </c>
      <c r="I75" s="28">
        <f t="shared" si="5"/>
        <v>1.0219044634973082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388">
        <f>SUM(D74:D75)</f>
        <v>19894</v>
      </c>
      <c r="E76" s="388">
        <f>SUM(E74:E75)</f>
        <v>18470</v>
      </c>
      <c r="F76" s="31">
        <f t="shared" si="4"/>
        <v>0.92842062933547809</v>
      </c>
      <c r="G76" s="388">
        <f>SUM(G74:G75)</f>
        <v>38817</v>
      </c>
      <c r="H76" s="388">
        <f>SUM(H74:H75)</f>
        <v>36858</v>
      </c>
      <c r="I76" s="31">
        <f t="shared" si="5"/>
        <v>0.94953242136177451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384">
        <f>SUM(D71,D74)</f>
        <v>3865</v>
      </c>
      <c r="E77" s="384">
        <f>SUM(E71,E74)</f>
        <v>630</v>
      </c>
      <c r="F77" s="32">
        <f t="shared" si="4"/>
        <v>0.16300129366106081</v>
      </c>
      <c r="G77" s="384">
        <f>SUM(G71,G74)</f>
        <v>5798</v>
      </c>
      <c r="H77" s="384">
        <f>SUM(H71,H74)</f>
        <v>1747</v>
      </c>
      <c r="I77" s="32">
        <f t="shared" si="5"/>
        <v>0.30131079682649187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384">
        <f>SUM(D72,D75)</f>
        <v>33497</v>
      </c>
      <c r="E78" s="384">
        <f>SUM(E72,E75)</f>
        <v>34083</v>
      </c>
      <c r="F78" s="32">
        <f t="shared" si="4"/>
        <v>1.0174941039496075</v>
      </c>
      <c r="G78" s="384">
        <f>SUM(G72,G75)</f>
        <v>67504</v>
      </c>
      <c r="H78" s="384">
        <f>SUM(H72,H75)</f>
        <v>67354</v>
      </c>
      <c r="I78" s="32">
        <f t="shared" si="5"/>
        <v>0.99777790945721734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392">
        <f>SUM(D77:D78)</f>
        <v>37362</v>
      </c>
      <c r="E79" s="392">
        <f>SUM(E77:E78)</f>
        <v>34713</v>
      </c>
      <c r="F79" s="34">
        <f t="shared" si="4"/>
        <v>0.92909908463144375</v>
      </c>
      <c r="G79" s="392">
        <f>SUM(G77:G78)</f>
        <v>73302</v>
      </c>
      <c r="H79" s="392">
        <f>SUM(H77:H78)</f>
        <v>69101</v>
      </c>
      <c r="I79" s="34">
        <f t="shared" si="5"/>
        <v>0.94268914900002732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467</v>
      </c>
      <c r="E87" s="130"/>
      <c r="F87" s="134">
        <f>D87+'2019JAN'!F87</f>
        <v>927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8</v>
      </c>
      <c r="E88" s="128"/>
      <c r="F88" s="134">
        <f>D88+'2019JAN'!F88</f>
        <v>22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2</v>
      </c>
      <c r="E89" s="128">
        <f>D89/D87</f>
        <v>4.2826552462526769E-3</v>
      </c>
      <c r="F89" s="134">
        <f>D89+'2019JAN'!F89</f>
        <v>2</v>
      </c>
      <c r="G89" s="128">
        <f>F89/F87</f>
        <v>2.1574973031283709E-3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1</v>
      </c>
      <c r="E90" s="128">
        <f>D90/D92</f>
        <v>4.9751243781094526E-3</v>
      </c>
      <c r="F90" s="134">
        <f>D90+'2019JAN'!F90</f>
        <v>109</v>
      </c>
      <c r="G90" s="128">
        <f>F90/F92</f>
        <v>0.26520681265206814</v>
      </c>
      <c r="H90" s="128"/>
    </row>
    <row r="91" spans="1:13" ht="15" customHeight="1">
      <c r="A91" s="774"/>
      <c r="B91" s="775" t="s">
        <v>202</v>
      </c>
      <c r="C91" s="775"/>
      <c r="D91" s="131">
        <v>210</v>
      </c>
      <c r="E91" s="128">
        <f>D91/D92</f>
        <v>1.044776119402985</v>
      </c>
      <c r="F91" s="134">
        <f>D91+'2019JAN'!F91</f>
        <v>326</v>
      </c>
      <c r="G91" s="128">
        <f>F91/F92</f>
        <v>0.79318734793187351</v>
      </c>
      <c r="H91" s="128"/>
    </row>
    <row r="92" spans="1:13" ht="15" customHeight="1">
      <c r="A92" s="774"/>
      <c r="B92" s="775" t="s">
        <v>203</v>
      </c>
      <c r="C92" s="775"/>
      <c r="D92" s="131">
        <v>201</v>
      </c>
      <c r="E92" s="130"/>
      <c r="F92" s="134">
        <f>D92+'2019JAN'!F92</f>
        <v>411</v>
      </c>
      <c r="G92" s="130"/>
      <c r="H92" s="128"/>
    </row>
    <row r="93" spans="1:13">
      <c r="C93" s="126" t="s">
        <v>210</v>
      </c>
      <c r="D93" s="132">
        <v>668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391" t="s">
        <v>23</v>
      </c>
      <c r="E97" s="391" t="s">
        <v>24</v>
      </c>
      <c r="F97" s="391" t="s">
        <v>25</v>
      </c>
      <c r="G97" s="391" t="s">
        <v>23</v>
      </c>
      <c r="H97" s="391" t="s">
        <v>24</v>
      </c>
      <c r="I97" s="391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396">
        <v>0</v>
      </c>
      <c r="F98" s="37" t="e">
        <f>E98/D98</f>
        <v>#DIV/0!</v>
      </c>
      <c r="G98" s="66">
        <f>D98+'2019JAN'!G98</f>
        <v>0</v>
      </c>
      <c r="H98" s="66">
        <f>E98+'2019JAN'!H98</f>
        <v>0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39</v>
      </c>
      <c r="E99" s="396">
        <v>21</v>
      </c>
      <c r="F99" s="28">
        <f t="shared" ref="F99:F115" si="6">E99/D99</f>
        <v>0.53846153846153844</v>
      </c>
      <c r="G99" s="66">
        <f>D99+'2019JAN'!G99</f>
        <v>78</v>
      </c>
      <c r="H99" s="66">
        <f>E99+'2019JAN'!H99</f>
        <v>42</v>
      </c>
      <c r="I99" s="28">
        <f t="shared" ref="I99:I115" si="7">H99/G99</f>
        <v>0.53846153846153844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394">
        <f>SUM(D98:D99)</f>
        <v>39</v>
      </c>
      <c r="E100" s="394">
        <f>SUM(E98:E99)</f>
        <v>21</v>
      </c>
      <c r="F100" s="30">
        <f t="shared" si="6"/>
        <v>0.53846153846153844</v>
      </c>
      <c r="G100" s="394">
        <f>SUM(G98:G99)</f>
        <v>78</v>
      </c>
      <c r="H100" s="394">
        <f>SUM(H98:H99)</f>
        <v>42</v>
      </c>
      <c r="I100" s="30">
        <f t="shared" si="7"/>
        <v>0.53846153846153844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396">
        <v>0</v>
      </c>
      <c r="F101" s="28" t="e">
        <f t="shared" si="6"/>
        <v>#DIV/0!</v>
      </c>
      <c r="G101" s="66">
        <f>D101+'2019JAN'!G101</f>
        <v>0</v>
      </c>
      <c r="H101" s="66">
        <f>E101+'2019JAN'!H101</f>
        <v>0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9</v>
      </c>
      <c r="E102" s="396">
        <v>9</v>
      </c>
      <c r="F102" s="28">
        <f t="shared" si="6"/>
        <v>1</v>
      </c>
      <c r="G102" s="66">
        <f>D102+'2019JAN'!G102</f>
        <v>18</v>
      </c>
      <c r="H102" s="66">
        <f>E102+'2019JAN'!H102</f>
        <v>18</v>
      </c>
      <c r="I102" s="28">
        <f t="shared" si="7"/>
        <v>1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394">
        <f>SUM(D101:D102)</f>
        <v>9</v>
      </c>
      <c r="E103" s="394">
        <f>SUM(E101:E102)</f>
        <v>9</v>
      </c>
      <c r="F103" s="30">
        <f t="shared" si="6"/>
        <v>1</v>
      </c>
      <c r="G103" s="394">
        <f>SUM(G101:G102)</f>
        <v>18</v>
      </c>
      <c r="H103" s="394">
        <f>SUM(H101:H102)</f>
        <v>18</v>
      </c>
      <c r="I103" s="30">
        <f t="shared" si="7"/>
        <v>1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9</v>
      </c>
      <c r="E104" s="396">
        <v>0</v>
      </c>
      <c r="F104" s="28">
        <f t="shared" si="6"/>
        <v>0</v>
      </c>
      <c r="G104" s="66">
        <f>D104+'2019JAN'!G104</f>
        <v>19</v>
      </c>
      <c r="H104" s="66">
        <f>E104+'2019JAN'!H104</f>
        <v>2</v>
      </c>
      <c r="I104" s="28">
        <f t="shared" si="7"/>
        <v>0.10526315789473684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81</v>
      </c>
      <c r="E105" s="396">
        <v>73</v>
      </c>
      <c r="F105" s="28">
        <f t="shared" si="6"/>
        <v>0.90123456790123457</v>
      </c>
      <c r="G105" s="66">
        <f>D105+'2019JAN'!G105</f>
        <v>152</v>
      </c>
      <c r="H105" s="66">
        <f>E105+'2019JAN'!H105</f>
        <v>145</v>
      </c>
      <c r="I105" s="28">
        <f t="shared" si="7"/>
        <v>0.95394736842105265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394">
        <f>SUM(D104:D105)</f>
        <v>90</v>
      </c>
      <c r="E106" s="394">
        <f>SUM(E104:E105)</f>
        <v>73</v>
      </c>
      <c r="F106" s="30">
        <f t="shared" si="6"/>
        <v>0.81111111111111112</v>
      </c>
      <c r="G106" s="394">
        <f>SUM(G104:G105)</f>
        <v>171</v>
      </c>
      <c r="H106" s="394">
        <f>SUM(H104:H105)</f>
        <v>147</v>
      </c>
      <c r="I106" s="30">
        <f t="shared" si="7"/>
        <v>0.85964912280701755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2</v>
      </c>
      <c r="E107" s="396">
        <v>0</v>
      </c>
      <c r="F107" s="28">
        <f>E107/D107</f>
        <v>0</v>
      </c>
      <c r="G107" s="66">
        <f>D107+'2019JAN'!G107</f>
        <v>2</v>
      </c>
      <c r="H107" s="66">
        <f>E107+'2019JAN'!H107</f>
        <v>1</v>
      </c>
      <c r="I107" s="28">
        <f>H107/G107</f>
        <v>0.5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139</v>
      </c>
      <c r="E108" s="396">
        <v>137</v>
      </c>
      <c r="F108" s="28">
        <f>E108/D108</f>
        <v>0.98561151079136688</v>
      </c>
      <c r="G108" s="66">
        <f>D108+'2019JAN'!G108</f>
        <v>278</v>
      </c>
      <c r="H108" s="66">
        <f>E108+'2019JAN'!H108</f>
        <v>273</v>
      </c>
      <c r="I108" s="28">
        <f t="shared" si="7"/>
        <v>0.98201438848920863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394">
        <f>SUM(D107:D108)</f>
        <v>141</v>
      </c>
      <c r="E109" s="394">
        <f>SUM(E107:E108)</f>
        <v>137</v>
      </c>
      <c r="F109" s="30">
        <f t="shared" si="6"/>
        <v>0.97163120567375882</v>
      </c>
      <c r="G109" s="394">
        <f>SUM(G107:G108)</f>
        <v>280</v>
      </c>
      <c r="H109" s="394">
        <f>SUM(H107:H108)</f>
        <v>274</v>
      </c>
      <c r="I109" s="30">
        <f t="shared" si="7"/>
        <v>0.97857142857142854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9</v>
      </c>
      <c r="E110" s="396">
        <v>8</v>
      </c>
      <c r="F110" s="30">
        <f>E110/D110</f>
        <v>0.88888888888888884</v>
      </c>
      <c r="G110" s="66">
        <f>D110+'2019JAN'!G110</f>
        <v>19</v>
      </c>
      <c r="H110" s="66">
        <f>E110+'2019JAN'!H110</f>
        <v>16</v>
      </c>
      <c r="I110" s="30">
        <f>H110/G110</f>
        <v>0.84210526315789469</v>
      </c>
      <c r="J110" s="385"/>
      <c r="K110" s="386"/>
      <c r="L110" s="386"/>
      <c r="M110" s="387"/>
    </row>
    <row r="111" spans="1:13">
      <c r="A111" s="573"/>
      <c r="B111" s="777"/>
      <c r="C111" s="27" t="s">
        <v>70</v>
      </c>
      <c r="D111" s="65">
        <v>92</v>
      </c>
      <c r="E111" s="396">
        <v>92</v>
      </c>
      <c r="F111" s="30">
        <f t="shared" ref="F111:F112" si="8">E111/D111</f>
        <v>1</v>
      </c>
      <c r="G111" s="66">
        <f>D111+'2019JAN'!G111</f>
        <v>174</v>
      </c>
      <c r="H111" s="66">
        <f>E111+'2019JAN'!H111</f>
        <v>176</v>
      </c>
      <c r="I111" s="30">
        <f t="shared" ref="I111:I112" si="9">H111/G111</f>
        <v>1.0114942528735633</v>
      </c>
      <c r="J111" s="385"/>
      <c r="K111" s="386"/>
      <c r="L111" s="386"/>
      <c r="M111" s="387"/>
    </row>
    <row r="112" spans="1:13">
      <c r="A112" s="573"/>
      <c r="B112" s="778"/>
      <c r="C112" s="38" t="s">
        <v>166</v>
      </c>
      <c r="D112" s="394">
        <f>SUM(D110:D111)</f>
        <v>101</v>
      </c>
      <c r="E112" s="394">
        <f>SUM(E110:E111)</f>
        <v>100</v>
      </c>
      <c r="F112" s="30">
        <f t="shared" si="8"/>
        <v>0.99009900990099009</v>
      </c>
      <c r="G112" s="394">
        <f>SUM(G110:G111)</f>
        <v>193</v>
      </c>
      <c r="H112" s="394">
        <f>SUM(H110:H111)</f>
        <v>192</v>
      </c>
      <c r="I112" s="30">
        <f t="shared" si="9"/>
        <v>0.99481865284974091</v>
      </c>
      <c r="J112" s="385"/>
      <c r="K112" s="386"/>
      <c r="L112" s="386"/>
      <c r="M112" s="387"/>
    </row>
    <row r="113" spans="1:13">
      <c r="A113" s="573"/>
      <c r="B113" s="603" t="s">
        <v>46</v>
      </c>
      <c r="C113" s="39" t="s">
        <v>69</v>
      </c>
      <c r="D113" s="388">
        <f>SUM(D98,D101,D104,D107,D110)</f>
        <v>20</v>
      </c>
      <c r="E113" s="388">
        <f>SUM(E98,E101,E104,E107,E110)</f>
        <v>8</v>
      </c>
      <c r="F113" s="31">
        <f t="shared" si="6"/>
        <v>0.4</v>
      </c>
      <c r="G113" s="388">
        <f>SUM(G98,G101,G104,G107,G110)</f>
        <v>40</v>
      </c>
      <c r="H113" s="388">
        <f>SUM(H98,H101,H104,H107,H110)</f>
        <v>19</v>
      </c>
      <c r="I113" s="31">
        <f t="shared" si="7"/>
        <v>0.47499999999999998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388">
        <f>SUM(D99,D102,D105,D108,D111)</f>
        <v>360</v>
      </c>
      <c r="E114" s="388">
        <f>SUM(E99,E102,E105,E108,E111)</f>
        <v>332</v>
      </c>
      <c r="F114" s="31">
        <f t="shared" si="6"/>
        <v>0.92222222222222228</v>
      </c>
      <c r="G114" s="388">
        <f>SUM(G99,G102,G105,G108,G111)</f>
        <v>700</v>
      </c>
      <c r="H114" s="388">
        <f>SUM(H99,H102,H105,H108,H111)</f>
        <v>654</v>
      </c>
      <c r="I114" s="31">
        <f t="shared" si="7"/>
        <v>0.93428571428571427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389">
        <f>SUM(D113:D114)</f>
        <v>380</v>
      </c>
      <c r="E115" s="389">
        <f>SUM(E113:E114)</f>
        <v>340</v>
      </c>
      <c r="F115" s="41">
        <f t="shared" si="6"/>
        <v>0.89473684210526316</v>
      </c>
      <c r="G115" s="389">
        <f>SUM(G113:G114)</f>
        <v>740</v>
      </c>
      <c r="H115" s="389">
        <f>SUM(H113:H114)</f>
        <v>673</v>
      </c>
      <c r="I115" s="41">
        <f t="shared" si="7"/>
        <v>0.9094594594594595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0</v>
      </c>
      <c r="E116" s="64">
        <v>0</v>
      </c>
      <c r="F116" s="43" t="e">
        <f>E116/D116</f>
        <v>#DIV/0!</v>
      </c>
      <c r="G116" s="70">
        <f>D116+'2019JAN'!G116</f>
        <v>0</v>
      </c>
      <c r="H116" s="70">
        <f>E116+'2019JAN'!H116</f>
        <v>1</v>
      </c>
      <c r="I116" s="43" t="e">
        <f>H116/G116</f>
        <v>#DIV/0!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77</v>
      </c>
      <c r="E117" s="396">
        <v>80</v>
      </c>
      <c r="F117" s="28">
        <f t="shared" ref="F117:F126" si="10">E117/D117</f>
        <v>1.0389610389610389</v>
      </c>
      <c r="G117" s="71">
        <f>D117+'2019JAN'!G117</f>
        <v>154</v>
      </c>
      <c r="H117" s="71">
        <f>E117+'2019JAN'!H117</f>
        <v>159</v>
      </c>
      <c r="I117" s="28">
        <f t="shared" ref="I117:I126" si="11">H117/G117</f>
        <v>1.0324675324675325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394">
        <f>SUM(D116:D117)</f>
        <v>77</v>
      </c>
      <c r="E118" s="394">
        <f>SUM(E116:E117)</f>
        <v>80</v>
      </c>
      <c r="F118" s="30">
        <f t="shared" si="10"/>
        <v>1.0389610389610389</v>
      </c>
      <c r="G118" s="394">
        <f>SUM(G116:G117)</f>
        <v>154</v>
      </c>
      <c r="H118" s="394">
        <f>SUM(H116:H117)</f>
        <v>160</v>
      </c>
      <c r="I118" s="30">
        <f t="shared" si="11"/>
        <v>1.0389610389610389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396">
        <v>0</v>
      </c>
      <c r="F119" s="28" t="e">
        <f t="shared" si="10"/>
        <v>#DIV/0!</v>
      </c>
      <c r="G119" s="66">
        <f>D119+'2019JAN'!G119</f>
        <v>0</v>
      </c>
      <c r="H119" s="66">
        <f>E119+'2019JAN'!H119</f>
        <v>2</v>
      </c>
      <c r="I119" s="28" t="e">
        <f t="shared" si="11"/>
        <v>#DIV/0!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52</v>
      </c>
      <c r="E120" s="396">
        <v>47</v>
      </c>
      <c r="F120" s="28">
        <f t="shared" si="10"/>
        <v>0.90384615384615385</v>
      </c>
      <c r="G120" s="66">
        <f>D120+'2019JAN'!G120</f>
        <v>104</v>
      </c>
      <c r="H120" s="66">
        <f>E120+'2019JAN'!H120</f>
        <v>92</v>
      </c>
      <c r="I120" s="28">
        <f t="shared" si="11"/>
        <v>0.88461538461538458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394">
        <f>SUM(D119:D120)</f>
        <v>52</v>
      </c>
      <c r="E121" s="394">
        <f>SUM(E119:E120)</f>
        <v>47</v>
      </c>
      <c r="F121" s="30">
        <f t="shared" si="10"/>
        <v>0.90384615384615385</v>
      </c>
      <c r="G121" s="394">
        <f>SUM(G119:G120)</f>
        <v>104</v>
      </c>
      <c r="H121" s="394">
        <f>SUM(H119:H120)</f>
        <v>94</v>
      </c>
      <c r="I121" s="30">
        <f t="shared" si="11"/>
        <v>0.90384615384615385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388">
        <f>SUM(D116,D119)</f>
        <v>0</v>
      </c>
      <c r="E122" s="388">
        <f>SUM(E116,E119)</f>
        <v>0</v>
      </c>
      <c r="F122" s="30" t="e">
        <f t="shared" si="10"/>
        <v>#DIV/0!</v>
      </c>
      <c r="G122" s="388">
        <f>SUM(G116,G119)</f>
        <v>0</v>
      </c>
      <c r="H122" s="388">
        <f>SUM(H116,H119)</f>
        <v>3</v>
      </c>
      <c r="I122" s="30" t="e">
        <f t="shared" si="11"/>
        <v>#DIV/0!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388">
        <f>SUM(D117,D120)</f>
        <v>129</v>
      </c>
      <c r="E123" s="388">
        <f>SUM(E117,E120)</f>
        <v>127</v>
      </c>
      <c r="F123" s="30">
        <f t="shared" si="10"/>
        <v>0.98449612403100772</v>
      </c>
      <c r="G123" s="388">
        <f>SUM(G117,G120)</f>
        <v>258</v>
      </c>
      <c r="H123" s="388">
        <f>SUM(H117,H120)</f>
        <v>251</v>
      </c>
      <c r="I123" s="30">
        <f t="shared" si="11"/>
        <v>0.97286821705426352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389">
        <f>SUM(D122:D123)</f>
        <v>129</v>
      </c>
      <c r="E124" s="389">
        <f>SUM(E122:E123)</f>
        <v>127</v>
      </c>
      <c r="F124" s="41">
        <f t="shared" si="10"/>
        <v>0.98449612403100772</v>
      </c>
      <c r="G124" s="389">
        <f>SUM(G122:G123)</f>
        <v>258</v>
      </c>
      <c r="H124" s="389">
        <f>SUM(H122:H123)</f>
        <v>254</v>
      </c>
      <c r="I124" s="41">
        <f t="shared" si="11"/>
        <v>0.98449612403100772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383">
        <f>SUM(D113,D122)</f>
        <v>20</v>
      </c>
      <c r="E125" s="383">
        <f>SUM(E113,E122)</f>
        <v>8</v>
      </c>
      <c r="F125" s="45">
        <f t="shared" si="10"/>
        <v>0.4</v>
      </c>
      <c r="G125" s="46">
        <f>SUM(G113,G122)</f>
        <v>40</v>
      </c>
      <c r="H125" s="46">
        <f>SUM(H113,H122)</f>
        <v>22</v>
      </c>
      <c r="I125" s="45">
        <f t="shared" si="11"/>
        <v>0.55000000000000004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384">
        <f>SUM(D114,D123)</f>
        <v>489</v>
      </c>
      <c r="E126" s="384">
        <f>SUM(E114,E123)</f>
        <v>459</v>
      </c>
      <c r="F126" s="32">
        <f t="shared" si="10"/>
        <v>0.93865030674846628</v>
      </c>
      <c r="G126" s="384">
        <f>SUM(G114,G123)</f>
        <v>958</v>
      </c>
      <c r="H126" s="384">
        <f>SUM(H114,H123)</f>
        <v>905</v>
      </c>
      <c r="I126" s="32">
        <f t="shared" si="11"/>
        <v>0.94467640918580376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384">
        <f>SUM(D125:D126)</f>
        <v>509</v>
      </c>
      <c r="E127" s="384">
        <f>SUM(E125:E126)</f>
        <v>467</v>
      </c>
      <c r="F127" s="49">
        <f>E127/D127</f>
        <v>0.91748526522593321</v>
      </c>
      <c r="G127" s="383">
        <f>SUM(G125:G126)</f>
        <v>998</v>
      </c>
      <c r="H127" s="383">
        <f>SUM(H125:H126)</f>
        <v>927</v>
      </c>
      <c r="I127" s="49">
        <f>H127/G127</f>
        <v>0.92885771543086171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226</v>
      </c>
      <c r="J134" s="631"/>
      <c r="K134" s="632"/>
      <c r="L134" s="634"/>
    </row>
    <row r="135" spans="1:12">
      <c r="A135" s="628" t="s">
        <v>91</v>
      </c>
      <c r="B135" s="629"/>
      <c r="C135" s="649">
        <v>48</v>
      </c>
      <c r="D135" s="650"/>
      <c r="E135" s="649">
        <v>4</v>
      </c>
      <c r="F135" s="650"/>
      <c r="G135" s="649">
        <v>3</v>
      </c>
      <c r="H135" s="650"/>
      <c r="I135" s="649">
        <v>17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382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382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382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382" t="s">
        <v>99</v>
      </c>
      <c r="C140" s="656">
        <v>760</v>
      </c>
      <c r="D140" s="656"/>
      <c r="E140" s="656">
        <v>95</v>
      </c>
      <c r="F140" s="656"/>
      <c r="G140" s="656">
        <v>30</v>
      </c>
      <c r="H140" s="656"/>
      <c r="I140" s="770">
        <v>31824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206</v>
      </c>
      <c r="D145" s="663"/>
      <c r="E145" s="664"/>
      <c r="F145" s="662" t="s">
        <v>283</v>
      </c>
      <c r="G145" s="663"/>
      <c r="H145" s="663"/>
      <c r="I145" s="664"/>
      <c r="J145" s="663" t="s">
        <v>207</v>
      </c>
      <c r="K145" s="663"/>
      <c r="L145" s="663"/>
      <c r="M145" s="665"/>
    </row>
    <row r="146" spans="1:13" ht="47.25" customHeight="1">
      <c r="A146" s="716" t="s">
        <v>103</v>
      </c>
      <c r="B146" s="717"/>
      <c r="C146" s="718" t="s">
        <v>281</v>
      </c>
      <c r="D146" s="723"/>
      <c r="E146" s="724"/>
      <c r="F146" s="744" t="s">
        <v>284</v>
      </c>
      <c r="G146" s="748"/>
      <c r="H146" s="748"/>
      <c r="I146" s="749"/>
      <c r="J146" s="745" t="s">
        <v>264</v>
      </c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151</v>
      </c>
      <c r="D148" s="719"/>
      <c r="E148" s="720"/>
      <c r="F148" s="744" t="s">
        <v>282</v>
      </c>
      <c r="G148" s="745"/>
      <c r="H148" s="745"/>
      <c r="I148" s="746"/>
      <c r="J148" s="744" t="s">
        <v>282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80" t="s">
        <v>109</v>
      </c>
      <c r="C154" s="380" t="s">
        <v>110</v>
      </c>
      <c r="D154" s="380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>
        <v>120000</v>
      </c>
      <c r="B155" s="291">
        <f>'2019JAN'!H155</f>
        <v>-70581</v>
      </c>
      <c r="C155" s="63">
        <f>E45-E44</f>
        <v>75198</v>
      </c>
      <c r="D155" s="73">
        <f>133773</f>
        <v>133773</v>
      </c>
      <c r="E155" s="681" t="s">
        <v>114</v>
      </c>
      <c r="F155" s="681"/>
      <c r="G155" s="681"/>
      <c r="H155" s="72">
        <f>C155+A155+B155-D155</f>
        <v>-9156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14966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395"/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18882</v>
      </c>
      <c r="H165" s="790"/>
      <c r="I165" s="791"/>
      <c r="J165" s="791"/>
      <c r="K165" s="792"/>
    </row>
    <row r="166" spans="1:11" ht="14">
      <c r="A166" s="379" t="s">
        <v>126</v>
      </c>
      <c r="B166" s="789" t="s">
        <v>127</v>
      </c>
      <c r="C166" s="789"/>
      <c r="D166" s="789"/>
      <c r="E166" s="789"/>
      <c r="F166" s="789"/>
      <c r="G166" s="396">
        <v>1900</v>
      </c>
      <c r="H166" s="790"/>
      <c r="I166" s="791"/>
      <c r="J166" s="791"/>
      <c r="K166" s="792"/>
    </row>
    <row r="167" spans="1:11" ht="14">
      <c r="A167" s="379" t="s">
        <v>128</v>
      </c>
      <c r="B167" s="789" t="s">
        <v>129</v>
      </c>
      <c r="C167" s="789"/>
      <c r="D167" s="789"/>
      <c r="E167" s="789"/>
      <c r="F167" s="789"/>
      <c r="G167" s="395"/>
      <c r="H167" s="790"/>
      <c r="I167" s="791"/>
      <c r="J167" s="791"/>
      <c r="K167" s="792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G1" xr:uid="{EA617FCD-BD9B-44C7-9C6E-00737502F146}">
      <formula1>"Jan, Feb, March, April, May, June, July, Aug, Sep, Oct, Nov, Dec"</formula1>
    </dataValidation>
    <dataValidation type="list" allowBlank="1" showInputMessage="1" showErrorMessage="1" sqref="L3" xr:uid="{95445A4A-DFAB-4CB1-A580-D9EA10B17AB7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F51BC-9583-4455-A6FF-D7FFE0C177AB}">
  <sheetPr codeName="Sheet28">
    <pageSetUpPr fitToPage="1"/>
  </sheetPr>
  <dimension ref="A1:N167"/>
  <sheetViews>
    <sheetView topLeftCell="A154" zoomScale="90" zoomScaleNormal="90" zoomScaleSheetLayoutView="85" workbookViewId="0">
      <selection activeCell="D92" sqref="D9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139</v>
      </c>
      <c r="H1" s="2">
        <v>2018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275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/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399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08" t="s">
        <v>176</v>
      </c>
      <c r="C10" s="61">
        <v>2</v>
      </c>
      <c r="D10" s="414">
        <v>2</v>
      </c>
      <c r="E10" s="538" t="s">
        <v>276</v>
      </c>
      <c r="F10" s="538"/>
      <c r="G10" s="538"/>
      <c r="H10" s="538"/>
      <c r="I10" s="539"/>
    </row>
    <row r="11" spans="1:13">
      <c r="A11" s="537"/>
      <c r="B11" s="408" t="s">
        <v>177</v>
      </c>
      <c r="C11" s="61">
        <v>2</v>
      </c>
      <c r="D11" s="414">
        <v>2</v>
      </c>
      <c r="E11" s="805" t="s">
        <v>183</v>
      </c>
      <c r="F11" s="541"/>
      <c r="G11" s="541"/>
      <c r="H11" s="541"/>
      <c r="I11" s="542"/>
    </row>
    <row r="12" spans="1:13">
      <c r="A12" s="537"/>
      <c r="B12" s="408" t="s">
        <v>179</v>
      </c>
      <c r="C12" s="61">
        <v>2</v>
      </c>
      <c r="D12" s="414">
        <v>4</v>
      </c>
      <c r="E12" s="768" t="s">
        <v>285</v>
      </c>
      <c r="F12" s="538"/>
      <c r="G12" s="538"/>
      <c r="H12" s="538"/>
      <c r="I12" s="539"/>
    </row>
    <row r="13" spans="1:13">
      <c r="A13" s="537"/>
      <c r="B13" s="408" t="s">
        <v>180</v>
      </c>
      <c r="C13" s="61">
        <v>3</v>
      </c>
      <c r="D13" s="414">
        <v>2</v>
      </c>
      <c r="E13" s="538" t="s">
        <v>286</v>
      </c>
      <c r="F13" s="538"/>
      <c r="G13" s="538"/>
      <c r="H13" s="538"/>
      <c r="I13" s="539"/>
    </row>
    <row r="14" spans="1:13">
      <c r="A14" s="537"/>
      <c r="B14" s="408" t="s">
        <v>12</v>
      </c>
      <c r="C14" s="61">
        <v>0</v>
      </c>
      <c r="D14" s="414">
        <v>0</v>
      </c>
      <c r="E14" s="540"/>
      <c r="F14" s="541"/>
      <c r="G14" s="541"/>
      <c r="H14" s="541"/>
      <c r="I14" s="542"/>
    </row>
    <row r="15" spans="1:13">
      <c r="A15" s="537"/>
      <c r="B15" s="408" t="s">
        <v>13</v>
      </c>
      <c r="C15" s="61">
        <v>2</v>
      </c>
      <c r="D15" s="414">
        <v>1</v>
      </c>
      <c r="E15" s="768" t="s">
        <v>287</v>
      </c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11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19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411" t="s">
        <v>23</v>
      </c>
      <c r="E21" s="411" t="s">
        <v>24</v>
      </c>
      <c r="F21" s="411" t="s">
        <v>25</v>
      </c>
      <c r="G21" s="411" t="s">
        <v>23</v>
      </c>
      <c r="H21" s="411" t="s">
        <v>24</v>
      </c>
      <c r="I21" s="411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328">
        <v>17923</v>
      </c>
      <c r="E23" s="329">
        <v>16800</v>
      </c>
      <c r="F23" s="14">
        <f t="shared" ref="F23:F28" si="0">E23/D23</f>
        <v>0.93734307872565981</v>
      </c>
      <c r="G23" s="332">
        <f>D23+'2019FEB'!G23</f>
        <v>52408</v>
      </c>
      <c r="H23" s="332">
        <f>E23+'2019FEB'!H23</f>
        <v>49043</v>
      </c>
      <c r="I23" s="14">
        <f t="shared" ref="I23:I28" si="1">H23/G23</f>
        <v>0.93579224545870865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330">
        <f>SUM(D23:D23)</f>
        <v>17923</v>
      </c>
      <c r="E24" s="330">
        <f>SUM(E23:E23)</f>
        <v>16800</v>
      </c>
      <c r="F24" s="16">
        <f t="shared" si="0"/>
        <v>0.93734307872565981</v>
      </c>
      <c r="G24" s="330">
        <f>SUM(G23:G23)</f>
        <v>52408</v>
      </c>
      <c r="H24" s="330">
        <f>SUM(H23:H23)</f>
        <v>49043</v>
      </c>
      <c r="I24" s="16">
        <f t="shared" si="1"/>
        <v>0.93579224545870865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328">
        <v>20870</v>
      </c>
      <c r="E25" s="329">
        <v>19366</v>
      </c>
      <c r="F25" s="14">
        <f t="shared" si="0"/>
        <v>0.92793483469094395</v>
      </c>
      <c r="G25" s="332">
        <f>D25+'2019FEB'!G25</f>
        <v>59687</v>
      </c>
      <c r="H25" s="332">
        <f>E25+'2019FEB'!H25</f>
        <v>56224</v>
      </c>
      <c r="I25" s="14">
        <f t="shared" si="1"/>
        <v>0.94198066580662454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330">
        <f>SUM(D25:D26)</f>
        <v>20870</v>
      </c>
      <c r="E27" s="330">
        <f>SUM(E25:E26)</f>
        <v>19366</v>
      </c>
      <c r="F27" s="16">
        <f t="shared" si="0"/>
        <v>0.92793483469094395</v>
      </c>
      <c r="G27" s="330">
        <f>SUM(G25:G26)</f>
        <v>59687</v>
      </c>
      <c r="H27" s="330">
        <f>SUM(H25:H26)</f>
        <v>56224</v>
      </c>
      <c r="I27" s="16">
        <f t="shared" si="1"/>
        <v>0.94198066580662454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331">
        <f>SUM(D24,D27)</f>
        <v>38793</v>
      </c>
      <c r="E28" s="331">
        <f>SUM(E24,E27)</f>
        <v>36166</v>
      </c>
      <c r="F28" s="17">
        <f t="shared" si="0"/>
        <v>0.93228159719537029</v>
      </c>
      <c r="G28" s="331">
        <f>SUM(G24,G27)</f>
        <v>112095</v>
      </c>
      <c r="H28" s="331">
        <f>SUM(H24,H27)</f>
        <v>105267</v>
      </c>
      <c r="I28" s="17">
        <f t="shared" si="1"/>
        <v>0.93908738123912749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35</v>
      </c>
      <c r="C30" s="128" t="s">
        <v>29</v>
      </c>
      <c r="D30" s="328">
        <v>2900</v>
      </c>
      <c r="E30" s="329">
        <v>3688</v>
      </c>
      <c r="F30" s="14">
        <f>E30/D30</f>
        <v>1.2717241379310344</v>
      </c>
      <c r="G30" s="332">
        <f>D30+'2019FEB'!G30</f>
        <v>8700</v>
      </c>
      <c r="H30" s="332">
        <f>E30+'2019FEB'!H30</f>
        <v>9337</v>
      </c>
      <c r="I30" s="14">
        <f>H30/G30</f>
        <v>1.0732183908045978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328">
        <v>0</v>
      </c>
      <c r="E31" s="329">
        <v>594</v>
      </c>
      <c r="F31" s="14" t="e">
        <f t="shared" ref="F31:F47" si="2">E31/D31</f>
        <v>#DIV/0!</v>
      </c>
      <c r="G31" s="332">
        <f>D31+'2019FEB'!G31</f>
        <v>0</v>
      </c>
      <c r="H31" s="332">
        <f>E31+'2019FEB'!H31</f>
        <v>6413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330">
        <f>SUM(D30:D31)</f>
        <v>2900</v>
      </c>
      <c r="E32" s="330">
        <f>SUM(E30:E31)</f>
        <v>4282</v>
      </c>
      <c r="F32" s="14">
        <f t="shared" si="2"/>
        <v>1.4765517241379311</v>
      </c>
      <c r="G32" s="330">
        <f>SUM(G30:G31)</f>
        <v>8700</v>
      </c>
      <c r="H32" s="330">
        <f>SUM(H30:H31)</f>
        <v>15750</v>
      </c>
      <c r="I32" s="14">
        <f t="shared" si="3"/>
        <v>1.8103448275862069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328">
        <v>0</v>
      </c>
      <c r="E33" s="329">
        <v>3335</v>
      </c>
      <c r="F33" s="14" t="e">
        <f t="shared" si="2"/>
        <v>#DIV/0!</v>
      </c>
      <c r="G33" s="332">
        <f>D33+'2019FEB'!G33</f>
        <v>0</v>
      </c>
      <c r="H33" s="332">
        <f>E33+'2019FEB'!H33</f>
        <v>4544</v>
      </c>
      <c r="I33" s="14" t="e">
        <f t="shared" si="3"/>
        <v>#DIV/0!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334">
        <f>SUM(D32,D33)</f>
        <v>2900</v>
      </c>
      <c r="E34" s="334">
        <f>SUM(E32,E33)</f>
        <v>7617</v>
      </c>
      <c r="F34" s="14">
        <f t="shared" si="2"/>
        <v>2.626551724137931</v>
      </c>
      <c r="G34" s="334">
        <f>SUM(G32,G33)</f>
        <v>8700</v>
      </c>
      <c r="H34" s="334">
        <f>SUM(H32,H33)</f>
        <v>20294</v>
      </c>
      <c r="I34" s="14">
        <f t="shared" si="3"/>
        <v>2.3326436781609194</v>
      </c>
      <c r="J34" s="534"/>
      <c r="K34" s="534"/>
      <c r="L34" s="534"/>
      <c r="M34" s="543"/>
    </row>
    <row r="35" spans="1:13" ht="24.75" customHeight="1">
      <c r="A35" s="573" t="s">
        <v>37</v>
      </c>
      <c r="B35" s="555" t="s">
        <v>38</v>
      </c>
      <c r="C35" s="12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D35+'2019FEB'!G35</f>
        <v>108696</v>
      </c>
      <c r="H35" s="332">
        <f>E35+'2019FEB'!H35</f>
        <v>0</v>
      </c>
      <c r="I35" s="14">
        <f t="shared" si="3"/>
        <v>0</v>
      </c>
      <c r="J35" s="806"/>
      <c r="K35" s="806"/>
      <c r="L35" s="806"/>
      <c r="M35" s="807"/>
    </row>
    <row r="36" spans="1:13">
      <c r="A36" s="573"/>
      <c r="B36" s="555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108696</v>
      </c>
      <c r="H37" s="341">
        <f>SUM(H35:H36)</f>
        <v>0</v>
      </c>
      <c r="I37" s="16">
        <f t="shared" si="3"/>
        <v>0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270</v>
      </c>
      <c r="D38" s="328">
        <v>0</v>
      </c>
      <c r="E38" s="329">
        <v>0</v>
      </c>
      <c r="F38" s="14" t="e">
        <f t="shared" si="2"/>
        <v>#DIV/0!</v>
      </c>
      <c r="G38" s="332">
        <f>D38+'2019FEB'!G38</f>
        <v>0</v>
      </c>
      <c r="H38" s="332">
        <f>E38+'2019FEB'!H38</f>
        <v>15217</v>
      </c>
      <c r="I38" s="14" t="e">
        <f t="shared" si="3"/>
        <v>#DIV/0!</v>
      </c>
      <c r="J38" s="525" t="s">
        <v>280</v>
      </c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330">
        <f>SUM(D38:D39)</f>
        <v>0</v>
      </c>
      <c r="E40" s="330">
        <f>SUM(E38:E39)</f>
        <v>0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334">
        <f>SUM(D37,D40)</f>
        <v>36232</v>
      </c>
      <c r="E41" s="334">
        <f>SUM(E37,E40)</f>
        <v>0</v>
      </c>
      <c r="F41" s="19">
        <f t="shared" si="2"/>
        <v>0</v>
      </c>
      <c r="G41" s="334">
        <f>SUM(G37,G40)</f>
        <v>108696</v>
      </c>
      <c r="H41" s="334">
        <f>SUM(H37,H40)</f>
        <v>15217</v>
      </c>
      <c r="I41" s="19">
        <f t="shared" si="3"/>
        <v>0.13999595201295356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335">
        <v>12500</v>
      </c>
      <c r="E42" s="336">
        <f>C140+E140+G140+I140</f>
        <v>5955</v>
      </c>
      <c r="F42" s="21">
        <f t="shared" si="2"/>
        <v>0.47639999999999999</v>
      </c>
      <c r="G42" s="342">
        <f>D42+'2019FEB'!G42</f>
        <v>37500</v>
      </c>
      <c r="H42" s="342">
        <f>E42+'2019FEB'!H42</f>
        <v>48873</v>
      </c>
      <c r="I42" s="21">
        <f t="shared" si="3"/>
        <v>1.30328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337">
        <v>2000</v>
      </c>
      <c r="E43" s="338">
        <v>0</v>
      </c>
      <c r="F43" s="21">
        <f t="shared" si="2"/>
        <v>0</v>
      </c>
      <c r="G43" s="342">
        <f>D43+'2019FEB'!G43</f>
        <v>6000</v>
      </c>
      <c r="H43" s="342">
        <f>E43+'2019FEB'!H43</f>
        <v>451</v>
      </c>
      <c r="I43" s="21">
        <f t="shared" si="3"/>
        <v>7.5166666666666673E-2</v>
      </c>
      <c r="J43" s="572"/>
      <c r="K43" s="570"/>
      <c r="L43" s="570"/>
      <c r="M43" s="571"/>
    </row>
    <row r="44" spans="1:13" s="8" customFormat="1">
      <c r="A44" s="569" t="s">
        <v>45</v>
      </c>
      <c r="B44" s="570"/>
      <c r="C44" s="570"/>
      <c r="D44" s="337">
        <v>40000</v>
      </c>
      <c r="E44" s="338">
        <v>0</v>
      </c>
      <c r="F44" s="21">
        <f t="shared" si="2"/>
        <v>0</v>
      </c>
      <c r="G44" s="342">
        <f>D44+'2019FEB'!G44</f>
        <v>120000</v>
      </c>
      <c r="H44" s="342">
        <f>E44+'2019FEB'!H44</f>
        <v>120000</v>
      </c>
      <c r="I44" s="21">
        <f t="shared" si="3"/>
        <v>1</v>
      </c>
      <c r="J44" s="811" t="s">
        <v>278</v>
      </c>
      <c r="K44" s="811"/>
      <c r="L44" s="811"/>
      <c r="M44" s="812"/>
    </row>
    <row r="45" spans="1:13" s="8" customFormat="1">
      <c r="A45" s="587" t="s">
        <v>46</v>
      </c>
      <c r="B45" s="588"/>
      <c r="C45" s="589"/>
      <c r="D45" s="339">
        <f>SUM(D28,D34,D41,D42:D44)</f>
        <v>132425</v>
      </c>
      <c r="E45" s="339">
        <f>SUM(E28,E34,E41,E42:E44)</f>
        <v>49738</v>
      </c>
      <c r="F45" s="22">
        <f t="shared" si="2"/>
        <v>0.37559373230130261</v>
      </c>
      <c r="G45" s="339">
        <f>SUM(G28,G34,G41,G42:G44)</f>
        <v>392991</v>
      </c>
      <c r="H45" s="339">
        <f>SUM(H28,H34,H41,H42:H44)</f>
        <v>310102</v>
      </c>
      <c r="I45" s="22">
        <f t="shared" si="3"/>
        <v>0.78908168380446375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339">
        <f>D45-D42</f>
        <v>119925</v>
      </c>
      <c r="E46" s="339">
        <f>E45-E42</f>
        <v>43783</v>
      </c>
      <c r="F46" s="22">
        <f t="shared" si="2"/>
        <v>0.36508651240358558</v>
      </c>
      <c r="G46" s="339">
        <f>G45-G42</f>
        <v>355491</v>
      </c>
      <c r="H46" s="339">
        <f>H45-H42</f>
        <v>261229</v>
      </c>
      <c r="I46" s="22">
        <f t="shared" si="3"/>
        <v>0.73483998188421085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340">
        <f>D46-D44</f>
        <v>79925</v>
      </c>
      <c r="E47" s="340">
        <f>E46-E44</f>
        <v>43783</v>
      </c>
      <c r="F47" s="23">
        <f t="shared" si="2"/>
        <v>0.54780106349702851</v>
      </c>
      <c r="G47" s="340">
        <f>G46-G44</f>
        <v>235491</v>
      </c>
      <c r="H47" s="340">
        <f>H46-H44</f>
        <v>141229</v>
      </c>
      <c r="I47" s="23">
        <f t="shared" si="3"/>
        <v>0.59972143309086123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409" t="s">
        <v>23</v>
      </c>
      <c r="E52" s="409" t="s">
        <v>24</v>
      </c>
      <c r="F52" s="409" t="s">
        <v>25</v>
      </c>
      <c r="G52" s="409" t="s">
        <v>23</v>
      </c>
      <c r="H52" s="409" t="s">
        <v>24</v>
      </c>
      <c r="I52" s="409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20</v>
      </c>
      <c r="E53" s="414">
        <v>18</v>
      </c>
      <c r="F53" s="28">
        <f t="shared" ref="F53:F79" si="4">E53/D53</f>
        <v>0.9</v>
      </c>
      <c r="G53" s="66">
        <f>D53+'2019FEB'!G53</f>
        <v>60</v>
      </c>
      <c r="H53" s="66">
        <f>E53+'2019FEB'!H53</f>
        <v>40</v>
      </c>
      <c r="I53" s="28">
        <f t="shared" ref="I53:I79" si="5">H53/G53</f>
        <v>0.66666666666666663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455</v>
      </c>
      <c r="E54" s="414">
        <v>465</v>
      </c>
      <c r="F54" s="28">
        <f t="shared" si="4"/>
        <v>1.0219780219780219</v>
      </c>
      <c r="G54" s="66">
        <f>D54+'2019FEB'!G54</f>
        <v>1386</v>
      </c>
      <c r="H54" s="66">
        <f>E54+'2019FEB'!H54</f>
        <v>1370</v>
      </c>
      <c r="I54" s="28">
        <f t="shared" si="5"/>
        <v>0.98845598845598848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412">
        <f>SUM(D53:D54)</f>
        <v>475</v>
      </c>
      <c r="E55" s="412">
        <f>SUM(E53:E54)</f>
        <v>483</v>
      </c>
      <c r="F55" s="30">
        <f t="shared" si="4"/>
        <v>1.016842105263158</v>
      </c>
      <c r="G55" s="412">
        <f>SUM(G53:G54)</f>
        <v>1446</v>
      </c>
      <c r="H55" s="412">
        <f>SUM(H53:H54)</f>
        <v>1410</v>
      </c>
      <c r="I55" s="30">
        <f t="shared" si="5"/>
        <v>0.975103734439834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83</v>
      </c>
      <c r="E56" s="414">
        <v>97</v>
      </c>
      <c r="F56" s="28">
        <f t="shared" si="4"/>
        <v>1.1686746987951808</v>
      </c>
      <c r="G56" s="66">
        <f>D56+'2019FEB'!G56</f>
        <v>249</v>
      </c>
      <c r="H56" s="66">
        <f>E56+'2019FEB'!H56</f>
        <v>173</v>
      </c>
      <c r="I56" s="28">
        <f t="shared" si="5"/>
        <v>0.69477911646586343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1152</v>
      </c>
      <c r="E57" s="414">
        <v>1242</v>
      </c>
      <c r="F57" s="28">
        <f t="shared" si="4"/>
        <v>1.078125</v>
      </c>
      <c r="G57" s="66">
        <f>D57+'2019FEB'!G57</f>
        <v>3508</v>
      </c>
      <c r="H57" s="66">
        <f>E57+'2019FEB'!H57</f>
        <v>3699</v>
      </c>
      <c r="I57" s="28">
        <f t="shared" si="5"/>
        <v>1.0544469783352337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406">
        <f>SUM(D56:D57)</f>
        <v>1235</v>
      </c>
      <c r="E58" s="406">
        <f>SUM(E56:E57)</f>
        <v>1339</v>
      </c>
      <c r="F58" s="28">
        <f t="shared" si="4"/>
        <v>1.0842105263157895</v>
      </c>
      <c r="G58" s="406">
        <f>SUM(G56:G57)</f>
        <v>3757</v>
      </c>
      <c r="H58" s="406">
        <f>SUM(H56:H57)</f>
        <v>3872</v>
      </c>
      <c r="I58" s="31">
        <f t="shared" si="5"/>
        <v>1.030609528879425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402">
        <f>SUM(D53,D56)</f>
        <v>103</v>
      </c>
      <c r="E59" s="402">
        <f>SUM(E53,E56)</f>
        <v>115</v>
      </c>
      <c r="F59" s="32">
        <f t="shared" si="4"/>
        <v>1.116504854368932</v>
      </c>
      <c r="G59" s="402">
        <f>SUM(G53,G56)</f>
        <v>309</v>
      </c>
      <c r="H59" s="402">
        <f>SUM(H53,H56)</f>
        <v>213</v>
      </c>
      <c r="I59" s="32">
        <f t="shared" si="5"/>
        <v>0.68932038834951459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402">
        <f>SUM(D54,D57)</f>
        <v>1607</v>
      </c>
      <c r="E60" s="402">
        <f>SUM(E54,E57)</f>
        <v>1707</v>
      </c>
      <c r="F60" s="32">
        <f t="shared" si="4"/>
        <v>1.0622277535780957</v>
      </c>
      <c r="G60" s="402">
        <f>SUM(G54,G57)</f>
        <v>4894</v>
      </c>
      <c r="H60" s="402">
        <f>SUM(H54,H57)</f>
        <v>5069</v>
      </c>
      <c r="I60" s="32">
        <f t="shared" si="5"/>
        <v>1.0357580711074785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410">
        <f>SUM(D59:D60)</f>
        <v>1710</v>
      </c>
      <c r="E61" s="410">
        <f>SUM(E59:E60)</f>
        <v>1822</v>
      </c>
      <c r="F61" s="33">
        <f t="shared" si="4"/>
        <v>1.0654970760233917</v>
      </c>
      <c r="G61" s="410">
        <f>SUM(G59:G60)</f>
        <v>5203</v>
      </c>
      <c r="H61" s="410">
        <f>SUM(H59:H60)</f>
        <v>5282</v>
      </c>
      <c r="I61" s="33">
        <f t="shared" si="5"/>
        <v>1.0151835479531039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70</v>
      </c>
      <c r="E62" s="408">
        <f>E71/10</f>
        <v>62.6</v>
      </c>
      <c r="F62" s="28">
        <f t="shared" si="4"/>
        <v>0.89428571428571435</v>
      </c>
      <c r="G62" s="66">
        <f>D62+'2019FEB'!G62</f>
        <v>210</v>
      </c>
      <c r="H62" s="66">
        <f>E62+'2019FEB'!H62</f>
        <v>139.1</v>
      </c>
      <c r="I62" s="28">
        <f t="shared" si="5"/>
        <v>0.6623809523809524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246">
        <v>1584</v>
      </c>
      <c r="E63" s="408">
        <f>E72/10</f>
        <v>1617.4</v>
      </c>
      <c r="F63" s="28">
        <f t="shared" si="4"/>
        <v>1.0210858585858587</v>
      </c>
      <c r="G63" s="248">
        <f>D63+'2019FEB'!G63</f>
        <v>4824</v>
      </c>
      <c r="H63" s="66">
        <f>E63+'2019FEB'!H63</f>
        <v>4765.2000000000007</v>
      </c>
      <c r="I63" s="28">
        <f t="shared" si="5"/>
        <v>0.987810945273632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1654</v>
      </c>
      <c r="E64" s="412">
        <f>SUM(E62:E63)</f>
        <v>1680</v>
      </c>
      <c r="F64" s="30">
        <f t="shared" si="4"/>
        <v>1.0157194679564692</v>
      </c>
      <c r="G64" s="412">
        <f>SUM(G62:G63)</f>
        <v>5034</v>
      </c>
      <c r="H64" s="412">
        <f>SUM(H62:H63)</f>
        <v>4904.3000000000011</v>
      </c>
      <c r="I64" s="30">
        <f t="shared" si="5"/>
        <v>0.97423520063567759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124</v>
      </c>
      <c r="E65" s="408">
        <f>E74/10</f>
        <v>127.8</v>
      </c>
      <c r="F65" s="28">
        <f t="shared" si="4"/>
        <v>1.0306451612903225</v>
      </c>
      <c r="G65" s="66">
        <f>D65+'2019FEB'!G65</f>
        <v>372</v>
      </c>
      <c r="H65" s="66">
        <f>E65+'2019FEB'!H65</f>
        <v>226</v>
      </c>
      <c r="I65" s="28">
        <f t="shared" si="5"/>
        <v>0.60752688172043012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1716</v>
      </c>
      <c r="E66" s="408">
        <f>E75/10</f>
        <v>1808.8</v>
      </c>
      <c r="F66" s="28">
        <f t="shared" si="4"/>
        <v>1.0540792540792541</v>
      </c>
      <c r="G66" s="66">
        <f>D66+'2019FEB'!G66</f>
        <v>5227</v>
      </c>
      <c r="H66" s="66">
        <f>E66+'2019FEB'!H66</f>
        <v>5396.4</v>
      </c>
      <c r="I66" s="28">
        <f t="shared" si="5"/>
        <v>1.0324086474076908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406">
        <f>SUM(D65:D66)</f>
        <v>1840</v>
      </c>
      <c r="E67" s="406">
        <f>SUM(E65:E66)</f>
        <v>1936.6</v>
      </c>
      <c r="F67" s="31">
        <f t="shared" si="4"/>
        <v>1.0525</v>
      </c>
      <c r="G67" s="406">
        <f>SUM(G65:G66)</f>
        <v>5599</v>
      </c>
      <c r="H67" s="406">
        <f>SUM(H65:H66)</f>
        <v>5622.4</v>
      </c>
      <c r="I67" s="31">
        <f t="shared" si="5"/>
        <v>1.0041793177353098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402">
        <f>SUM(D62,D65)</f>
        <v>194</v>
      </c>
      <c r="E68" s="402">
        <f>SUM(E62,E65)</f>
        <v>190.4</v>
      </c>
      <c r="F68" s="32">
        <f t="shared" si="4"/>
        <v>0.98144329896907223</v>
      </c>
      <c r="G68" s="402">
        <f>SUM(G62,G65)</f>
        <v>582</v>
      </c>
      <c r="H68" s="402">
        <f>SUM(H62,H65)</f>
        <v>365.1</v>
      </c>
      <c r="I68" s="32">
        <f t="shared" si="5"/>
        <v>0.62731958762886597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402">
        <f>SUM(D63,D66)</f>
        <v>3300</v>
      </c>
      <c r="E69" s="402">
        <f>SUM(E63,E66)</f>
        <v>3426.2</v>
      </c>
      <c r="F69" s="32">
        <f t="shared" si="4"/>
        <v>1.0382424242424242</v>
      </c>
      <c r="G69" s="402">
        <f>SUM(G63,G66)</f>
        <v>10051</v>
      </c>
      <c r="H69" s="402">
        <f>SUM(H63,H66)</f>
        <v>10161.6</v>
      </c>
      <c r="I69" s="32">
        <f t="shared" si="5"/>
        <v>1.0110038802109242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410">
        <f>SUM(D68:D69)</f>
        <v>3494</v>
      </c>
      <c r="E70" s="410">
        <f>SUM(E68:E69)</f>
        <v>3616.6</v>
      </c>
      <c r="F70" s="34">
        <f t="shared" si="4"/>
        <v>1.0350887235260446</v>
      </c>
      <c r="G70" s="410">
        <f>SUM(G68:G69)</f>
        <v>10633</v>
      </c>
      <c r="H70" s="410">
        <f>SUM(H68:H69)</f>
        <v>10526.7</v>
      </c>
      <c r="I70" s="34">
        <f t="shared" si="5"/>
        <v>0.9900028214050598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2088</v>
      </c>
      <c r="E71" s="414">
        <v>626</v>
      </c>
      <c r="F71" s="28">
        <f t="shared" si="4"/>
        <v>0.29980842911877392</v>
      </c>
      <c r="G71" s="179">
        <f>D71+'2019FEB'!G71</f>
        <v>4176</v>
      </c>
      <c r="H71" s="66">
        <f>E71+'2019FEB'!H71</f>
        <v>1391</v>
      </c>
      <c r="I71" s="28">
        <f t="shared" si="5"/>
        <v>0.33309386973180077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246">
        <v>15835</v>
      </c>
      <c r="E72" s="341">
        <f>E23-E71</f>
        <v>16174</v>
      </c>
      <c r="F72" s="28">
        <f t="shared" si="4"/>
        <v>1.021408272813388</v>
      </c>
      <c r="G72" s="248">
        <f>D72+'2019FEB'!G72</f>
        <v>48232</v>
      </c>
      <c r="H72" s="332">
        <f>E72+'2019FEB'!H72</f>
        <v>47652</v>
      </c>
      <c r="I72" s="28">
        <f t="shared" si="5"/>
        <v>0.98797478852214293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412">
        <f>SUM(D71:D72)</f>
        <v>17923</v>
      </c>
      <c r="E73" s="412">
        <f>SUM(E71:E72)</f>
        <v>16800</v>
      </c>
      <c r="F73" s="30">
        <f t="shared" si="4"/>
        <v>0.93734307872565981</v>
      </c>
      <c r="G73" s="412">
        <f>SUM(G71:G72)</f>
        <v>52408</v>
      </c>
      <c r="H73" s="412">
        <f>SUM(H71:H72)</f>
        <v>49043</v>
      </c>
      <c r="I73" s="30">
        <f t="shared" si="5"/>
        <v>0.93579224545870865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3710</v>
      </c>
      <c r="E74" s="414">
        <v>1278</v>
      </c>
      <c r="F74" s="28">
        <f t="shared" si="4"/>
        <v>0.34447439353099729</v>
      </c>
      <c r="G74" s="179">
        <f>D74+'2019FEB'!G74</f>
        <v>7420</v>
      </c>
      <c r="H74" s="66">
        <f>E74+'2019FEB'!H74</f>
        <v>2260</v>
      </c>
      <c r="I74" s="28">
        <f t="shared" si="5"/>
        <v>0.30458221024258758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246">
        <v>17160</v>
      </c>
      <c r="E75" s="413">
        <f>E25-E74</f>
        <v>18088</v>
      </c>
      <c r="F75" s="28">
        <f t="shared" si="4"/>
        <v>1.0540792540792541</v>
      </c>
      <c r="G75" s="248">
        <f>D75+'2019FEB'!G75</f>
        <v>52267</v>
      </c>
      <c r="H75" s="66">
        <f>E75+'2019FEB'!H75</f>
        <v>53964</v>
      </c>
      <c r="I75" s="28">
        <f t="shared" si="5"/>
        <v>1.0324679051791761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406">
        <f>SUM(D74:D75)</f>
        <v>20870</v>
      </c>
      <c r="E76" s="406">
        <f>SUM(E74:E75)</f>
        <v>19366</v>
      </c>
      <c r="F76" s="31">
        <f t="shared" si="4"/>
        <v>0.92793483469094395</v>
      </c>
      <c r="G76" s="406">
        <f>SUM(G74:G75)</f>
        <v>59687</v>
      </c>
      <c r="H76" s="406">
        <f>SUM(H74:H75)</f>
        <v>56224</v>
      </c>
      <c r="I76" s="31">
        <f t="shared" si="5"/>
        <v>0.94198066580662454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402">
        <f>SUM(D71,D74)</f>
        <v>5798</v>
      </c>
      <c r="E77" s="402">
        <f>SUM(E71,E74)</f>
        <v>1904</v>
      </c>
      <c r="F77" s="32">
        <f t="shared" si="4"/>
        <v>0.3283890996895481</v>
      </c>
      <c r="G77" s="402">
        <f>SUM(G71,G74)</f>
        <v>11596</v>
      </c>
      <c r="H77" s="402">
        <f>SUM(H71,H74)</f>
        <v>3651</v>
      </c>
      <c r="I77" s="32">
        <f t="shared" si="5"/>
        <v>0.31484994825801998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402">
        <f>SUM(D72,D75)</f>
        <v>32995</v>
      </c>
      <c r="E78" s="402">
        <f>SUM(E72,E75)</f>
        <v>34262</v>
      </c>
      <c r="F78" s="32">
        <f t="shared" si="4"/>
        <v>1.0383997575390211</v>
      </c>
      <c r="G78" s="402">
        <f>SUM(G72,G75)</f>
        <v>100499</v>
      </c>
      <c r="H78" s="402">
        <f>SUM(H72,H75)</f>
        <v>101616</v>
      </c>
      <c r="I78" s="32">
        <f t="shared" si="5"/>
        <v>1.0111145384531188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410">
        <f>SUM(D77:D78)</f>
        <v>38793</v>
      </c>
      <c r="E79" s="410">
        <f>SUM(E77:E78)</f>
        <v>36166</v>
      </c>
      <c r="F79" s="34">
        <f t="shared" si="4"/>
        <v>0.93228159719537029</v>
      </c>
      <c r="G79" s="410">
        <f>SUM(G77:G78)</f>
        <v>112095</v>
      </c>
      <c r="H79" s="410">
        <f>SUM(H77:H78)</f>
        <v>105267</v>
      </c>
      <c r="I79" s="34">
        <f t="shared" si="5"/>
        <v>0.93908738123912749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483</v>
      </c>
      <c r="E87" s="130"/>
      <c r="F87" s="134">
        <f>D87+'2019FEB'!F87</f>
        <v>1410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18</v>
      </c>
      <c r="E88" s="128"/>
      <c r="F88" s="134">
        <f>D88+'2019FEB'!F88</f>
        <v>40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1</v>
      </c>
      <c r="E89" s="128">
        <f>D89/D87</f>
        <v>2.070393374741201E-3</v>
      </c>
      <c r="F89" s="134">
        <f>D89+'2019FEB'!F89</f>
        <v>3</v>
      </c>
      <c r="G89" s="128">
        <f>F89/F87</f>
        <v>2.1276595744680851E-3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102</v>
      </c>
      <c r="E90" s="128">
        <f>D90/D92</f>
        <v>0.35915492957746481</v>
      </c>
      <c r="F90" s="134">
        <f>D90+'2019FEB'!F90</f>
        <v>211</v>
      </c>
      <c r="G90" s="128">
        <f>F90/F92</f>
        <v>0.3035971223021583</v>
      </c>
      <c r="H90" s="128"/>
    </row>
    <row r="91" spans="1:13" ht="15" customHeight="1">
      <c r="A91" s="774"/>
      <c r="B91" s="775" t="s">
        <v>202</v>
      </c>
      <c r="C91" s="775"/>
      <c r="D91" s="131">
        <v>201</v>
      </c>
      <c r="E91" s="128">
        <f>D91/D92</f>
        <v>0.70774647887323938</v>
      </c>
      <c r="F91" s="134">
        <f>D91+'2019FEB'!F91</f>
        <v>527</v>
      </c>
      <c r="G91" s="128">
        <f>F91/F92</f>
        <v>0.75827338129496402</v>
      </c>
      <c r="H91" s="128"/>
    </row>
    <row r="92" spans="1:13" ht="15" customHeight="1">
      <c r="A92" s="774"/>
      <c r="B92" s="775" t="s">
        <v>203</v>
      </c>
      <c r="C92" s="775"/>
      <c r="D92" s="131">
        <v>284</v>
      </c>
      <c r="E92" s="130"/>
      <c r="F92" s="134">
        <f>D92+'2019FEB'!F92</f>
        <v>695</v>
      </c>
      <c r="G92" s="130"/>
      <c r="H92" s="128"/>
    </row>
    <row r="93" spans="1:13">
      <c r="C93" s="126" t="s">
        <v>210</v>
      </c>
      <c r="D93" s="132">
        <v>767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409" t="s">
        <v>23</v>
      </c>
      <c r="E97" s="409" t="s">
        <v>24</v>
      </c>
      <c r="F97" s="409" t="s">
        <v>25</v>
      </c>
      <c r="G97" s="409" t="s">
        <v>23</v>
      </c>
      <c r="H97" s="409" t="s">
        <v>24</v>
      </c>
      <c r="I97" s="409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414">
        <v>0</v>
      </c>
      <c r="F98" s="37" t="e">
        <f>E98/D98</f>
        <v>#DIV/0!</v>
      </c>
      <c r="G98" s="66">
        <f>D98+'2019FEB'!G98</f>
        <v>0</v>
      </c>
      <c r="H98" s="66">
        <f>E98+'2019FEB'!H98</f>
        <v>0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39</v>
      </c>
      <c r="E99" s="414">
        <v>21</v>
      </c>
      <c r="F99" s="28">
        <f t="shared" ref="F99:F115" si="6">E99/D99</f>
        <v>0.53846153846153844</v>
      </c>
      <c r="G99" s="66">
        <f>D99+'2019FEB'!G99</f>
        <v>117</v>
      </c>
      <c r="H99" s="66">
        <f>E99+'2019FEB'!H99</f>
        <v>63</v>
      </c>
      <c r="I99" s="28">
        <f t="shared" ref="I99:I115" si="7">H99/G99</f>
        <v>0.53846153846153844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412">
        <f>SUM(D98:D99)</f>
        <v>39</v>
      </c>
      <c r="E100" s="412">
        <f>SUM(E98:E99)</f>
        <v>21</v>
      </c>
      <c r="F100" s="30">
        <f t="shared" si="6"/>
        <v>0.53846153846153844</v>
      </c>
      <c r="G100" s="412">
        <f>SUM(G98:G99)</f>
        <v>117</v>
      </c>
      <c r="H100" s="412">
        <f>SUM(H98:H99)</f>
        <v>63</v>
      </c>
      <c r="I100" s="30">
        <f t="shared" si="7"/>
        <v>0.53846153846153844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414">
        <v>0</v>
      </c>
      <c r="F101" s="28" t="e">
        <f t="shared" si="6"/>
        <v>#DIV/0!</v>
      </c>
      <c r="G101" s="66">
        <f>D101+'2019FEB'!G101</f>
        <v>0</v>
      </c>
      <c r="H101" s="66">
        <f>E101+'2019FEB'!H101</f>
        <v>0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9</v>
      </c>
      <c r="E102" s="414">
        <v>9</v>
      </c>
      <c r="F102" s="28">
        <f t="shared" si="6"/>
        <v>1</v>
      </c>
      <c r="G102" s="66">
        <f>D102+'2019FEB'!G102</f>
        <v>27</v>
      </c>
      <c r="H102" s="66">
        <f>E102+'2019FEB'!H102</f>
        <v>27</v>
      </c>
      <c r="I102" s="28">
        <f t="shared" si="7"/>
        <v>1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412">
        <f>SUM(D101:D102)</f>
        <v>9</v>
      </c>
      <c r="E103" s="412">
        <f>SUM(E101:E102)</f>
        <v>9</v>
      </c>
      <c r="F103" s="30">
        <f t="shared" si="6"/>
        <v>1</v>
      </c>
      <c r="G103" s="412">
        <f>SUM(G101:G102)</f>
        <v>27</v>
      </c>
      <c r="H103" s="412">
        <f>SUM(H101:H102)</f>
        <v>27</v>
      </c>
      <c r="I103" s="30">
        <f t="shared" si="7"/>
        <v>1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8</v>
      </c>
      <c r="E104" s="414">
        <v>3</v>
      </c>
      <c r="F104" s="28">
        <f t="shared" si="6"/>
        <v>0.375</v>
      </c>
      <c r="G104" s="66">
        <f>D104+'2019FEB'!G104</f>
        <v>27</v>
      </c>
      <c r="H104" s="66">
        <f>E104+'2019FEB'!H104</f>
        <v>5</v>
      </c>
      <c r="I104" s="28">
        <f t="shared" si="7"/>
        <v>0.18518518518518517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90</v>
      </c>
      <c r="E105" s="414">
        <v>73</v>
      </c>
      <c r="F105" s="28">
        <f t="shared" si="6"/>
        <v>0.81111111111111112</v>
      </c>
      <c r="G105" s="66">
        <f>D105+'2019FEB'!G105</f>
        <v>242</v>
      </c>
      <c r="H105" s="66">
        <f>E105+'2019FEB'!H105</f>
        <v>218</v>
      </c>
      <c r="I105" s="28">
        <f t="shared" si="7"/>
        <v>0.90082644628099173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412">
        <f>SUM(D104:D105)</f>
        <v>98</v>
      </c>
      <c r="E106" s="412">
        <f>SUM(E104:E105)</f>
        <v>76</v>
      </c>
      <c r="F106" s="30">
        <f t="shared" si="6"/>
        <v>0.77551020408163263</v>
      </c>
      <c r="G106" s="412">
        <f>SUM(G104:G105)</f>
        <v>269</v>
      </c>
      <c r="H106" s="412">
        <f>SUM(H104:H105)</f>
        <v>223</v>
      </c>
      <c r="I106" s="30">
        <f t="shared" si="7"/>
        <v>0.82899628252788105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1</v>
      </c>
      <c r="E107" s="414">
        <v>1</v>
      </c>
      <c r="F107" s="28">
        <f>E107/D107</f>
        <v>1</v>
      </c>
      <c r="G107" s="66">
        <f>D107+'2019FEB'!G107</f>
        <v>3</v>
      </c>
      <c r="H107" s="66">
        <f>E107+'2019FEB'!H107</f>
        <v>2</v>
      </c>
      <c r="I107" s="28">
        <f>H107/G107</f>
        <v>0.66666666666666663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141</v>
      </c>
      <c r="E108" s="414">
        <v>137</v>
      </c>
      <c r="F108" s="28">
        <f>E108/D108</f>
        <v>0.97163120567375882</v>
      </c>
      <c r="G108" s="66">
        <f>D108+'2019FEB'!G108</f>
        <v>419</v>
      </c>
      <c r="H108" s="66">
        <f>E108+'2019FEB'!H108</f>
        <v>410</v>
      </c>
      <c r="I108" s="28">
        <f t="shared" si="7"/>
        <v>0.97852028639618138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412">
        <f>SUM(D107:D108)</f>
        <v>142</v>
      </c>
      <c r="E109" s="412">
        <f>SUM(E107:E108)</f>
        <v>138</v>
      </c>
      <c r="F109" s="30">
        <f t="shared" si="6"/>
        <v>0.971830985915493</v>
      </c>
      <c r="G109" s="412">
        <f>SUM(G107:G108)</f>
        <v>422</v>
      </c>
      <c r="H109" s="412">
        <f>SUM(H107:H108)</f>
        <v>412</v>
      </c>
      <c r="I109" s="30">
        <f t="shared" si="7"/>
        <v>0.976303317535545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9</v>
      </c>
      <c r="E110" s="414">
        <v>14</v>
      </c>
      <c r="F110" s="30">
        <f>E110/D110</f>
        <v>1.5555555555555556</v>
      </c>
      <c r="G110" s="66">
        <f>D110+'2019FEB'!G110</f>
        <v>28</v>
      </c>
      <c r="H110" s="66">
        <f>E110+'2019FEB'!H110</f>
        <v>30</v>
      </c>
      <c r="I110" s="30">
        <f>H110/G110</f>
        <v>1.0714285714285714</v>
      </c>
      <c r="J110" s="403"/>
      <c r="K110" s="404"/>
      <c r="L110" s="404"/>
      <c r="M110" s="405"/>
    </row>
    <row r="111" spans="1:13">
      <c r="A111" s="573"/>
      <c r="B111" s="777"/>
      <c r="C111" s="27" t="s">
        <v>70</v>
      </c>
      <c r="D111" s="65">
        <v>101</v>
      </c>
      <c r="E111" s="414">
        <v>99</v>
      </c>
      <c r="F111" s="30">
        <f t="shared" ref="F111:F112" si="8">E111/D111</f>
        <v>0.98019801980198018</v>
      </c>
      <c r="G111" s="66">
        <f>D111+'2019FEB'!G111</f>
        <v>275</v>
      </c>
      <c r="H111" s="66">
        <f>E111+'2019FEB'!H111</f>
        <v>275</v>
      </c>
      <c r="I111" s="30">
        <f t="shared" ref="I111:I112" si="9">H111/G111</f>
        <v>1</v>
      </c>
      <c r="J111" s="403"/>
      <c r="K111" s="404"/>
      <c r="L111" s="404"/>
      <c r="M111" s="405"/>
    </row>
    <row r="112" spans="1:13">
      <c r="A112" s="573"/>
      <c r="B112" s="778"/>
      <c r="C112" s="38" t="s">
        <v>166</v>
      </c>
      <c r="D112" s="412">
        <f>SUM(D110:D111)</f>
        <v>110</v>
      </c>
      <c r="E112" s="412">
        <f>SUM(E110:E111)</f>
        <v>113</v>
      </c>
      <c r="F112" s="30">
        <f t="shared" si="8"/>
        <v>1.0272727272727273</v>
      </c>
      <c r="G112" s="412">
        <f>SUM(G110:G111)</f>
        <v>303</v>
      </c>
      <c r="H112" s="412">
        <f>SUM(H110:H111)</f>
        <v>305</v>
      </c>
      <c r="I112" s="30">
        <f t="shared" si="9"/>
        <v>1.0066006600660067</v>
      </c>
      <c r="J112" s="403"/>
      <c r="K112" s="404"/>
      <c r="L112" s="404"/>
      <c r="M112" s="405"/>
    </row>
    <row r="113" spans="1:13">
      <c r="A113" s="573"/>
      <c r="B113" s="603" t="s">
        <v>46</v>
      </c>
      <c r="C113" s="39" t="s">
        <v>69</v>
      </c>
      <c r="D113" s="406">
        <f>SUM(D98,D101,D104,D107,D110)</f>
        <v>18</v>
      </c>
      <c r="E113" s="406">
        <f>SUM(E98,E101,E104,E107,E110)</f>
        <v>18</v>
      </c>
      <c r="F113" s="31">
        <f t="shared" si="6"/>
        <v>1</v>
      </c>
      <c r="G113" s="406">
        <f>SUM(G98,G101,G104,G107,G110)</f>
        <v>58</v>
      </c>
      <c r="H113" s="406">
        <f>SUM(H98,H101,H104,H107,H110)</f>
        <v>37</v>
      </c>
      <c r="I113" s="31">
        <f t="shared" si="7"/>
        <v>0.63793103448275867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406">
        <f>SUM(D99,D102,D105,D108,D111)</f>
        <v>380</v>
      </c>
      <c r="E114" s="406">
        <f>SUM(E99,E102,E105,E108,E111)</f>
        <v>339</v>
      </c>
      <c r="F114" s="31">
        <f t="shared" si="6"/>
        <v>0.89210526315789473</v>
      </c>
      <c r="G114" s="406">
        <f>SUM(G99,G102,G105,G108,G111)</f>
        <v>1080</v>
      </c>
      <c r="H114" s="406">
        <f>SUM(H99,H102,H105,H108,H111)</f>
        <v>993</v>
      </c>
      <c r="I114" s="31">
        <f t="shared" si="7"/>
        <v>0.9194444444444444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407">
        <f>SUM(D113:D114)</f>
        <v>398</v>
      </c>
      <c r="E115" s="407">
        <f>SUM(E113:E114)</f>
        <v>357</v>
      </c>
      <c r="F115" s="41">
        <f t="shared" si="6"/>
        <v>0.89698492462311563</v>
      </c>
      <c r="G115" s="407">
        <f>SUM(G113:G114)</f>
        <v>1138</v>
      </c>
      <c r="H115" s="407">
        <f>SUM(H113:H114)</f>
        <v>1030</v>
      </c>
      <c r="I115" s="41">
        <f t="shared" si="7"/>
        <v>0.90509666080843587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1</v>
      </c>
      <c r="E116" s="64">
        <v>0</v>
      </c>
      <c r="F116" s="43">
        <f>E116/D116</f>
        <v>0</v>
      </c>
      <c r="G116" s="70">
        <f>D116+'2019FEB'!G116</f>
        <v>1</v>
      </c>
      <c r="H116" s="70">
        <f>E116+'2019FEB'!H116</f>
        <v>1</v>
      </c>
      <c r="I116" s="43">
        <f>H116/G116</f>
        <v>1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77</v>
      </c>
      <c r="E117" s="414">
        <v>79</v>
      </c>
      <c r="F117" s="28">
        <f t="shared" ref="F117:F126" si="10">E117/D117</f>
        <v>1.025974025974026</v>
      </c>
      <c r="G117" s="71">
        <f>D117+'2019FEB'!G117</f>
        <v>231</v>
      </c>
      <c r="H117" s="71">
        <f>E117+'2019FEB'!H117</f>
        <v>238</v>
      </c>
      <c r="I117" s="28">
        <f t="shared" ref="I117:I126" si="11">H117/G117</f>
        <v>1.0303030303030303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412">
        <f>SUM(D116:D117)</f>
        <v>78</v>
      </c>
      <c r="E118" s="412">
        <f>SUM(E116:E117)</f>
        <v>79</v>
      </c>
      <c r="F118" s="30">
        <f t="shared" si="10"/>
        <v>1.0128205128205128</v>
      </c>
      <c r="G118" s="412">
        <f>SUM(G116:G117)</f>
        <v>232</v>
      </c>
      <c r="H118" s="412">
        <f>SUM(H116:H117)</f>
        <v>239</v>
      </c>
      <c r="I118" s="30">
        <f t="shared" si="11"/>
        <v>1.0301724137931034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1</v>
      </c>
      <c r="E119" s="414">
        <v>0</v>
      </c>
      <c r="F119" s="28">
        <f t="shared" si="10"/>
        <v>0</v>
      </c>
      <c r="G119" s="66">
        <f>D119+'2019FEB'!G119</f>
        <v>1</v>
      </c>
      <c r="H119" s="66">
        <f>E119+'2019FEB'!H119</f>
        <v>2</v>
      </c>
      <c r="I119" s="28">
        <f t="shared" si="11"/>
        <v>2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52</v>
      </c>
      <c r="E120" s="414">
        <v>47</v>
      </c>
      <c r="F120" s="28">
        <f t="shared" si="10"/>
        <v>0.90384615384615385</v>
      </c>
      <c r="G120" s="66">
        <f>D120+'2019FEB'!G120</f>
        <v>156</v>
      </c>
      <c r="H120" s="66">
        <f>E120+'2019FEB'!H120</f>
        <v>139</v>
      </c>
      <c r="I120" s="28">
        <f t="shared" si="11"/>
        <v>0.89102564102564108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412">
        <f>SUM(D119:D120)</f>
        <v>53</v>
      </c>
      <c r="E121" s="412">
        <f>SUM(E119:E120)</f>
        <v>47</v>
      </c>
      <c r="F121" s="30">
        <f t="shared" si="10"/>
        <v>0.8867924528301887</v>
      </c>
      <c r="G121" s="412">
        <f>SUM(G119:G120)</f>
        <v>157</v>
      </c>
      <c r="H121" s="412">
        <f>SUM(H119:H120)</f>
        <v>141</v>
      </c>
      <c r="I121" s="30">
        <f t="shared" si="11"/>
        <v>0.89808917197452232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406">
        <f>SUM(D116,D119)</f>
        <v>2</v>
      </c>
      <c r="E122" s="406">
        <f>SUM(E116,E119)</f>
        <v>0</v>
      </c>
      <c r="F122" s="30">
        <f t="shared" si="10"/>
        <v>0</v>
      </c>
      <c r="G122" s="406">
        <f>SUM(G116,G119)</f>
        <v>2</v>
      </c>
      <c r="H122" s="406">
        <f>SUM(H116,H119)</f>
        <v>3</v>
      </c>
      <c r="I122" s="30">
        <f t="shared" si="11"/>
        <v>1.5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406">
        <f>SUM(D117,D120)</f>
        <v>129</v>
      </c>
      <c r="E123" s="406">
        <f>SUM(E117,E120)</f>
        <v>126</v>
      </c>
      <c r="F123" s="30">
        <f t="shared" si="10"/>
        <v>0.97674418604651159</v>
      </c>
      <c r="G123" s="406">
        <f>SUM(G117,G120)</f>
        <v>387</v>
      </c>
      <c r="H123" s="406">
        <f>SUM(H117,H120)</f>
        <v>377</v>
      </c>
      <c r="I123" s="30">
        <f t="shared" si="11"/>
        <v>0.97416020671834624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407">
        <f>SUM(D122:D123)</f>
        <v>131</v>
      </c>
      <c r="E124" s="407">
        <f>SUM(E122:E123)</f>
        <v>126</v>
      </c>
      <c r="F124" s="41">
        <f t="shared" si="10"/>
        <v>0.96183206106870234</v>
      </c>
      <c r="G124" s="407">
        <f>SUM(G122:G123)</f>
        <v>389</v>
      </c>
      <c r="H124" s="407">
        <f>SUM(H122:H123)</f>
        <v>380</v>
      </c>
      <c r="I124" s="41">
        <f t="shared" si="11"/>
        <v>0.9768637532133676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401">
        <f>SUM(D113,D122)</f>
        <v>20</v>
      </c>
      <c r="E125" s="401">
        <f>SUM(E113,E122)</f>
        <v>18</v>
      </c>
      <c r="F125" s="45">
        <f t="shared" si="10"/>
        <v>0.9</v>
      </c>
      <c r="G125" s="46">
        <f>SUM(G113,G122)</f>
        <v>60</v>
      </c>
      <c r="H125" s="46">
        <f>SUM(H113,H122)</f>
        <v>40</v>
      </c>
      <c r="I125" s="45">
        <f t="shared" si="11"/>
        <v>0.66666666666666663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402">
        <f>SUM(D114,D123)</f>
        <v>509</v>
      </c>
      <c r="E126" s="402">
        <f>SUM(E114,E123)</f>
        <v>465</v>
      </c>
      <c r="F126" s="32">
        <f t="shared" si="10"/>
        <v>0.91355599214145378</v>
      </c>
      <c r="G126" s="402">
        <f>SUM(G114,G123)</f>
        <v>1467</v>
      </c>
      <c r="H126" s="402">
        <f>SUM(H114,H123)</f>
        <v>1370</v>
      </c>
      <c r="I126" s="32">
        <f t="shared" si="11"/>
        <v>0.93387866394001362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402">
        <f>SUM(D125:D126)</f>
        <v>529</v>
      </c>
      <c r="E127" s="402">
        <f>SUM(E125:E126)</f>
        <v>483</v>
      </c>
      <c r="F127" s="49">
        <f>E127/D127</f>
        <v>0.91304347826086951</v>
      </c>
      <c r="G127" s="401">
        <f>SUM(G125:G126)</f>
        <v>1527</v>
      </c>
      <c r="H127" s="401">
        <f>SUM(H125:H126)</f>
        <v>1410</v>
      </c>
      <c r="I127" s="49">
        <f>H127/G127</f>
        <v>0.92337917485265231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226</v>
      </c>
      <c r="J134" s="631"/>
      <c r="K134" s="632"/>
      <c r="L134" s="634"/>
    </row>
    <row r="135" spans="1:12">
      <c r="A135" s="628" t="s">
        <v>91</v>
      </c>
      <c r="B135" s="629"/>
      <c r="C135" s="649">
        <v>40</v>
      </c>
      <c r="D135" s="650"/>
      <c r="E135" s="649">
        <v>3</v>
      </c>
      <c r="F135" s="650"/>
      <c r="G135" s="649">
        <v>3</v>
      </c>
      <c r="H135" s="650"/>
      <c r="I135" s="649">
        <v>13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400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400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400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400" t="s">
        <v>99</v>
      </c>
      <c r="C140" s="656">
        <v>232</v>
      </c>
      <c r="D140" s="656"/>
      <c r="E140" s="656">
        <v>53</v>
      </c>
      <c r="F140" s="656"/>
      <c r="G140" s="656">
        <v>113</v>
      </c>
      <c r="H140" s="656"/>
      <c r="I140" s="770">
        <v>5557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288</v>
      </c>
      <c r="D145" s="663"/>
      <c r="E145" s="664"/>
      <c r="F145" s="662" t="s">
        <v>207</v>
      </c>
      <c r="G145" s="663"/>
      <c r="H145" s="663"/>
      <c r="I145" s="664"/>
      <c r="J145" s="663" t="s">
        <v>215</v>
      </c>
      <c r="K145" s="663"/>
      <c r="L145" s="663"/>
      <c r="M145" s="665"/>
    </row>
    <row r="146" spans="1:13" ht="47.25" customHeight="1">
      <c r="A146" s="716" t="s">
        <v>103</v>
      </c>
      <c r="B146" s="717"/>
      <c r="C146" s="718" t="s">
        <v>289</v>
      </c>
      <c r="D146" s="723"/>
      <c r="E146" s="724"/>
      <c r="F146" s="744" t="s">
        <v>290</v>
      </c>
      <c r="G146" s="748"/>
      <c r="H146" s="748"/>
      <c r="I146" s="749"/>
      <c r="J146" s="745" t="s">
        <v>291</v>
      </c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282</v>
      </c>
      <c r="D148" s="719"/>
      <c r="E148" s="720"/>
      <c r="F148" s="744" t="s">
        <v>282</v>
      </c>
      <c r="G148" s="745"/>
      <c r="H148" s="745"/>
      <c r="I148" s="746"/>
      <c r="J148" s="744" t="s">
        <v>282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398" t="s">
        <v>109</v>
      </c>
      <c r="C154" s="398" t="s">
        <v>110</v>
      </c>
      <c r="D154" s="398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/>
      <c r="B155" s="291">
        <f>'2019FEB'!H155</f>
        <v>-9156</v>
      </c>
      <c r="C155" s="63">
        <f>E45-E44</f>
        <v>49738</v>
      </c>
      <c r="D155" s="73">
        <f>133773</f>
        <v>133773</v>
      </c>
      <c r="E155" s="681" t="s">
        <v>114</v>
      </c>
      <c r="F155" s="681"/>
      <c r="G155" s="681"/>
      <c r="H155" s="72">
        <f>C155+A155+B155-D155</f>
        <v>-93191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147282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413"/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18386</v>
      </c>
      <c r="H165" s="790"/>
      <c r="I165" s="791"/>
      <c r="J165" s="791"/>
      <c r="K165" s="792"/>
    </row>
    <row r="166" spans="1:11" ht="14">
      <c r="A166" s="397" t="s">
        <v>126</v>
      </c>
      <c r="B166" s="789" t="s">
        <v>127</v>
      </c>
      <c r="C166" s="789"/>
      <c r="D166" s="789"/>
      <c r="E166" s="789"/>
      <c r="F166" s="789"/>
      <c r="G166" s="414">
        <v>1905</v>
      </c>
      <c r="H166" s="790"/>
      <c r="I166" s="791"/>
      <c r="J166" s="791"/>
      <c r="K166" s="792"/>
    </row>
    <row r="167" spans="1:11" ht="14">
      <c r="A167" s="397" t="s">
        <v>128</v>
      </c>
      <c r="B167" s="789" t="s">
        <v>129</v>
      </c>
      <c r="C167" s="789"/>
      <c r="D167" s="789"/>
      <c r="E167" s="789"/>
      <c r="F167" s="789"/>
      <c r="G167" s="413"/>
      <c r="H167" s="790"/>
      <c r="I167" s="791"/>
      <c r="J167" s="791"/>
      <c r="K167" s="792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L3" xr:uid="{9BE5538A-1630-4772-80CC-1D8B880739C3}">
      <formula1>"USA, JAPAN"</formula1>
    </dataValidation>
    <dataValidation type="list" allowBlank="1" showInputMessage="1" showErrorMessage="1" sqref="G1" xr:uid="{6B192657-1E79-4767-A741-6BC23BD9AFAA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E3F10-6A60-4E6E-A8E9-761DB865B2C0}">
  <sheetPr codeName="Sheet29">
    <pageSetUpPr fitToPage="1"/>
  </sheetPr>
  <dimension ref="A1:N167"/>
  <sheetViews>
    <sheetView topLeftCell="A148" zoomScale="90" zoomScaleNormal="90" zoomScaleSheetLayoutView="85" workbookViewId="0">
      <selection activeCell="D92" sqref="D9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141</v>
      </c>
      <c r="H1" s="2">
        <v>2019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275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/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417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26" t="s">
        <v>176</v>
      </c>
      <c r="C10" s="61">
        <v>2</v>
      </c>
      <c r="D10" s="432">
        <v>2</v>
      </c>
      <c r="E10" s="538" t="s">
        <v>276</v>
      </c>
      <c r="F10" s="538"/>
      <c r="G10" s="538"/>
      <c r="H10" s="538"/>
      <c r="I10" s="539"/>
    </row>
    <row r="11" spans="1:13">
      <c r="A11" s="537"/>
      <c r="B11" s="426" t="s">
        <v>177</v>
      </c>
      <c r="C11" s="61">
        <v>2</v>
      </c>
      <c r="D11" s="432">
        <v>2</v>
      </c>
      <c r="E11" s="805" t="s">
        <v>183</v>
      </c>
      <c r="F11" s="541"/>
      <c r="G11" s="541"/>
      <c r="H11" s="541"/>
      <c r="I11" s="542"/>
    </row>
    <row r="12" spans="1:13">
      <c r="A12" s="537"/>
      <c r="B12" s="426" t="s">
        <v>179</v>
      </c>
      <c r="C12" s="61">
        <v>2</v>
      </c>
      <c r="D12" s="432">
        <v>3</v>
      </c>
      <c r="E12" s="768" t="s">
        <v>292</v>
      </c>
      <c r="F12" s="538"/>
      <c r="G12" s="538"/>
      <c r="H12" s="538"/>
      <c r="I12" s="539"/>
    </row>
    <row r="13" spans="1:13">
      <c r="A13" s="537"/>
      <c r="B13" s="426" t="s">
        <v>180</v>
      </c>
      <c r="C13" s="61">
        <v>3</v>
      </c>
      <c r="D13" s="432">
        <v>2</v>
      </c>
      <c r="E13" s="538" t="s">
        <v>293</v>
      </c>
      <c r="F13" s="538"/>
      <c r="G13" s="538"/>
      <c r="H13" s="538"/>
      <c r="I13" s="539"/>
    </row>
    <row r="14" spans="1:13">
      <c r="A14" s="537"/>
      <c r="B14" s="426" t="s">
        <v>12</v>
      </c>
      <c r="C14" s="61">
        <v>0</v>
      </c>
      <c r="D14" s="432">
        <v>0</v>
      </c>
      <c r="E14" s="540"/>
      <c r="F14" s="541"/>
      <c r="G14" s="541"/>
      <c r="H14" s="541"/>
      <c r="I14" s="542"/>
    </row>
    <row r="15" spans="1:13">
      <c r="A15" s="537"/>
      <c r="B15" s="426" t="s">
        <v>13</v>
      </c>
      <c r="C15" s="61">
        <v>2</v>
      </c>
      <c r="D15" s="432">
        <v>2</v>
      </c>
      <c r="E15" s="768" t="s">
        <v>294</v>
      </c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11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19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429" t="s">
        <v>23</v>
      </c>
      <c r="E21" s="429" t="s">
        <v>24</v>
      </c>
      <c r="F21" s="429" t="s">
        <v>25</v>
      </c>
      <c r="G21" s="429" t="s">
        <v>23</v>
      </c>
      <c r="H21" s="429" t="s">
        <v>24</v>
      </c>
      <c r="I21" s="429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328">
        <v>18382</v>
      </c>
      <c r="E23" s="329">
        <v>17357</v>
      </c>
      <c r="F23" s="14">
        <f t="shared" ref="F23:F28" si="0">E23/D23</f>
        <v>0.94423892938744425</v>
      </c>
      <c r="G23" s="332">
        <f>D23+'2019MAR'!G23</f>
        <v>70790</v>
      </c>
      <c r="H23" s="332">
        <f>E23+'2019MAR'!H23</f>
        <v>66400</v>
      </c>
      <c r="I23" s="14">
        <f t="shared" ref="I23:I28" si="1">H23/G23</f>
        <v>0.93798559118519564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330">
        <f>SUM(D23:D23)</f>
        <v>18382</v>
      </c>
      <c r="E24" s="330">
        <f>SUM(E23:E23)</f>
        <v>17357</v>
      </c>
      <c r="F24" s="16">
        <f t="shared" si="0"/>
        <v>0.94423892938744425</v>
      </c>
      <c r="G24" s="330">
        <f>SUM(G23:G23)</f>
        <v>70790</v>
      </c>
      <c r="H24" s="330">
        <f>SUM(H23:H23)</f>
        <v>66400</v>
      </c>
      <c r="I24" s="16">
        <f t="shared" si="1"/>
        <v>0.93798559118519564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328">
        <v>21849</v>
      </c>
      <c r="E25" s="329">
        <v>20257</v>
      </c>
      <c r="F25" s="14">
        <f t="shared" si="0"/>
        <v>0.92713625337544048</v>
      </c>
      <c r="G25" s="332">
        <f>D25+'2019MAR'!G25</f>
        <v>81536</v>
      </c>
      <c r="H25" s="332">
        <f>E25+'2019MAR'!H25</f>
        <v>76481</v>
      </c>
      <c r="I25" s="14">
        <f t="shared" si="1"/>
        <v>0.93800284536891676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330">
        <f>SUM(D25:D26)</f>
        <v>21849</v>
      </c>
      <c r="E27" s="330">
        <f>SUM(E25:E26)</f>
        <v>20257</v>
      </c>
      <c r="F27" s="16">
        <f t="shared" si="0"/>
        <v>0.92713625337544048</v>
      </c>
      <c r="G27" s="330">
        <f>SUM(G25:G26)</f>
        <v>81536</v>
      </c>
      <c r="H27" s="330">
        <f>SUM(H25:H26)</f>
        <v>76481</v>
      </c>
      <c r="I27" s="16">
        <f t="shared" si="1"/>
        <v>0.93800284536891676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331">
        <f>SUM(D24,D27)</f>
        <v>40231</v>
      </c>
      <c r="E28" s="331">
        <f>SUM(E24,E27)</f>
        <v>37614</v>
      </c>
      <c r="F28" s="17">
        <f t="shared" si="0"/>
        <v>0.93495065993885307</v>
      </c>
      <c r="G28" s="331">
        <f>SUM(G24,G27)</f>
        <v>152326</v>
      </c>
      <c r="H28" s="331">
        <f>SUM(H24,H27)</f>
        <v>142881</v>
      </c>
      <c r="I28" s="17">
        <f t="shared" si="1"/>
        <v>0.93799482688444524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35</v>
      </c>
      <c r="C30" s="128" t="s">
        <v>29</v>
      </c>
      <c r="D30" s="328">
        <v>2900</v>
      </c>
      <c r="E30" s="329">
        <v>3995</v>
      </c>
      <c r="F30" s="14">
        <f>E30/D30</f>
        <v>1.3775862068965516</v>
      </c>
      <c r="G30" s="332">
        <f>D30+'2019MAR'!G30</f>
        <v>11600</v>
      </c>
      <c r="H30" s="332">
        <f>E30+'2019MAR'!H30</f>
        <v>13332</v>
      </c>
      <c r="I30" s="14">
        <f>H30/G30</f>
        <v>1.1493103448275863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328">
        <v>0</v>
      </c>
      <c r="E31" s="329">
        <v>292</v>
      </c>
      <c r="F31" s="14" t="e">
        <f t="shared" ref="F31:F47" si="2">E31/D31</f>
        <v>#DIV/0!</v>
      </c>
      <c r="G31" s="332">
        <f>D31+'2019MAR'!G31</f>
        <v>0</v>
      </c>
      <c r="H31" s="332">
        <f>E31+'2019MAR'!H31</f>
        <v>6705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330">
        <f>SUM(D30:D31)</f>
        <v>2900</v>
      </c>
      <c r="E32" s="330">
        <f>SUM(E30:E31)</f>
        <v>4287</v>
      </c>
      <c r="F32" s="14">
        <f t="shared" si="2"/>
        <v>1.4782758620689656</v>
      </c>
      <c r="G32" s="330">
        <f>SUM(G30:G31)</f>
        <v>11600</v>
      </c>
      <c r="H32" s="330">
        <f>SUM(H30:H31)</f>
        <v>20037</v>
      </c>
      <c r="I32" s="14">
        <f t="shared" si="3"/>
        <v>1.7273275862068966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328">
        <v>0</v>
      </c>
      <c r="E33" s="329">
        <v>696</v>
      </c>
      <c r="F33" s="14" t="e">
        <f t="shared" si="2"/>
        <v>#DIV/0!</v>
      </c>
      <c r="G33" s="332">
        <f>D33+'2019MAR'!G33</f>
        <v>0</v>
      </c>
      <c r="H33" s="332">
        <f>E33+'2019MAR'!H33</f>
        <v>5240</v>
      </c>
      <c r="I33" s="14" t="e">
        <f t="shared" si="3"/>
        <v>#DIV/0!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334">
        <f>SUM(D32,D33)</f>
        <v>2900</v>
      </c>
      <c r="E34" s="334">
        <f>SUM(E32,E33)</f>
        <v>4983</v>
      </c>
      <c r="F34" s="14">
        <f t="shared" si="2"/>
        <v>1.7182758620689655</v>
      </c>
      <c r="G34" s="334">
        <f>SUM(G32,G33)</f>
        <v>11600</v>
      </c>
      <c r="H34" s="334">
        <f>SUM(H32,H33)</f>
        <v>25277</v>
      </c>
      <c r="I34" s="14">
        <f t="shared" si="3"/>
        <v>2.1790517241379312</v>
      </c>
      <c r="J34" s="534"/>
      <c r="K34" s="534"/>
      <c r="L34" s="534"/>
      <c r="M34" s="543"/>
    </row>
    <row r="35" spans="1:13" ht="24.75" customHeight="1">
      <c r="A35" s="573" t="s">
        <v>37</v>
      </c>
      <c r="B35" s="555" t="s">
        <v>38</v>
      </c>
      <c r="C35" s="128" t="s">
        <v>39</v>
      </c>
      <c r="D35" s="328">
        <v>36232</v>
      </c>
      <c r="E35" s="333">
        <v>170351</v>
      </c>
      <c r="F35" s="14">
        <f t="shared" si="2"/>
        <v>4.7016725546478249</v>
      </c>
      <c r="G35" s="332">
        <f>D35+'2019MAR'!G35</f>
        <v>144928</v>
      </c>
      <c r="H35" s="332">
        <f>E35+'2019MAR'!H35</f>
        <v>170351</v>
      </c>
      <c r="I35" s="14">
        <f t="shared" si="3"/>
        <v>1.1754181386619562</v>
      </c>
      <c r="J35" s="670" t="s">
        <v>295</v>
      </c>
      <c r="K35" s="671"/>
      <c r="L35" s="671"/>
      <c r="M35" s="705"/>
    </row>
    <row r="36" spans="1:13">
      <c r="A36" s="573"/>
      <c r="B36" s="555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330">
        <f>SUM(D35:D36)</f>
        <v>36232</v>
      </c>
      <c r="E37" s="330">
        <f>SUM(E35:E36)</f>
        <v>170351</v>
      </c>
      <c r="F37" s="16">
        <f t="shared" si="2"/>
        <v>4.7016725546478249</v>
      </c>
      <c r="G37" s="341">
        <f>SUM(G35:G36)</f>
        <v>144928</v>
      </c>
      <c r="H37" s="341">
        <f>SUM(H35:H36)</f>
        <v>170351</v>
      </c>
      <c r="I37" s="16">
        <f t="shared" si="3"/>
        <v>1.1754181386619562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270</v>
      </c>
      <c r="D38" s="328">
        <v>0</v>
      </c>
      <c r="E38" s="329">
        <v>0</v>
      </c>
      <c r="F38" s="14" t="e">
        <f t="shared" si="2"/>
        <v>#DIV/0!</v>
      </c>
      <c r="G38" s="332">
        <f>D38+'2019MAR'!G38</f>
        <v>0</v>
      </c>
      <c r="H38" s="332">
        <f>E38+'2019MAR'!H38</f>
        <v>15217</v>
      </c>
      <c r="I38" s="14" t="e">
        <f t="shared" si="3"/>
        <v>#DIV/0!</v>
      </c>
      <c r="J38" s="525" t="s">
        <v>280</v>
      </c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330">
        <f>SUM(D38:D39)</f>
        <v>0</v>
      </c>
      <c r="E40" s="330">
        <f>SUM(E38:E39)</f>
        <v>0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334">
        <f>SUM(D37,D40)</f>
        <v>36232</v>
      </c>
      <c r="E41" s="334">
        <f>SUM(E37,E40)</f>
        <v>170351</v>
      </c>
      <c r="F41" s="19">
        <f t="shared" si="2"/>
        <v>4.7016725546478249</v>
      </c>
      <c r="G41" s="334">
        <f>SUM(G37,G40)</f>
        <v>144928</v>
      </c>
      <c r="H41" s="334">
        <f>SUM(H37,H40)</f>
        <v>185568</v>
      </c>
      <c r="I41" s="19">
        <f t="shared" si="3"/>
        <v>1.2804151026716715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335">
        <v>13000</v>
      </c>
      <c r="E42" s="336">
        <f>C140+E140+G140+I140</f>
        <v>14106</v>
      </c>
      <c r="F42" s="21">
        <f t="shared" si="2"/>
        <v>1.0850769230769231</v>
      </c>
      <c r="G42" s="342">
        <f>D42+'2019MAR'!G42</f>
        <v>50500</v>
      </c>
      <c r="H42" s="342">
        <f>E42+'2019MAR'!H42</f>
        <v>62979</v>
      </c>
      <c r="I42" s="21">
        <f t="shared" si="3"/>
        <v>1.2471089108910891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337">
        <v>2000</v>
      </c>
      <c r="E43" s="338">
        <v>0</v>
      </c>
      <c r="F43" s="21">
        <f t="shared" si="2"/>
        <v>0</v>
      </c>
      <c r="G43" s="342">
        <f>D43+'2019MAR'!G43</f>
        <v>8000</v>
      </c>
      <c r="H43" s="342">
        <f>E43+'2019MAR'!H43</f>
        <v>451</v>
      </c>
      <c r="I43" s="21">
        <f t="shared" si="3"/>
        <v>5.6375000000000001E-2</v>
      </c>
      <c r="J43" s="572"/>
      <c r="K43" s="570"/>
      <c r="L43" s="570"/>
      <c r="M43" s="571"/>
    </row>
    <row r="44" spans="1:13" s="8" customFormat="1" ht="13.5" customHeight="1">
      <c r="A44" s="569" t="s">
        <v>45</v>
      </c>
      <c r="B44" s="570"/>
      <c r="C44" s="570"/>
      <c r="D44" s="337">
        <v>40000</v>
      </c>
      <c r="E44" s="338">
        <v>120000</v>
      </c>
      <c r="F44" s="21">
        <f t="shared" si="2"/>
        <v>3</v>
      </c>
      <c r="G44" s="342">
        <f>D44+'2019MAR'!G44</f>
        <v>160000</v>
      </c>
      <c r="H44" s="342">
        <f>E44+'2019MAR'!H44</f>
        <v>240000</v>
      </c>
      <c r="I44" s="21">
        <f t="shared" si="3"/>
        <v>1.5</v>
      </c>
      <c r="J44" s="813" t="s">
        <v>296</v>
      </c>
      <c r="K44" s="813"/>
      <c r="L44" s="813"/>
      <c r="M44" s="814"/>
    </row>
    <row r="45" spans="1:13" s="8" customFormat="1">
      <c r="A45" s="587" t="s">
        <v>46</v>
      </c>
      <c r="B45" s="588"/>
      <c r="C45" s="589"/>
      <c r="D45" s="339">
        <f>SUM(D28,D34,D41,D42:D44)</f>
        <v>134363</v>
      </c>
      <c r="E45" s="339">
        <f>SUM(E28,E34,E41,E42:E44)</f>
        <v>347054</v>
      </c>
      <c r="F45" s="22">
        <f t="shared" si="2"/>
        <v>2.5829581060262128</v>
      </c>
      <c r="G45" s="339">
        <f>SUM(G28,G34,G41,G42:G44)</f>
        <v>527354</v>
      </c>
      <c r="H45" s="339">
        <f>SUM(H28,H34,H41,H42:H44)</f>
        <v>657156</v>
      </c>
      <c r="I45" s="22">
        <f t="shared" si="3"/>
        <v>1.2461382676532273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339">
        <f>D45-D42</f>
        <v>121363</v>
      </c>
      <c r="E46" s="339">
        <f>E45-E42</f>
        <v>332948</v>
      </c>
      <c r="F46" s="22">
        <f t="shared" si="2"/>
        <v>2.7434061452007614</v>
      </c>
      <c r="G46" s="339">
        <f>G45-G42</f>
        <v>476854</v>
      </c>
      <c r="H46" s="339">
        <f>H45-H42</f>
        <v>594177</v>
      </c>
      <c r="I46" s="22">
        <f t="shared" si="3"/>
        <v>1.246035474170291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340">
        <f>D46-D44</f>
        <v>81363</v>
      </c>
      <c r="E47" s="340">
        <f>E46-E44</f>
        <v>212948</v>
      </c>
      <c r="F47" s="23">
        <f t="shared" si="2"/>
        <v>2.6172584590047072</v>
      </c>
      <c r="G47" s="340">
        <f>G46-G44</f>
        <v>316854</v>
      </c>
      <c r="H47" s="340">
        <f>H46-H44</f>
        <v>354177</v>
      </c>
      <c r="I47" s="23">
        <f t="shared" si="3"/>
        <v>1.1177924217462933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427" t="s">
        <v>23</v>
      </c>
      <c r="E52" s="427" t="s">
        <v>24</v>
      </c>
      <c r="F52" s="427" t="s">
        <v>25</v>
      </c>
      <c r="G52" s="427" t="s">
        <v>23</v>
      </c>
      <c r="H52" s="427" t="s">
        <v>24</v>
      </c>
      <c r="I52" s="427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20</v>
      </c>
      <c r="E53" s="432">
        <v>27</v>
      </c>
      <c r="F53" s="28">
        <f t="shared" ref="F53:F79" si="4">E53/D53</f>
        <v>1.35</v>
      </c>
      <c r="G53" s="66">
        <f>D53+'2019MAR'!G53</f>
        <v>80</v>
      </c>
      <c r="H53" s="66">
        <f>E53+'2019MAR'!H53</f>
        <v>67</v>
      </c>
      <c r="I53" s="28">
        <f t="shared" ref="I53:I79" si="5">H53/G53</f>
        <v>0.83750000000000002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448</v>
      </c>
      <c r="E54" s="432">
        <v>472</v>
      </c>
      <c r="F54" s="28">
        <f t="shared" si="4"/>
        <v>1.0535714285714286</v>
      </c>
      <c r="G54" s="66">
        <f>D54+'2019MAR'!G54</f>
        <v>1834</v>
      </c>
      <c r="H54" s="66">
        <f>E54+'2019MAR'!H54</f>
        <v>1842</v>
      </c>
      <c r="I54" s="28">
        <f t="shared" si="5"/>
        <v>1.0043620501635768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430">
        <f>SUM(D53:D54)</f>
        <v>468</v>
      </c>
      <c r="E55" s="430">
        <f>SUM(E53:E54)</f>
        <v>499</v>
      </c>
      <c r="F55" s="30">
        <f t="shared" si="4"/>
        <v>1.0662393162393162</v>
      </c>
      <c r="G55" s="430">
        <f>SUM(G53:G54)</f>
        <v>1914</v>
      </c>
      <c r="H55" s="430">
        <f>SUM(H53:H54)</f>
        <v>1909</v>
      </c>
      <c r="I55" s="30">
        <f t="shared" si="5"/>
        <v>0.99738766980146287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83</v>
      </c>
      <c r="E56" s="432">
        <v>65</v>
      </c>
      <c r="F56" s="28">
        <f t="shared" si="4"/>
        <v>0.7831325301204819</v>
      </c>
      <c r="G56" s="66">
        <f>D56+'2019MAR'!G56</f>
        <v>332</v>
      </c>
      <c r="H56" s="66">
        <f>E56+'2019MAR'!H56</f>
        <v>238</v>
      </c>
      <c r="I56" s="28">
        <f t="shared" si="5"/>
        <v>0.7168674698795181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1134</v>
      </c>
      <c r="E57" s="432">
        <v>1330</v>
      </c>
      <c r="F57" s="28">
        <f t="shared" si="4"/>
        <v>1.1728395061728396</v>
      </c>
      <c r="G57" s="66">
        <f>D57+'2019MAR'!G57</f>
        <v>4642</v>
      </c>
      <c r="H57" s="66">
        <f>E57+'2019MAR'!H57</f>
        <v>5029</v>
      </c>
      <c r="I57" s="28">
        <f t="shared" si="5"/>
        <v>1.0833692373976733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424">
        <f>SUM(D56:D57)</f>
        <v>1217</v>
      </c>
      <c r="E58" s="424">
        <f>SUM(E56:E57)</f>
        <v>1395</v>
      </c>
      <c r="F58" s="28">
        <f t="shared" si="4"/>
        <v>1.1462612982744453</v>
      </c>
      <c r="G58" s="424">
        <f>SUM(G56:G57)</f>
        <v>4974</v>
      </c>
      <c r="H58" s="424">
        <f>SUM(H56:H57)</f>
        <v>5267</v>
      </c>
      <c r="I58" s="31">
        <f t="shared" si="5"/>
        <v>1.0589063128266989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420">
        <f>SUM(D53,D56)</f>
        <v>103</v>
      </c>
      <c r="E59" s="420">
        <f>SUM(E53,E56)</f>
        <v>92</v>
      </c>
      <c r="F59" s="32">
        <f t="shared" si="4"/>
        <v>0.89320388349514568</v>
      </c>
      <c r="G59" s="420">
        <f>SUM(G53,G56)</f>
        <v>412</v>
      </c>
      <c r="H59" s="420">
        <f>SUM(H53,H56)</f>
        <v>305</v>
      </c>
      <c r="I59" s="32">
        <f t="shared" si="5"/>
        <v>0.74029126213592233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420">
        <f>SUM(D54,D57)</f>
        <v>1582</v>
      </c>
      <c r="E60" s="420">
        <f>SUM(E54,E57)</f>
        <v>1802</v>
      </c>
      <c r="F60" s="32">
        <f t="shared" si="4"/>
        <v>1.1390644753476611</v>
      </c>
      <c r="G60" s="420">
        <f>SUM(G54,G57)</f>
        <v>6476</v>
      </c>
      <c r="H60" s="420">
        <f>SUM(H54,H57)</f>
        <v>6871</v>
      </c>
      <c r="I60" s="32">
        <f t="shared" si="5"/>
        <v>1.060994441012971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428">
        <f>SUM(D59:D60)</f>
        <v>1685</v>
      </c>
      <c r="E61" s="428">
        <f>SUM(E59:E60)</f>
        <v>1894</v>
      </c>
      <c r="F61" s="33">
        <f t="shared" si="4"/>
        <v>1.1240356083086054</v>
      </c>
      <c r="G61" s="428">
        <f>SUM(G59:G60)</f>
        <v>6888</v>
      </c>
      <c r="H61" s="428">
        <f>SUM(H59:H60)</f>
        <v>7176</v>
      </c>
      <c r="I61" s="33">
        <f t="shared" si="5"/>
        <v>1.0418118466898956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70</v>
      </c>
      <c r="E62" s="426">
        <f>E71/10</f>
        <v>93.9</v>
      </c>
      <c r="F62" s="28">
        <f t="shared" si="4"/>
        <v>1.3414285714285714</v>
      </c>
      <c r="G62" s="66">
        <f>D62+'2019MAR'!G62</f>
        <v>280</v>
      </c>
      <c r="H62" s="66">
        <f>E62+'2019MAR'!H62</f>
        <v>233</v>
      </c>
      <c r="I62" s="28">
        <f t="shared" si="5"/>
        <v>0.83214285714285718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246">
        <v>1560</v>
      </c>
      <c r="E63" s="426">
        <f>E72/10</f>
        <v>1641.8</v>
      </c>
      <c r="F63" s="28">
        <f t="shared" si="4"/>
        <v>1.0524358974358974</v>
      </c>
      <c r="G63" s="248">
        <f>D63+'2019MAR'!G63</f>
        <v>6384</v>
      </c>
      <c r="H63" s="66">
        <f>E63+'2019MAR'!H63</f>
        <v>6407.0000000000009</v>
      </c>
      <c r="I63" s="28">
        <f t="shared" si="5"/>
        <v>1.0036027568922308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1630</v>
      </c>
      <c r="E64" s="430">
        <f>SUM(E62:E63)</f>
        <v>1735.7</v>
      </c>
      <c r="F64" s="30">
        <f t="shared" si="4"/>
        <v>1.0648466257668712</v>
      </c>
      <c r="G64" s="430">
        <f>SUM(G62:G63)</f>
        <v>6664</v>
      </c>
      <c r="H64" s="430">
        <f>SUM(H62:H63)</f>
        <v>6640.0000000000009</v>
      </c>
      <c r="I64" s="30">
        <f t="shared" si="5"/>
        <v>0.99639855942376965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124</v>
      </c>
      <c r="E65" s="426">
        <f>E74/10</f>
        <v>101.7</v>
      </c>
      <c r="F65" s="28">
        <f t="shared" si="4"/>
        <v>0.82016129032258067</v>
      </c>
      <c r="G65" s="66">
        <f>D65+'2019MAR'!G65</f>
        <v>496</v>
      </c>
      <c r="H65" s="66">
        <f>E65+'2019MAR'!H65</f>
        <v>327.7</v>
      </c>
      <c r="I65" s="28">
        <f t="shared" si="5"/>
        <v>0.6606854838709677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1690</v>
      </c>
      <c r="E66" s="426">
        <f>E75/10</f>
        <v>1924</v>
      </c>
      <c r="F66" s="28">
        <f t="shared" si="4"/>
        <v>1.1384615384615384</v>
      </c>
      <c r="G66" s="66">
        <f>D66+'2019MAR'!G66</f>
        <v>6917</v>
      </c>
      <c r="H66" s="66">
        <f>E66+'2019MAR'!H66</f>
        <v>7320.4</v>
      </c>
      <c r="I66" s="28">
        <f t="shared" si="5"/>
        <v>1.0583200809599538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424">
        <f>SUM(D65:D66)</f>
        <v>1814</v>
      </c>
      <c r="E67" s="424">
        <f>SUM(E65:E66)</f>
        <v>2025.7</v>
      </c>
      <c r="F67" s="31">
        <f t="shared" si="4"/>
        <v>1.1167034178610804</v>
      </c>
      <c r="G67" s="424">
        <f>SUM(G65:G66)</f>
        <v>7413</v>
      </c>
      <c r="H67" s="424">
        <f>SUM(H65:H66)</f>
        <v>7648.0999999999995</v>
      </c>
      <c r="I67" s="31">
        <f t="shared" si="5"/>
        <v>1.0317145555105893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420">
        <f>SUM(D62,D65)</f>
        <v>194</v>
      </c>
      <c r="E68" s="420">
        <f>SUM(E62,E65)</f>
        <v>195.60000000000002</v>
      </c>
      <c r="F68" s="32">
        <f t="shared" si="4"/>
        <v>1.0082474226804126</v>
      </c>
      <c r="G68" s="420">
        <f>SUM(G62,G65)</f>
        <v>776</v>
      </c>
      <c r="H68" s="420">
        <f>SUM(H62,H65)</f>
        <v>560.70000000000005</v>
      </c>
      <c r="I68" s="32">
        <f t="shared" si="5"/>
        <v>0.72255154639175267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420">
        <f>SUM(D63,D66)</f>
        <v>3250</v>
      </c>
      <c r="E69" s="420">
        <f>SUM(E63,E66)</f>
        <v>3565.8</v>
      </c>
      <c r="F69" s="32">
        <f t="shared" si="4"/>
        <v>1.0971692307692309</v>
      </c>
      <c r="G69" s="420">
        <f>SUM(G63,G66)</f>
        <v>13301</v>
      </c>
      <c r="H69" s="420">
        <f>SUM(H63,H66)</f>
        <v>13727.400000000001</v>
      </c>
      <c r="I69" s="32">
        <f t="shared" si="5"/>
        <v>1.0320577400195474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428">
        <f>SUM(D68:D69)</f>
        <v>3444</v>
      </c>
      <c r="E70" s="428">
        <f>SUM(E68:E69)</f>
        <v>3761.4</v>
      </c>
      <c r="F70" s="34">
        <f t="shared" si="4"/>
        <v>1.0921602787456446</v>
      </c>
      <c r="G70" s="428">
        <f>SUM(G68:G69)</f>
        <v>14077</v>
      </c>
      <c r="H70" s="428">
        <f>SUM(H68:H69)</f>
        <v>14288.100000000002</v>
      </c>
      <c r="I70" s="34">
        <f t="shared" si="5"/>
        <v>1.0149960929175252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2784</v>
      </c>
      <c r="E71" s="432">
        <v>939</v>
      </c>
      <c r="F71" s="28">
        <f t="shared" si="4"/>
        <v>0.33728448275862066</v>
      </c>
      <c r="G71" s="179">
        <f>D71+'2019MAR'!G71</f>
        <v>6960</v>
      </c>
      <c r="H71" s="66">
        <f>E71+'2019MAR'!H71</f>
        <v>2330</v>
      </c>
      <c r="I71" s="28">
        <f t="shared" si="5"/>
        <v>0.33477011494252873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246">
        <v>15598</v>
      </c>
      <c r="E72" s="341">
        <f>E23-E71</f>
        <v>16418</v>
      </c>
      <c r="F72" s="28">
        <f t="shared" si="4"/>
        <v>1.0525708424156943</v>
      </c>
      <c r="G72" s="248">
        <f>D72+'2019MAR'!G72</f>
        <v>63830</v>
      </c>
      <c r="H72" s="332">
        <f>E72+'2019MAR'!H72</f>
        <v>64070</v>
      </c>
      <c r="I72" s="28">
        <f t="shared" si="5"/>
        <v>1.0037599874667085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430">
        <f>SUM(D71:D72)</f>
        <v>18382</v>
      </c>
      <c r="E73" s="430">
        <f>SUM(E71:E72)</f>
        <v>17357</v>
      </c>
      <c r="F73" s="30">
        <f t="shared" si="4"/>
        <v>0.94423892938744425</v>
      </c>
      <c r="G73" s="430">
        <f>SUM(G71:G72)</f>
        <v>70790</v>
      </c>
      <c r="H73" s="430">
        <f>SUM(H71:H72)</f>
        <v>66400</v>
      </c>
      <c r="I73" s="30">
        <f t="shared" si="5"/>
        <v>0.93798559118519564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4947</v>
      </c>
      <c r="E74" s="432">
        <v>1017</v>
      </c>
      <c r="F74" s="28">
        <f t="shared" si="4"/>
        <v>0.20557913887204365</v>
      </c>
      <c r="G74" s="179">
        <f>D74+'2019MAR'!G74</f>
        <v>12367</v>
      </c>
      <c r="H74" s="66">
        <f>E74+'2019MAR'!H74</f>
        <v>3277</v>
      </c>
      <c r="I74" s="28">
        <f t="shared" si="5"/>
        <v>0.26497938060968707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246">
        <v>16902</v>
      </c>
      <c r="E75" s="431">
        <f>E25-E74</f>
        <v>19240</v>
      </c>
      <c r="F75" s="28">
        <f t="shared" si="4"/>
        <v>1.1383268252277836</v>
      </c>
      <c r="G75" s="248">
        <f>D75+'2019MAR'!G75</f>
        <v>69169</v>
      </c>
      <c r="H75" s="66">
        <f>E75+'2019MAR'!H75</f>
        <v>73204</v>
      </c>
      <c r="I75" s="28">
        <f t="shared" si="5"/>
        <v>1.0583353814570111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424">
        <f>SUM(D74:D75)</f>
        <v>21849</v>
      </c>
      <c r="E76" s="424">
        <f>SUM(E74:E75)</f>
        <v>20257</v>
      </c>
      <c r="F76" s="31">
        <f t="shared" si="4"/>
        <v>0.92713625337544048</v>
      </c>
      <c r="G76" s="424">
        <f>SUM(G74:G75)</f>
        <v>81536</v>
      </c>
      <c r="H76" s="424">
        <f>SUM(H74:H75)</f>
        <v>76481</v>
      </c>
      <c r="I76" s="31">
        <f t="shared" si="5"/>
        <v>0.93800284536891676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420">
        <f>SUM(D71,D74)</f>
        <v>7731</v>
      </c>
      <c r="E77" s="420">
        <f>SUM(E71,E74)</f>
        <v>1956</v>
      </c>
      <c r="F77" s="32">
        <f t="shared" si="4"/>
        <v>0.25300737291424136</v>
      </c>
      <c r="G77" s="420">
        <f>SUM(G71,G74)</f>
        <v>19327</v>
      </c>
      <c r="H77" s="420">
        <f>SUM(H71,H74)</f>
        <v>5607</v>
      </c>
      <c r="I77" s="32">
        <f t="shared" si="5"/>
        <v>0.29011227816008694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420">
        <f>SUM(D72,D75)</f>
        <v>32500</v>
      </c>
      <c r="E78" s="420">
        <f>SUM(E72,E75)</f>
        <v>35658</v>
      </c>
      <c r="F78" s="32">
        <f t="shared" si="4"/>
        <v>1.0971692307692307</v>
      </c>
      <c r="G78" s="420">
        <f>SUM(G72,G75)</f>
        <v>132999</v>
      </c>
      <c r="H78" s="420">
        <f>SUM(H72,H75)</f>
        <v>137274</v>
      </c>
      <c r="I78" s="32">
        <f t="shared" si="5"/>
        <v>1.032143098820292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428">
        <f>SUM(D77:D78)</f>
        <v>40231</v>
      </c>
      <c r="E79" s="428">
        <f>SUM(E77:E78)</f>
        <v>37614</v>
      </c>
      <c r="F79" s="34">
        <f t="shared" si="4"/>
        <v>0.93495065993885307</v>
      </c>
      <c r="G79" s="428">
        <f>SUM(G77:G78)</f>
        <v>152326</v>
      </c>
      <c r="H79" s="428">
        <f>SUM(H77:H78)</f>
        <v>142881</v>
      </c>
      <c r="I79" s="34">
        <f t="shared" si="5"/>
        <v>0.93799482688444524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499</v>
      </c>
      <c r="E87" s="130"/>
      <c r="F87" s="134">
        <f>D87+'2019MAR'!F87</f>
        <v>1909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27</v>
      </c>
      <c r="E88" s="128"/>
      <c r="F88" s="134">
        <f>D88+'2019MAR'!F88</f>
        <v>67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2</v>
      </c>
      <c r="E89" s="128">
        <f>D89/D87</f>
        <v>4.0080160320641279E-3</v>
      </c>
      <c r="F89" s="134">
        <f>D89+'2019MAR'!F89</f>
        <v>5</v>
      </c>
      <c r="G89" s="128">
        <f>F89/F87</f>
        <v>2.6191723415400735E-3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11</v>
      </c>
      <c r="E90" s="128">
        <f>D90/D92</f>
        <v>4.1353383458646614E-2</v>
      </c>
      <c r="F90" s="134">
        <f>D90+'2019MAR'!F90</f>
        <v>222</v>
      </c>
      <c r="G90" s="128">
        <f>F90/F92</f>
        <v>0.23100936524453694</v>
      </c>
      <c r="H90" s="128"/>
    </row>
    <row r="91" spans="1:13" ht="15" customHeight="1">
      <c r="A91" s="774"/>
      <c r="B91" s="775" t="s">
        <v>202</v>
      </c>
      <c r="C91" s="775"/>
      <c r="D91" s="131">
        <v>284</v>
      </c>
      <c r="E91" s="128">
        <f>D91/D92</f>
        <v>1.0676691729323309</v>
      </c>
      <c r="F91" s="134">
        <f>D91+'2019MAR'!F91</f>
        <v>811</v>
      </c>
      <c r="G91" s="128">
        <f>F91/F92</f>
        <v>0.84391259105098859</v>
      </c>
      <c r="H91" s="128"/>
    </row>
    <row r="92" spans="1:13" ht="15" customHeight="1">
      <c r="A92" s="774"/>
      <c r="B92" s="775" t="s">
        <v>203</v>
      </c>
      <c r="C92" s="775"/>
      <c r="D92" s="131">
        <v>266</v>
      </c>
      <c r="E92" s="130"/>
      <c r="F92" s="134">
        <f>D92+'2019MAR'!F92</f>
        <v>961</v>
      </c>
      <c r="G92" s="130"/>
      <c r="H92" s="128"/>
    </row>
    <row r="93" spans="1:13">
      <c r="C93" s="126" t="s">
        <v>210</v>
      </c>
      <c r="D93" s="132">
        <v>765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427" t="s">
        <v>23</v>
      </c>
      <c r="E97" s="427" t="s">
        <v>24</v>
      </c>
      <c r="F97" s="427" t="s">
        <v>25</v>
      </c>
      <c r="G97" s="427" t="s">
        <v>23</v>
      </c>
      <c r="H97" s="427" t="s">
        <v>24</v>
      </c>
      <c r="I97" s="427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432">
        <v>0</v>
      </c>
      <c r="F98" s="37" t="e">
        <f>E98/D98</f>
        <v>#DIV/0!</v>
      </c>
      <c r="G98" s="66">
        <f>D98+'2019MAR'!G98</f>
        <v>0</v>
      </c>
      <c r="H98" s="66">
        <f>E98+'2019MAR'!H98</f>
        <v>0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39</v>
      </c>
      <c r="E99" s="432">
        <v>19</v>
      </c>
      <c r="F99" s="28">
        <f t="shared" ref="F99:F115" si="6">E99/D99</f>
        <v>0.48717948717948717</v>
      </c>
      <c r="G99" s="66">
        <f>D99+'2019MAR'!G99</f>
        <v>156</v>
      </c>
      <c r="H99" s="66">
        <f>E99+'2019MAR'!H99</f>
        <v>82</v>
      </c>
      <c r="I99" s="28">
        <f t="shared" ref="I99:I115" si="7">H99/G99</f>
        <v>0.52564102564102566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430">
        <f>SUM(D98:D99)</f>
        <v>39</v>
      </c>
      <c r="E100" s="430">
        <f>SUM(E98:E99)</f>
        <v>19</v>
      </c>
      <c r="F100" s="30">
        <f t="shared" si="6"/>
        <v>0.48717948717948717</v>
      </c>
      <c r="G100" s="430">
        <f>SUM(G98:G99)</f>
        <v>156</v>
      </c>
      <c r="H100" s="430">
        <f>SUM(H98:H99)</f>
        <v>82</v>
      </c>
      <c r="I100" s="30">
        <f t="shared" si="7"/>
        <v>0.52564102564102566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432">
        <v>0</v>
      </c>
      <c r="F101" s="28" t="e">
        <f t="shared" si="6"/>
        <v>#DIV/0!</v>
      </c>
      <c r="G101" s="66">
        <f>D101+'2019MAR'!G101</f>
        <v>0</v>
      </c>
      <c r="H101" s="66">
        <f>E101+'2019MAR'!H101</f>
        <v>0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9</v>
      </c>
      <c r="E102" s="432">
        <v>9</v>
      </c>
      <c r="F102" s="28">
        <f t="shared" si="6"/>
        <v>1</v>
      </c>
      <c r="G102" s="66">
        <f>D102+'2019MAR'!G102</f>
        <v>36</v>
      </c>
      <c r="H102" s="66">
        <f>E102+'2019MAR'!H102</f>
        <v>36</v>
      </c>
      <c r="I102" s="28">
        <f t="shared" si="7"/>
        <v>1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430">
        <f>SUM(D101:D102)</f>
        <v>9</v>
      </c>
      <c r="E103" s="430">
        <f>SUM(E101:E102)</f>
        <v>9</v>
      </c>
      <c r="F103" s="30">
        <f t="shared" si="6"/>
        <v>1</v>
      </c>
      <c r="G103" s="430">
        <f>SUM(G101:G102)</f>
        <v>36</v>
      </c>
      <c r="H103" s="430">
        <f>SUM(H101:H102)</f>
        <v>36</v>
      </c>
      <c r="I103" s="30">
        <f t="shared" si="7"/>
        <v>1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8</v>
      </c>
      <c r="E104" s="432">
        <v>18</v>
      </c>
      <c r="F104" s="28">
        <f t="shared" si="6"/>
        <v>2.25</v>
      </c>
      <c r="G104" s="66">
        <f>D104+'2019MAR'!G104</f>
        <v>35</v>
      </c>
      <c r="H104" s="66">
        <f>E104+'2019MAR'!H104</f>
        <v>23</v>
      </c>
      <c r="I104" s="28">
        <f t="shared" si="7"/>
        <v>0.65714285714285714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98</v>
      </c>
      <c r="E105" s="432">
        <v>75</v>
      </c>
      <c r="F105" s="28">
        <f t="shared" si="6"/>
        <v>0.76530612244897955</v>
      </c>
      <c r="G105" s="66">
        <f>D105+'2019MAR'!G105</f>
        <v>340</v>
      </c>
      <c r="H105" s="66">
        <f>E105+'2019MAR'!H105</f>
        <v>293</v>
      </c>
      <c r="I105" s="28">
        <f t="shared" si="7"/>
        <v>0.86176470588235299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430">
        <f>SUM(D104:D105)</f>
        <v>106</v>
      </c>
      <c r="E106" s="430">
        <f>SUM(E104:E105)</f>
        <v>93</v>
      </c>
      <c r="F106" s="30">
        <f t="shared" si="6"/>
        <v>0.87735849056603776</v>
      </c>
      <c r="G106" s="430">
        <f>SUM(G104:G105)</f>
        <v>375</v>
      </c>
      <c r="H106" s="430">
        <f>SUM(H104:H105)</f>
        <v>316</v>
      </c>
      <c r="I106" s="30">
        <f t="shared" si="7"/>
        <v>0.84266666666666667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2</v>
      </c>
      <c r="E107" s="432">
        <v>2</v>
      </c>
      <c r="F107" s="28">
        <f>E107/D107</f>
        <v>1</v>
      </c>
      <c r="G107" s="66">
        <f>D107+'2019MAR'!G107</f>
        <v>5</v>
      </c>
      <c r="H107" s="66">
        <f>E107+'2019MAR'!H107</f>
        <v>4</v>
      </c>
      <c r="I107" s="28">
        <f>H107/G107</f>
        <v>0.8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142</v>
      </c>
      <c r="E108" s="432">
        <v>138</v>
      </c>
      <c r="F108" s="28">
        <f>E108/D108</f>
        <v>0.971830985915493</v>
      </c>
      <c r="G108" s="66">
        <f>D108+'2019MAR'!G108</f>
        <v>561</v>
      </c>
      <c r="H108" s="66">
        <f>E108+'2019MAR'!H108</f>
        <v>548</v>
      </c>
      <c r="I108" s="28">
        <f t="shared" si="7"/>
        <v>0.97682709447415328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430">
        <f>SUM(D107:D108)</f>
        <v>144</v>
      </c>
      <c r="E109" s="430">
        <f>SUM(E107:E108)</f>
        <v>140</v>
      </c>
      <c r="F109" s="30">
        <f t="shared" si="6"/>
        <v>0.97222222222222221</v>
      </c>
      <c r="G109" s="430">
        <f>SUM(G107:G108)</f>
        <v>566</v>
      </c>
      <c r="H109" s="430">
        <f>SUM(H107:H108)</f>
        <v>552</v>
      </c>
      <c r="I109" s="30">
        <f t="shared" si="7"/>
        <v>0.97526501766784457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9</v>
      </c>
      <c r="E110" s="432">
        <v>5</v>
      </c>
      <c r="F110" s="30">
        <f>E110/D110</f>
        <v>0.55555555555555558</v>
      </c>
      <c r="G110" s="66">
        <f>D110+'2019MAR'!G110</f>
        <v>37</v>
      </c>
      <c r="H110" s="66">
        <f>E110+'2019MAR'!H110</f>
        <v>35</v>
      </c>
      <c r="I110" s="30">
        <f>H110/G110</f>
        <v>0.94594594594594594</v>
      </c>
      <c r="J110" s="421"/>
      <c r="K110" s="422"/>
      <c r="L110" s="422"/>
      <c r="M110" s="423"/>
    </row>
    <row r="111" spans="1:13">
      <c r="A111" s="573"/>
      <c r="B111" s="777"/>
      <c r="C111" s="27" t="s">
        <v>70</v>
      </c>
      <c r="D111" s="65">
        <v>110</v>
      </c>
      <c r="E111" s="432">
        <v>108</v>
      </c>
      <c r="F111" s="30">
        <f t="shared" ref="F111:F112" si="8">E111/D111</f>
        <v>0.98181818181818181</v>
      </c>
      <c r="G111" s="66">
        <f>D111+'2019MAR'!G111</f>
        <v>385</v>
      </c>
      <c r="H111" s="66">
        <f>E111+'2019MAR'!H111</f>
        <v>383</v>
      </c>
      <c r="I111" s="30">
        <f t="shared" ref="I111:I112" si="9">H111/G111</f>
        <v>0.9948051948051948</v>
      </c>
      <c r="J111" s="421"/>
      <c r="K111" s="422"/>
      <c r="L111" s="422"/>
      <c r="M111" s="423"/>
    </row>
    <row r="112" spans="1:13">
      <c r="A112" s="573"/>
      <c r="B112" s="778"/>
      <c r="C112" s="38" t="s">
        <v>166</v>
      </c>
      <c r="D112" s="430">
        <f>SUM(D110:D111)</f>
        <v>119</v>
      </c>
      <c r="E112" s="430">
        <f>SUM(E110:E111)</f>
        <v>113</v>
      </c>
      <c r="F112" s="30">
        <f t="shared" si="8"/>
        <v>0.94957983193277307</v>
      </c>
      <c r="G112" s="430">
        <f>SUM(G110:G111)</f>
        <v>422</v>
      </c>
      <c r="H112" s="430">
        <f>SUM(H110:H111)</f>
        <v>418</v>
      </c>
      <c r="I112" s="30">
        <f t="shared" si="9"/>
        <v>0.99052132701421802</v>
      </c>
      <c r="J112" s="421"/>
      <c r="K112" s="422"/>
      <c r="L112" s="422"/>
      <c r="M112" s="423"/>
    </row>
    <row r="113" spans="1:13">
      <c r="A113" s="573"/>
      <c r="B113" s="603" t="s">
        <v>46</v>
      </c>
      <c r="C113" s="39" t="s">
        <v>69</v>
      </c>
      <c r="D113" s="424">
        <f>SUM(D98,D101,D104,D107,D110)</f>
        <v>19</v>
      </c>
      <c r="E113" s="424">
        <f>SUM(E98,E101,E104,E107,E110)</f>
        <v>25</v>
      </c>
      <c r="F113" s="31">
        <f t="shared" si="6"/>
        <v>1.3157894736842106</v>
      </c>
      <c r="G113" s="424">
        <f>SUM(G98,G101,G104,G107,G110)</f>
        <v>77</v>
      </c>
      <c r="H113" s="424">
        <f>SUM(H98,H101,H104,H107,H110)</f>
        <v>62</v>
      </c>
      <c r="I113" s="31">
        <f t="shared" si="7"/>
        <v>0.80519480519480524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424">
        <f>SUM(D99,D102,D105,D108,D111)</f>
        <v>398</v>
      </c>
      <c r="E114" s="424">
        <f>SUM(E99,E102,E105,E108,E111)</f>
        <v>349</v>
      </c>
      <c r="F114" s="31">
        <f t="shared" si="6"/>
        <v>0.87688442211055273</v>
      </c>
      <c r="G114" s="424">
        <f>SUM(G99,G102,G105,G108,G111)</f>
        <v>1478</v>
      </c>
      <c r="H114" s="424">
        <f>SUM(H99,H102,H105,H108,H111)</f>
        <v>1342</v>
      </c>
      <c r="I114" s="31">
        <f t="shared" si="7"/>
        <v>0.90798376184032481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425">
        <f>SUM(D113:D114)</f>
        <v>417</v>
      </c>
      <c r="E115" s="425">
        <f>SUM(E113:E114)</f>
        <v>374</v>
      </c>
      <c r="F115" s="41">
        <f t="shared" si="6"/>
        <v>0.89688249400479614</v>
      </c>
      <c r="G115" s="425">
        <f>SUM(G113:G114)</f>
        <v>1555</v>
      </c>
      <c r="H115" s="425">
        <f>SUM(H113:H114)</f>
        <v>1404</v>
      </c>
      <c r="I115" s="41">
        <f t="shared" si="7"/>
        <v>0.90289389067524117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1</v>
      </c>
      <c r="E116" s="64">
        <v>1</v>
      </c>
      <c r="F116" s="43">
        <f>E116/D116</f>
        <v>1</v>
      </c>
      <c r="G116" s="70">
        <f>D116+'2019MAR'!G116</f>
        <v>2</v>
      </c>
      <c r="H116" s="70">
        <f>E116+'2019MAR'!H116</f>
        <v>2</v>
      </c>
      <c r="I116" s="43">
        <f>H116/G116</f>
        <v>1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78</v>
      </c>
      <c r="E117" s="432">
        <v>77</v>
      </c>
      <c r="F117" s="28">
        <f t="shared" ref="F117:F126" si="10">E117/D117</f>
        <v>0.98717948717948723</v>
      </c>
      <c r="G117" s="71">
        <f>D117+'2019MAR'!G117</f>
        <v>309</v>
      </c>
      <c r="H117" s="71">
        <f>E117+'2019MAR'!H117</f>
        <v>315</v>
      </c>
      <c r="I117" s="28">
        <f t="shared" ref="I117:I126" si="11">H117/G117</f>
        <v>1.0194174757281553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430">
        <f>SUM(D116:D117)</f>
        <v>79</v>
      </c>
      <c r="E118" s="430">
        <f>SUM(E116:E117)</f>
        <v>78</v>
      </c>
      <c r="F118" s="30">
        <f t="shared" si="10"/>
        <v>0.98734177215189878</v>
      </c>
      <c r="G118" s="430">
        <f>SUM(G116:G117)</f>
        <v>311</v>
      </c>
      <c r="H118" s="430">
        <f>SUM(H116:H117)</f>
        <v>317</v>
      </c>
      <c r="I118" s="30">
        <f t="shared" si="11"/>
        <v>1.0192926045016077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0</v>
      </c>
      <c r="E119" s="432">
        <v>1</v>
      </c>
      <c r="F119" s="28" t="e">
        <f t="shared" si="10"/>
        <v>#DIV/0!</v>
      </c>
      <c r="G119" s="66">
        <f>D119+'2019MAR'!G119</f>
        <v>1</v>
      </c>
      <c r="H119" s="66">
        <f>E119+'2019MAR'!H119</f>
        <v>3</v>
      </c>
      <c r="I119" s="28">
        <f t="shared" si="11"/>
        <v>3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53</v>
      </c>
      <c r="E120" s="432">
        <v>46</v>
      </c>
      <c r="F120" s="28">
        <f t="shared" si="10"/>
        <v>0.86792452830188682</v>
      </c>
      <c r="G120" s="66">
        <f>D120+'2019MAR'!G120</f>
        <v>209</v>
      </c>
      <c r="H120" s="66">
        <f>E120+'2019MAR'!H120</f>
        <v>185</v>
      </c>
      <c r="I120" s="28">
        <f t="shared" si="11"/>
        <v>0.88516746411483249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430">
        <f>SUM(D119:D120)</f>
        <v>53</v>
      </c>
      <c r="E121" s="430">
        <f>SUM(E119:E120)</f>
        <v>47</v>
      </c>
      <c r="F121" s="30">
        <f t="shared" si="10"/>
        <v>0.8867924528301887</v>
      </c>
      <c r="G121" s="430">
        <f>SUM(G119:G120)</f>
        <v>210</v>
      </c>
      <c r="H121" s="430">
        <f>SUM(H119:H120)</f>
        <v>188</v>
      </c>
      <c r="I121" s="30">
        <f t="shared" si="11"/>
        <v>0.89523809523809528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424">
        <f>SUM(D116,D119)</f>
        <v>1</v>
      </c>
      <c r="E122" s="424">
        <f>SUM(E116,E119)</f>
        <v>2</v>
      </c>
      <c r="F122" s="30">
        <f t="shared" si="10"/>
        <v>2</v>
      </c>
      <c r="G122" s="424">
        <f>SUM(G116,G119)</f>
        <v>3</v>
      </c>
      <c r="H122" s="424">
        <f>SUM(H116,H119)</f>
        <v>5</v>
      </c>
      <c r="I122" s="30">
        <f t="shared" si="11"/>
        <v>1.6666666666666667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424">
        <f>SUM(D117,D120)</f>
        <v>131</v>
      </c>
      <c r="E123" s="424">
        <f>SUM(E117,E120)</f>
        <v>123</v>
      </c>
      <c r="F123" s="30">
        <f t="shared" si="10"/>
        <v>0.93893129770992367</v>
      </c>
      <c r="G123" s="424">
        <f>SUM(G117,G120)</f>
        <v>518</v>
      </c>
      <c r="H123" s="424">
        <f>SUM(H117,H120)</f>
        <v>500</v>
      </c>
      <c r="I123" s="30">
        <f t="shared" si="11"/>
        <v>0.96525096525096521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425">
        <f>SUM(D122:D123)</f>
        <v>132</v>
      </c>
      <c r="E124" s="425">
        <f>SUM(E122:E123)</f>
        <v>125</v>
      </c>
      <c r="F124" s="41">
        <f t="shared" si="10"/>
        <v>0.94696969696969702</v>
      </c>
      <c r="G124" s="425">
        <f>SUM(G122:G123)</f>
        <v>521</v>
      </c>
      <c r="H124" s="425">
        <f>SUM(H122:H123)</f>
        <v>505</v>
      </c>
      <c r="I124" s="41">
        <f t="shared" si="11"/>
        <v>0.96928982725527835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419">
        <f>SUM(D113,D122)</f>
        <v>20</v>
      </c>
      <c r="E125" s="419">
        <f>SUM(E113,E122)</f>
        <v>27</v>
      </c>
      <c r="F125" s="45">
        <f t="shared" si="10"/>
        <v>1.35</v>
      </c>
      <c r="G125" s="46">
        <f>SUM(G113,G122)</f>
        <v>80</v>
      </c>
      <c r="H125" s="46">
        <f>SUM(H113,H122)</f>
        <v>67</v>
      </c>
      <c r="I125" s="45">
        <f t="shared" si="11"/>
        <v>0.83750000000000002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420">
        <f>SUM(D114,D123)</f>
        <v>529</v>
      </c>
      <c r="E126" s="420">
        <f>SUM(E114,E123)</f>
        <v>472</v>
      </c>
      <c r="F126" s="32">
        <f t="shared" si="10"/>
        <v>0.89224952741020791</v>
      </c>
      <c r="G126" s="420">
        <f>SUM(G114,G123)</f>
        <v>1996</v>
      </c>
      <c r="H126" s="420">
        <f>SUM(H114,H123)</f>
        <v>1842</v>
      </c>
      <c r="I126" s="32">
        <f t="shared" si="11"/>
        <v>0.92284569138276551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420">
        <f>SUM(D125:D126)</f>
        <v>549</v>
      </c>
      <c r="E127" s="420">
        <f>SUM(E125:E126)</f>
        <v>499</v>
      </c>
      <c r="F127" s="49">
        <f>E127/D127</f>
        <v>0.90892531876138438</v>
      </c>
      <c r="G127" s="419">
        <f>SUM(G125:G126)</f>
        <v>2076</v>
      </c>
      <c r="H127" s="419">
        <f>SUM(H125:H126)</f>
        <v>1909</v>
      </c>
      <c r="I127" s="49">
        <f>H127/G127</f>
        <v>0.91955684007707128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226</v>
      </c>
      <c r="J134" s="631"/>
      <c r="K134" s="632"/>
      <c r="L134" s="634"/>
    </row>
    <row r="135" spans="1:12">
      <c r="A135" s="628" t="s">
        <v>91</v>
      </c>
      <c r="B135" s="629"/>
      <c r="C135" s="649">
        <v>4</v>
      </c>
      <c r="D135" s="650"/>
      <c r="E135" s="649">
        <v>3</v>
      </c>
      <c r="F135" s="650"/>
      <c r="G135" s="649">
        <v>0</v>
      </c>
      <c r="H135" s="650"/>
      <c r="I135" s="649">
        <v>6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418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418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418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418" t="s">
        <v>99</v>
      </c>
      <c r="C140" s="656">
        <v>8</v>
      </c>
      <c r="D140" s="656"/>
      <c r="E140" s="656">
        <v>13</v>
      </c>
      <c r="F140" s="656"/>
      <c r="G140" s="656">
        <v>0</v>
      </c>
      <c r="H140" s="656"/>
      <c r="I140" s="770">
        <v>14085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216</v>
      </c>
      <c r="D145" s="663"/>
      <c r="E145" s="664"/>
      <c r="F145" s="662" t="s">
        <v>215</v>
      </c>
      <c r="G145" s="663"/>
      <c r="H145" s="663"/>
      <c r="I145" s="664"/>
      <c r="J145" s="663" t="s">
        <v>217</v>
      </c>
      <c r="K145" s="663"/>
      <c r="L145" s="663"/>
      <c r="M145" s="665"/>
    </row>
    <row r="146" spans="1:13" ht="47.25" customHeight="1">
      <c r="A146" s="716" t="s">
        <v>103</v>
      </c>
      <c r="B146" s="717"/>
      <c r="C146" s="718" t="s">
        <v>297</v>
      </c>
      <c r="D146" s="723"/>
      <c r="E146" s="724"/>
      <c r="F146" s="744" t="s">
        <v>298</v>
      </c>
      <c r="G146" s="748"/>
      <c r="H146" s="748"/>
      <c r="I146" s="749"/>
      <c r="J146" s="745" t="s">
        <v>299</v>
      </c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282</v>
      </c>
      <c r="D148" s="719"/>
      <c r="E148" s="720"/>
      <c r="F148" s="744" t="s">
        <v>282</v>
      </c>
      <c r="G148" s="745"/>
      <c r="H148" s="745"/>
      <c r="I148" s="746"/>
      <c r="J148" s="744" t="s">
        <v>282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416" t="s">
        <v>109</v>
      </c>
      <c r="C154" s="416" t="s">
        <v>110</v>
      </c>
      <c r="D154" s="416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/>
      <c r="B155" s="291">
        <f>'2019MAR'!H155</f>
        <v>-93191</v>
      </c>
      <c r="C155" s="63">
        <f>E45-E44</f>
        <v>227054</v>
      </c>
      <c r="D155" s="73">
        <f>133773</f>
        <v>133773</v>
      </c>
      <c r="E155" s="681" t="s">
        <v>114</v>
      </c>
      <c r="F155" s="681"/>
      <c r="G155" s="681"/>
      <c r="H155" s="72">
        <f>C155+A155+B155-D155</f>
        <v>90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148773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431"/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19033</v>
      </c>
      <c r="H165" s="790"/>
      <c r="I165" s="791"/>
      <c r="J165" s="791"/>
      <c r="K165" s="792"/>
    </row>
    <row r="166" spans="1:11" ht="14">
      <c r="A166" s="415" t="s">
        <v>126</v>
      </c>
      <c r="B166" s="789" t="s">
        <v>127</v>
      </c>
      <c r="C166" s="789"/>
      <c r="D166" s="789"/>
      <c r="E166" s="789"/>
      <c r="F166" s="789"/>
      <c r="G166" s="432">
        <v>1907</v>
      </c>
      <c r="H166" s="790"/>
      <c r="I166" s="791"/>
      <c r="J166" s="791"/>
      <c r="K166" s="792"/>
    </row>
    <row r="167" spans="1:11" ht="14">
      <c r="A167" s="415" t="s">
        <v>128</v>
      </c>
      <c r="B167" s="789" t="s">
        <v>129</v>
      </c>
      <c r="C167" s="789"/>
      <c r="D167" s="789"/>
      <c r="E167" s="789"/>
      <c r="F167" s="789"/>
      <c r="G167" s="431"/>
      <c r="H167" s="790"/>
      <c r="I167" s="791"/>
      <c r="J167" s="791"/>
      <c r="K167" s="792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G1" xr:uid="{6C1E8610-E8F2-473F-9475-C05E42261C1C}">
      <formula1>"Jan, Feb, March, April, May, June, July, Aug, Sep, Oct, Nov, Dec"</formula1>
    </dataValidation>
    <dataValidation type="list" allowBlank="1" showInputMessage="1" showErrorMessage="1" sqref="L3" xr:uid="{12FFA255-DDCB-4599-8696-66C98C987BCE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195EE-9928-43BB-9EF9-E17B51761E49}">
  <sheetPr codeName="Sheet30">
    <pageSetUpPr fitToPage="1"/>
  </sheetPr>
  <dimension ref="A1:N167"/>
  <sheetViews>
    <sheetView topLeftCell="A120" zoomScale="90" zoomScaleNormal="90" zoomScaleSheetLayoutView="85" workbookViewId="0">
      <selection activeCell="D92" sqref="D92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142</v>
      </c>
      <c r="H1" s="2">
        <v>2019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275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/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435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44" t="s">
        <v>176</v>
      </c>
      <c r="C10" s="61">
        <v>2</v>
      </c>
      <c r="D10" s="450">
        <v>2</v>
      </c>
      <c r="E10" s="538" t="s">
        <v>276</v>
      </c>
      <c r="F10" s="538"/>
      <c r="G10" s="538"/>
      <c r="H10" s="538"/>
      <c r="I10" s="539"/>
    </row>
    <row r="11" spans="1:13">
      <c r="A11" s="537"/>
      <c r="B11" s="444" t="s">
        <v>177</v>
      </c>
      <c r="C11" s="61">
        <v>2</v>
      </c>
      <c r="D11" s="450">
        <v>2</v>
      </c>
      <c r="E11" s="805" t="s">
        <v>183</v>
      </c>
      <c r="F11" s="541"/>
      <c r="G11" s="541"/>
      <c r="H11" s="541"/>
      <c r="I11" s="542"/>
    </row>
    <row r="12" spans="1:13">
      <c r="A12" s="537"/>
      <c r="B12" s="444" t="s">
        <v>179</v>
      </c>
      <c r="C12" s="61">
        <v>2</v>
      </c>
      <c r="D12" s="450">
        <v>3</v>
      </c>
      <c r="E12" s="768" t="s">
        <v>292</v>
      </c>
      <c r="F12" s="538"/>
      <c r="G12" s="538"/>
      <c r="H12" s="538"/>
      <c r="I12" s="539"/>
    </row>
    <row r="13" spans="1:13">
      <c r="A13" s="537"/>
      <c r="B13" s="444" t="s">
        <v>180</v>
      </c>
      <c r="C13" s="61">
        <v>3</v>
      </c>
      <c r="D13" s="450">
        <v>2</v>
      </c>
      <c r="E13" s="538" t="s">
        <v>293</v>
      </c>
      <c r="F13" s="538"/>
      <c r="G13" s="538"/>
      <c r="H13" s="538"/>
      <c r="I13" s="539"/>
    </row>
    <row r="14" spans="1:13">
      <c r="A14" s="537"/>
      <c r="B14" s="444" t="s">
        <v>12</v>
      </c>
      <c r="C14" s="61">
        <v>0</v>
      </c>
      <c r="D14" s="450">
        <v>0</v>
      </c>
      <c r="E14" s="540"/>
      <c r="F14" s="541"/>
      <c r="G14" s="541"/>
      <c r="H14" s="541"/>
      <c r="I14" s="542"/>
    </row>
    <row r="15" spans="1:13">
      <c r="A15" s="537"/>
      <c r="B15" s="444" t="s">
        <v>13</v>
      </c>
      <c r="C15" s="61">
        <v>2</v>
      </c>
      <c r="D15" s="450">
        <v>2</v>
      </c>
      <c r="E15" s="768" t="s">
        <v>294</v>
      </c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11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19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447" t="s">
        <v>23</v>
      </c>
      <c r="E21" s="447" t="s">
        <v>24</v>
      </c>
      <c r="F21" s="447" t="s">
        <v>25</v>
      </c>
      <c r="G21" s="447" t="s">
        <v>23</v>
      </c>
      <c r="H21" s="447" t="s">
        <v>24</v>
      </c>
      <c r="I21" s="447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328">
        <v>18844</v>
      </c>
      <c r="E23" s="329">
        <v>18122</v>
      </c>
      <c r="F23" s="14">
        <f t="shared" ref="F23:F28" si="0">E23/D23</f>
        <v>0.9616854171088941</v>
      </c>
      <c r="G23" s="332">
        <f>D23+'2019APR'!G23</f>
        <v>89634</v>
      </c>
      <c r="H23" s="332">
        <f>E23+'2019APR'!H23</f>
        <v>84522</v>
      </c>
      <c r="I23" s="14">
        <f t="shared" ref="I23:I28" si="1">H23/G23</f>
        <v>0.94296807015195128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330">
        <f>SUM(D23:D23)</f>
        <v>18844</v>
      </c>
      <c r="E24" s="330">
        <f>SUM(E23:E23)</f>
        <v>18122</v>
      </c>
      <c r="F24" s="16">
        <f t="shared" si="0"/>
        <v>0.9616854171088941</v>
      </c>
      <c r="G24" s="330">
        <f>SUM(G23:G23)</f>
        <v>89634</v>
      </c>
      <c r="H24" s="330">
        <f>SUM(H23:H23)</f>
        <v>84522</v>
      </c>
      <c r="I24" s="16">
        <f t="shared" si="1"/>
        <v>0.94296807015195128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328">
        <v>22832</v>
      </c>
      <c r="E25" s="329">
        <v>20701</v>
      </c>
      <c r="F25" s="14">
        <f t="shared" si="0"/>
        <v>0.90666608269096005</v>
      </c>
      <c r="G25" s="332">
        <f>D25+'2019APR'!G25</f>
        <v>104368</v>
      </c>
      <c r="H25" s="332">
        <f>E25+'2019APR'!H25</f>
        <v>97182</v>
      </c>
      <c r="I25" s="14">
        <f t="shared" si="1"/>
        <v>0.9311474781542235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330">
        <f>SUM(D25:D26)</f>
        <v>22832</v>
      </c>
      <c r="E27" s="330">
        <f>SUM(E25:E26)</f>
        <v>20701</v>
      </c>
      <c r="F27" s="16">
        <f t="shared" si="0"/>
        <v>0.90666608269096005</v>
      </c>
      <c r="G27" s="330">
        <f>SUM(G25:G26)</f>
        <v>104368</v>
      </c>
      <c r="H27" s="330">
        <f>SUM(H25:H26)</f>
        <v>97182</v>
      </c>
      <c r="I27" s="16">
        <f t="shared" si="1"/>
        <v>0.9311474781542235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331">
        <f>SUM(D24,D27)</f>
        <v>41676</v>
      </c>
      <c r="E28" s="331">
        <f>SUM(E24,E27)</f>
        <v>38823</v>
      </c>
      <c r="F28" s="17">
        <f t="shared" si="0"/>
        <v>0.93154333429311831</v>
      </c>
      <c r="G28" s="331">
        <f>SUM(G24,G27)</f>
        <v>194002</v>
      </c>
      <c r="H28" s="331">
        <f>SUM(H24,H27)</f>
        <v>181704</v>
      </c>
      <c r="I28" s="17">
        <f t="shared" si="1"/>
        <v>0.9366089009391656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35</v>
      </c>
      <c r="C30" s="128" t="s">
        <v>29</v>
      </c>
      <c r="D30" s="328">
        <v>2900</v>
      </c>
      <c r="E30" s="329">
        <v>1209</v>
      </c>
      <c r="F30" s="14">
        <f>E30/D30</f>
        <v>0.41689655172413792</v>
      </c>
      <c r="G30" s="332">
        <f>D30+'2019APR'!G30</f>
        <v>14500</v>
      </c>
      <c r="H30" s="332">
        <f>E30+'2019APR'!H30</f>
        <v>14541</v>
      </c>
      <c r="I30" s="14">
        <f>H30/G30</f>
        <v>1.0028275862068965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328">
        <v>0</v>
      </c>
      <c r="E31" s="329">
        <v>1773</v>
      </c>
      <c r="F31" s="14" t="e">
        <f t="shared" ref="F31:F47" si="2">E31/D31</f>
        <v>#DIV/0!</v>
      </c>
      <c r="G31" s="332">
        <f>D31+'2019APR'!G31</f>
        <v>0</v>
      </c>
      <c r="H31" s="332">
        <f>E31+'2019APR'!H31</f>
        <v>8478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330">
        <f>SUM(D30:D31)</f>
        <v>2900</v>
      </c>
      <c r="E32" s="330">
        <f>SUM(E30:E31)</f>
        <v>2982</v>
      </c>
      <c r="F32" s="14">
        <f t="shared" si="2"/>
        <v>1.0282758620689656</v>
      </c>
      <c r="G32" s="330">
        <f>SUM(G30:G31)</f>
        <v>14500</v>
      </c>
      <c r="H32" s="330">
        <f>SUM(H30:H31)</f>
        <v>23019</v>
      </c>
      <c r="I32" s="14">
        <f t="shared" si="3"/>
        <v>1.5875172413793104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328">
        <v>0</v>
      </c>
      <c r="E33" s="329">
        <v>2865</v>
      </c>
      <c r="F33" s="14" t="e">
        <f t="shared" si="2"/>
        <v>#DIV/0!</v>
      </c>
      <c r="G33" s="332">
        <f>D33+'2019APR'!G33</f>
        <v>0</v>
      </c>
      <c r="H33" s="332">
        <f>E33+'2019APR'!H33</f>
        <v>8105</v>
      </c>
      <c r="I33" s="14" t="e">
        <f t="shared" si="3"/>
        <v>#DIV/0!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334">
        <f>SUM(D32,D33)</f>
        <v>2900</v>
      </c>
      <c r="E34" s="334">
        <f>SUM(E32,E33)</f>
        <v>5847</v>
      </c>
      <c r="F34" s="14">
        <f t="shared" si="2"/>
        <v>2.0162068965517244</v>
      </c>
      <c r="G34" s="334">
        <f>SUM(G32,G33)</f>
        <v>14500</v>
      </c>
      <c r="H34" s="334">
        <f>SUM(H32,H33)</f>
        <v>31124</v>
      </c>
      <c r="I34" s="14">
        <f t="shared" si="3"/>
        <v>2.1464827586206896</v>
      </c>
      <c r="J34" s="534"/>
      <c r="K34" s="534"/>
      <c r="L34" s="534"/>
      <c r="M34" s="543"/>
    </row>
    <row r="35" spans="1:13" ht="24.75" customHeight="1">
      <c r="A35" s="573" t="s">
        <v>37</v>
      </c>
      <c r="B35" s="555" t="s">
        <v>38</v>
      </c>
      <c r="C35" s="128" t="s">
        <v>39</v>
      </c>
      <c r="D35" s="328">
        <v>36232</v>
      </c>
      <c r="E35" s="333">
        <v>0</v>
      </c>
      <c r="F35" s="14">
        <f t="shared" si="2"/>
        <v>0</v>
      </c>
      <c r="G35" s="332">
        <f>D35+'2019APR'!G35</f>
        <v>181160</v>
      </c>
      <c r="H35" s="332">
        <f>E35+'2019APR'!H35</f>
        <v>170351</v>
      </c>
      <c r="I35" s="14">
        <f t="shared" si="3"/>
        <v>0.94033451092956499</v>
      </c>
      <c r="J35" s="670" t="s">
        <v>295</v>
      </c>
      <c r="K35" s="671"/>
      <c r="L35" s="671"/>
      <c r="M35" s="705"/>
    </row>
    <row r="36" spans="1:13">
      <c r="A36" s="573"/>
      <c r="B36" s="555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330">
        <f>SUM(D35:D36)</f>
        <v>36232</v>
      </c>
      <c r="E37" s="330">
        <f>SUM(E35:E36)</f>
        <v>0</v>
      </c>
      <c r="F37" s="16">
        <f t="shared" si="2"/>
        <v>0</v>
      </c>
      <c r="G37" s="341">
        <f>SUM(G35:G36)</f>
        <v>181160</v>
      </c>
      <c r="H37" s="341">
        <f>SUM(H35:H36)</f>
        <v>170351</v>
      </c>
      <c r="I37" s="16">
        <f t="shared" si="3"/>
        <v>0.94033451092956499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270</v>
      </c>
      <c r="D38" s="328">
        <v>0</v>
      </c>
      <c r="E38" s="329">
        <v>0</v>
      </c>
      <c r="F38" s="14" t="e">
        <f t="shared" si="2"/>
        <v>#DIV/0!</v>
      </c>
      <c r="G38" s="332">
        <f>D38+'2019APR'!G38</f>
        <v>0</v>
      </c>
      <c r="H38" s="332">
        <f>E38+'2019APR'!H38</f>
        <v>15217</v>
      </c>
      <c r="I38" s="14" t="e">
        <f t="shared" si="3"/>
        <v>#DIV/0!</v>
      </c>
      <c r="J38" s="525" t="s">
        <v>280</v>
      </c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330">
        <f>SUM(D38:D39)</f>
        <v>0</v>
      </c>
      <c r="E40" s="330">
        <f>SUM(E38:E39)</f>
        <v>0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334">
        <f>SUM(D37,D40)</f>
        <v>36232</v>
      </c>
      <c r="E41" s="334">
        <f>SUM(E37,E40)</f>
        <v>0</v>
      </c>
      <c r="F41" s="19">
        <f t="shared" si="2"/>
        <v>0</v>
      </c>
      <c r="G41" s="334">
        <f>SUM(G37,G40)</f>
        <v>181160</v>
      </c>
      <c r="H41" s="334">
        <f>SUM(H37,H40)</f>
        <v>185568</v>
      </c>
      <c r="I41" s="19">
        <f t="shared" si="3"/>
        <v>1.0243320821373372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335">
        <v>13000</v>
      </c>
      <c r="E42" s="336">
        <f>C140+E140+G140+I140</f>
        <v>20773</v>
      </c>
      <c r="F42" s="21">
        <f t="shared" si="2"/>
        <v>1.597923076923077</v>
      </c>
      <c r="G42" s="342">
        <f>D42+'2019APR'!G42</f>
        <v>63500</v>
      </c>
      <c r="H42" s="342">
        <f>E42+'2019APR'!H42</f>
        <v>83752</v>
      </c>
      <c r="I42" s="21">
        <f t="shared" si="3"/>
        <v>1.3189291338582678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337">
        <v>2000</v>
      </c>
      <c r="E43" s="338">
        <v>0</v>
      </c>
      <c r="F43" s="21">
        <f t="shared" si="2"/>
        <v>0</v>
      </c>
      <c r="G43" s="342">
        <f>D43+'2019APR'!G43</f>
        <v>10000</v>
      </c>
      <c r="H43" s="342">
        <f>E43+'2019APR'!H43</f>
        <v>451</v>
      </c>
      <c r="I43" s="21">
        <f t="shared" si="3"/>
        <v>4.5100000000000001E-2</v>
      </c>
      <c r="J43" s="572"/>
      <c r="K43" s="570"/>
      <c r="L43" s="570"/>
      <c r="M43" s="571"/>
    </row>
    <row r="44" spans="1:13" s="8" customFormat="1" ht="13.5" customHeight="1">
      <c r="A44" s="569" t="s">
        <v>45</v>
      </c>
      <c r="B44" s="570"/>
      <c r="C44" s="570"/>
      <c r="D44" s="337">
        <v>40000</v>
      </c>
      <c r="E44" s="338"/>
      <c r="F44" s="21">
        <f t="shared" si="2"/>
        <v>0</v>
      </c>
      <c r="G44" s="342">
        <f>D44+'2019APR'!G44</f>
        <v>200000</v>
      </c>
      <c r="H44" s="342">
        <f>E44+'2019APR'!H44</f>
        <v>240000</v>
      </c>
      <c r="I44" s="21">
        <f t="shared" si="3"/>
        <v>1.2</v>
      </c>
      <c r="J44" s="813" t="s">
        <v>296</v>
      </c>
      <c r="K44" s="813"/>
      <c r="L44" s="813"/>
      <c r="M44" s="814"/>
    </row>
    <row r="45" spans="1:13" s="8" customFormat="1">
      <c r="A45" s="587" t="s">
        <v>46</v>
      </c>
      <c r="B45" s="588"/>
      <c r="C45" s="589"/>
      <c r="D45" s="339">
        <f>SUM(D28,D34,D41,D42:D44)</f>
        <v>135808</v>
      </c>
      <c r="E45" s="339">
        <f>SUM(E28,E34,E41,E42:E44)</f>
        <v>65443</v>
      </c>
      <c r="F45" s="22">
        <f t="shared" si="2"/>
        <v>0.48187882893496703</v>
      </c>
      <c r="G45" s="339">
        <f>SUM(G28,G34,G41,G42:G44)</f>
        <v>663162</v>
      </c>
      <c r="H45" s="339">
        <f>SUM(H28,H34,H41,H42:H44)</f>
        <v>722599</v>
      </c>
      <c r="I45" s="22">
        <f t="shared" si="3"/>
        <v>1.0896266673904718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339">
        <f>D45-D42</f>
        <v>122808</v>
      </c>
      <c r="E46" s="339">
        <f>E45-E42</f>
        <v>44670</v>
      </c>
      <c r="F46" s="22">
        <f t="shared" si="2"/>
        <v>0.36373851866327928</v>
      </c>
      <c r="G46" s="339">
        <f>G45-G42</f>
        <v>599662</v>
      </c>
      <c r="H46" s="339">
        <f>H45-H42</f>
        <v>638847</v>
      </c>
      <c r="I46" s="22">
        <f t="shared" si="3"/>
        <v>1.0653451444313631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340">
        <f>D46-D44</f>
        <v>82808</v>
      </c>
      <c r="E47" s="340">
        <f>E46-E44</f>
        <v>44670</v>
      </c>
      <c r="F47" s="23">
        <f t="shared" si="2"/>
        <v>0.53944063375519269</v>
      </c>
      <c r="G47" s="340">
        <f>G46-G44</f>
        <v>399662</v>
      </c>
      <c r="H47" s="340">
        <f>H46-H44</f>
        <v>398847</v>
      </c>
      <c r="I47" s="23">
        <f t="shared" si="3"/>
        <v>0.99796077685644369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445" t="s">
        <v>23</v>
      </c>
      <c r="E52" s="445" t="s">
        <v>24</v>
      </c>
      <c r="F52" s="445" t="s">
        <v>25</v>
      </c>
      <c r="G52" s="445" t="s">
        <v>23</v>
      </c>
      <c r="H52" s="445" t="s">
        <v>24</v>
      </c>
      <c r="I52" s="445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20</v>
      </c>
      <c r="E53" s="450">
        <v>29</v>
      </c>
      <c r="F53" s="28">
        <f t="shared" ref="F53:F79" si="4">E53/D53</f>
        <v>1.45</v>
      </c>
      <c r="G53" s="66">
        <f>D53+'2019APR'!G53</f>
        <v>100</v>
      </c>
      <c r="H53" s="66">
        <f>E53+'2019APR'!H53</f>
        <v>96</v>
      </c>
      <c r="I53" s="28">
        <f t="shared" ref="I53:I79" si="5">H53/G53</f>
        <v>0.96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441</v>
      </c>
      <c r="E54" s="450">
        <v>492</v>
      </c>
      <c r="F54" s="28">
        <f t="shared" si="4"/>
        <v>1.1156462585034013</v>
      </c>
      <c r="G54" s="66">
        <f>D54+'2019APR'!G54</f>
        <v>2275</v>
      </c>
      <c r="H54" s="66">
        <f>E54+'2019APR'!H54</f>
        <v>2334</v>
      </c>
      <c r="I54" s="28">
        <f t="shared" si="5"/>
        <v>1.0259340659340659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448">
        <f>SUM(D53:D54)</f>
        <v>461</v>
      </c>
      <c r="E55" s="448">
        <f>SUM(E53:E54)</f>
        <v>521</v>
      </c>
      <c r="F55" s="30">
        <f t="shared" si="4"/>
        <v>1.1301518438177873</v>
      </c>
      <c r="G55" s="448">
        <f>SUM(G53:G54)</f>
        <v>2375</v>
      </c>
      <c r="H55" s="448">
        <f>SUM(H53:H54)</f>
        <v>2430</v>
      </c>
      <c r="I55" s="30">
        <f t="shared" si="5"/>
        <v>1.023157894736842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83</v>
      </c>
      <c r="E56" s="450">
        <v>59</v>
      </c>
      <c r="F56" s="28">
        <f t="shared" si="4"/>
        <v>0.71084337349397586</v>
      </c>
      <c r="G56" s="66">
        <f>D56+'2019APR'!G56</f>
        <v>415</v>
      </c>
      <c r="H56" s="66">
        <f>E56+'2019APR'!H56</f>
        <v>297</v>
      </c>
      <c r="I56" s="28">
        <f t="shared" si="5"/>
        <v>0.71566265060240963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1117</v>
      </c>
      <c r="E57" s="450">
        <v>1378</v>
      </c>
      <c r="F57" s="28">
        <f t="shared" si="4"/>
        <v>1.2336615935541628</v>
      </c>
      <c r="G57" s="66">
        <f>D57+'2019APR'!G57</f>
        <v>5759</v>
      </c>
      <c r="H57" s="66">
        <f>E57+'2019APR'!H57</f>
        <v>6407</v>
      </c>
      <c r="I57" s="28">
        <f t="shared" si="5"/>
        <v>1.1125195346414307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442">
        <f>SUM(D56:D57)</f>
        <v>1200</v>
      </c>
      <c r="E58" s="442">
        <f>SUM(E56:E57)</f>
        <v>1437</v>
      </c>
      <c r="F58" s="28">
        <f t="shared" si="4"/>
        <v>1.1975</v>
      </c>
      <c r="G58" s="442">
        <f>SUM(G56:G57)</f>
        <v>6174</v>
      </c>
      <c r="H58" s="442">
        <f>SUM(H56:H57)</f>
        <v>6704</v>
      </c>
      <c r="I58" s="31">
        <f t="shared" si="5"/>
        <v>1.0858438613540655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438">
        <f>SUM(D53,D56)</f>
        <v>103</v>
      </c>
      <c r="E59" s="438">
        <f>SUM(E53,E56)</f>
        <v>88</v>
      </c>
      <c r="F59" s="32">
        <f t="shared" si="4"/>
        <v>0.85436893203883491</v>
      </c>
      <c r="G59" s="438">
        <f>SUM(G53,G56)</f>
        <v>515</v>
      </c>
      <c r="H59" s="438">
        <f>SUM(H53,H56)</f>
        <v>393</v>
      </c>
      <c r="I59" s="32">
        <f t="shared" si="5"/>
        <v>0.76310679611650489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438">
        <f>SUM(D54,D57)</f>
        <v>1558</v>
      </c>
      <c r="E60" s="438">
        <f>SUM(E54,E57)</f>
        <v>1870</v>
      </c>
      <c r="F60" s="32">
        <f t="shared" si="4"/>
        <v>1.2002567394094994</v>
      </c>
      <c r="G60" s="438">
        <f>SUM(G54,G57)</f>
        <v>8034</v>
      </c>
      <c r="H60" s="438">
        <f>SUM(H54,H57)</f>
        <v>8741</v>
      </c>
      <c r="I60" s="32">
        <f t="shared" si="5"/>
        <v>1.0880009957679861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446">
        <f>SUM(D59:D60)</f>
        <v>1661</v>
      </c>
      <c r="E61" s="446">
        <f>SUM(E59:E60)</f>
        <v>1958</v>
      </c>
      <c r="F61" s="33">
        <f t="shared" si="4"/>
        <v>1.1788079470198676</v>
      </c>
      <c r="G61" s="446">
        <f>SUM(G59:G60)</f>
        <v>8549</v>
      </c>
      <c r="H61" s="446">
        <f>SUM(H59:H60)</f>
        <v>9134</v>
      </c>
      <c r="I61" s="33">
        <f t="shared" si="5"/>
        <v>1.068429056029945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70</v>
      </c>
      <c r="E62" s="444">
        <f>E71/10</f>
        <v>100.9</v>
      </c>
      <c r="F62" s="28">
        <f t="shared" si="4"/>
        <v>1.4414285714285715</v>
      </c>
      <c r="G62" s="66">
        <f>D62+'2019APR'!G62</f>
        <v>350</v>
      </c>
      <c r="H62" s="66">
        <f>E62+'2019APR'!H62</f>
        <v>333.9</v>
      </c>
      <c r="I62" s="28">
        <f t="shared" si="5"/>
        <v>0.95399999999999996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246">
        <v>1536</v>
      </c>
      <c r="E63" s="444">
        <f>E72/10</f>
        <v>1711.3</v>
      </c>
      <c r="F63" s="28">
        <f t="shared" si="4"/>
        <v>1.1141276041666666</v>
      </c>
      <c r="G63" s="248">
        <f>D63+'2019APR'!G63</f>
        <v>7920</v>
      </c>
      <c r="H63" s="66">
        <f>E63+'2019APR'!H63</f>
        <v>8118.3000000000011</v>
      </c>
      <c r="I63" s="28">
        <f t="shared" si="5"/>
        <v>1.0250378787878789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1606</v>
      </c>
      <c r="E64" s="448">
        <f>SUM(E62:E63)</f>
        <v>1812.2</v>
      </c>
      <c r="F64" s="30">
        <f t="shared" si="4"/>
        <v>1.1283935242839354</v>
      </c>
      <c r="G64" s="448">
        <f>SUM(G62:G63)</f>
        <v>8270</v>
      </c>
      <c r="H64" s="448">
        <f>SUM(H62:H63)</f>
        <v>8452.2000000000007</v>
      </c>
      <c r="I64" s="30">
        <f t="shared" si="5"/>
        <v>1.0220314389359131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124</v>
      </c>
      <c r="E65" s="444">
        <f>E74/10</f>
        <v>78.7</v>
      </c>
      <c r="F65" s="28">
        <f t="shared" si="4"/>
        <v>0.63467741935483868</v>
      </c>
      <c r="G65" s="66">
        <f>D65+'2019APR'!G65</f>
        <v>620</v>
      </c>
      <c r="H65" s="66">
        <f>E65+'2019APR'!H65</f>
        <v>406.4</v>
      </c>
      <c r="I65" s="28">
        <f t="shared" si="5"/>
        <v>0.65548387096774186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1665</v>
      </c>
      <c r="E66" s="444">
        <f>E75/10</f>
        <v>1991.4</v>
      </c>
      <c r="F66" s="28">
        <f t="shared" si="4"/>
        <v>1.196036036036036</v>
      </c>
      <c r="G66" s="66">
        <f>D66+'2019APR'!G66</f>
        <v>8582</v>
      </c>
      <c r="H66" s="66">
        <f>E66+'2019APR'!H66</f>
        <v>9311.7999999999993</v>
      </c>
      <c r="I66" s="28">
        <f t="shared" si="5"/>
        <v>1.0850384525751573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442">
        <f>SUM(D65:D66)</f>
        <v>1789</v>
      </c>
      <c r="E67" s="442">
        <f>SUM(E65:E66)</f>
        <v>2070.1</v>
      </c>
      <c r="F67" s="31">
        <f t="shared" si="4"/>
        <v>1.1571268865287869</v>
      </c>
      <c r="G67" s="442">
        <f>SUM(G65:G66)</f>
        <v>9202</v>
      </c>
      <c r="H67" s="442">
        <f>SUM(H65:H66)</f>
        <v>9718.1999999999989</v>
      </c>
      <c r="I67" s="31">
        <f t="shared" si="5"/>
        <v>1.0560965007607042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438">
        <f>SUM(D62,D65)</f>
        <v>194</v>
      </c>
      <c r="E68" s="438">
        <f>SUM(E62,E65)</f>
        <v>179.60000000000002</v>
      </c>
      <c r="F68" s="32">
        <f t="shared" si="4"/>
        <v>0.92577319587628881</v>
      </c>
      <c r="G68" s="438">
        <f>SUM(G62,G65)</f>
        <v>970</v>
      </c>
      <c r="H68" s="438">
        <f>SUM(H62,H65)</f>
        <v>740.3</v>
      </c>
      <c r="I68" s="32">
        <f t="shared" si="5"/>
        <v>0.7631958762886597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438">
        <f>SUM(D63,D66)</f>
        <v>3201</v>
      </c>
      <c r="E69" s="438">
        <f>SUM(E63,E66)</f>
        <v>3702.7</v>
      </c>
      <c r="F69" s="32">
        <f t="shared" si="4"/>
        <v>1.1567322711652608</v>
      </c>
      <c r="G69" s="438">
        <f>SUM(G63,G66)</f>
        <v>16502</v>
      </c>
      <c r="H69" s="438">
        <f>SUM(H63,H66)</f>
        <v>17430.099999999999</v>
      </c>
      <c r="I69" s="32">
        <f t="shared" si="5"/>
        <v>1.0562416676766451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446">
        <f>SUM(D68:D69)</f>
        <v>3395</v>
      </c>
      <c r="E70" s="446">
        <f>SUM(E68:E69)</f>
        <v>3882.2999999999997</v>
      </c>
      <c r="F70" s="34">
        <f t="shared" si="4"/>
        <v>1.1435346097201766</v>
      </c>
      <c r="G70" s="446">
        <f>SUM(G68:G69)</f>
        <v>17472</v>
      </c>
      <c r="H70" s="446">
        <f>SUM(H68:H69)</f>
        <v>18170.399999999998</v>
      </c>
      <c r="I70" s="34">
        <f t="shared" si="5"/>
        <v>1.0399725274725273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3480</v>
      </c>
      <c r="E71" s="450">
        <v>1009</v>
      </c>
      <c r="F71" s="28">
        <f t="shared" si="4"/>
        <v>0.2899425287356322</v>
      </c>
      <c r="G71" s="179">
        <f>D71+'2019APR'!G71</f>
        <v>10440</v>
      </c>
      <c r="H71" s="66">
        <f>E71+'2019APR'!H71</f>
        <v>3339</v>
      </c>
      <c r="I71" s="28">
        <f t="shared" si="5"/>
        <v>0.31982758620689655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246">
        <v>15364</v>
      </c>
      <c r="E72" s="341">
        <f>E23-E71</f>
        <v>17113</v>
      </c>
      <c r="F72" s="28">
        <f t="shared" si="4"/>
        <v>1.1138375423066911</v>
      </c>
      <c r="G72" s="248">
        <f>D72+'2019APR'!G72</f>
        <v>79194</v>
      </c>
      <c r="H72" s="332">
        <f>E72+'2019APR'!H72</f>
        <v>81183</v>
      </c>
      <c r="I72" s="28">
        <f t="shared" si="5"/>
        <v>1.0251155390559892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448">
        <f>SUM(D71:D72)</f>
        <v>18844</v>
      </c>
      <c r="E73" s="448">
        <f>SUM(E71:E72)</f>
        <v>18122</v>
      </c>
      <c r="F73" s="30">
        <f t="shared" si="4"/>
        <v>0.9616854171088941</v>
      </c>
      <c r="G73" s="448">
        <f>SUM(G71:G72)</f>
        <v>89634</v>
      </c>
      <c r="H73" s="448">
        <f>SUM(H71:H72)</f>
        <v>84522</v>
      </c>
      <c r="I73" s="30">
        <f t="shared" si="5"/>
        <v>0.94296807015195128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6184</v>
      </c>
      <c r="E74" s="450">
        <v>787</v>
      </c>
      <c r="F74" s="28">
        <f t="shared" si="4"/>
        <v>0.12726390685640362</v>
      </c>
      <c r="G74" s="179">
        <f>D74+'2019APR'!G74</f>
        <v>18551</v>
      </c>
      <c r="H74" s="66">
        <f>E74+'2019APR'!H74</f>
        <v>4064</v>
      </c>
      <c r="I74" s="28">
        <f t="shared" si="5"/>
        <v>0.21907174815373834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246">
        <v>16649</v>
      </c>
      <c r="E75" s="449">
        <f>E25-E74</f>
        <v>19914</v>
      </c>
      <c r="F75" s="28">
        <f t="shared" si="4"/>
        <v>1.1961078743468077</v>
      </c>
      <c r="G75" s="248">
        <f>D75+'2019APR'!G75</f>
        <v>85818</v>
      </c>
      <c r="H75" s="66">
        <f>E75+'2019APR'!H75</f>
        <v>93118</v>
      </c>
      <c r="I75" s="28">
        <f t="shared" si="5"/>
        <v>1.085063739541821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442">
        <f>SUM(D74:D75)</f>
        <v>22833</v>
      </c>
      <c r="E76" s="442">
        <f>SUM(E74:E75)</f>
        <v>20701</v>
      </c>
      <c r="F76" s="31">
        <f t="shared" si="4"/>
        <v>0.90662637410765123</v>
      </c>
      <c r="G76" s="442">
        <f>SUM(G74:G75)</f>
        <v>104369</v>
      </c>
      <c r="H76" s="442">
        <f>SUM(H74:H75)</f>
        <v>97182</v>
      </c>
      <c r="I76" s="31">
        <f t="shared" si="5"/>
        <v>0.93113855646791677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438">
        <f>SUM(D71,D74)</f>
        <v>9664</v>
      </c>
      <c r="E77" s="438">
        <f>SUM(E71,E74)</f>
        <v>1796</v>
      </c>
      <c r="F77" s="32">
        <f t="shared" si="4"/>
        <v>0.18584437086092714</v>
      </c>
      <c r="G77" s="438">
        <f>SUM(G71,G74)</f>
        <v>28991</v>
      </c>
      <c r="H77" s="438">
        <f>SUM(H71,H74)</f>
        <v>7403</v>
      </c>
      <c r="I77" s="32">
        <f t="shared" si="5"/>
        <v>0.25535511020661583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438">
        <f>SUM(D72,D75)</f>
        <v>32013</v>
      </c>
      <c r="E78" s="438">
        <f>SUM(E72,E75)</f>
        <v>37027</v>
      </c>
      <c r="F78" s="32">
        <f t="shared" si="4"/>
        <v>1.1566238715521819</v>
      </c>
      <c r="G78" s="438">
        <f>SUM(G72,G75)</f>
        <v>165012</v>
      </c>
      <c r="H78" s="438">
        <f>SUM(H72,H75)</f>
        <v>174301</v>
      </c>
      <c r="I78" s="32">
        <f t="shared" si="5"/>
        <v>1.0562928756696484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446">
        <f>SUM(D77:D78)</f>
        <v>41677</v>
      </c>
      <c r="E79" s="446">
        <f>SUM(E77:E78)</f>
        <v>38823</v>
      </c>
      <c r="F79" s="34">
        <f t="shared" si="4"/>
        <v>0.93152098279626649</v>
      </c>
      <c r="G79" s="446">
        <f>SUM(G77:G78)</f>
        <v>194003</v>
      </c>
      <c r="H79" s="446">
        <f>SUM(H77:H78)</f>
        <v>181704</v>
      </c>
      <c r="I79" s="34">
        <f t="shared" si="5"/>
        <v>0.93660407313288974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521</v>
      </c>
      <c r="E87" s="130"/>
      <c r="F87" s="134">
        <f>D87+'2019APR'!F87</f>
        <v>2430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29</v>
      </c>
      <c r="E88" s="128"/>
      <c r="F88" s="134">
        <f>D88+'2019APR'!F88</f>
        <v>96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6</v>
      </c>
      <c r="E89" s="128">
        <f>D89/D87</f>
        <v>1.1516314779270634E-2</v>
      </c>
      <c r="F89" s="134">
        <f>D89+'2019APR'!F89</f>
        <v>11</v>
      </c>
      <c r="G89" s="128">
        <f>F89/F87</f>
        <v>4.5267489711934153E-3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7</v>
      </c>
      <c r="E90" s="128">
        <f>D90/D92</f>
        <v>2.9288702928870293E-2</v>
      </c>
      <c r="F90" s="134">
        <f>D90+'2019APR'!F90</f>
        <v>229</v>
      </c>
      <c r="G90" s="128">
        <f>F90/F92</f>
        <v>0.19083333333333333</v>
      </c>
      <c r="H90" s="128"/>
    </row>
    <row r="91" spans="1:13" ht="15" customHeight="1">
      <c r="A91" s="774"/>
      <c r="B91" s="775" t="s">
        <v>202</v>
      </c>
      <c r="C91" s="775"/>
      <c r="D91" s="131">
        <v>266</v>
      </c>
      <c r="E91" s="128">
        <f>D91/D92</f>
        <v>1.112970711297071</v>
      </c>
      <c r="F91" s="134">
        <f>D91+'2019APR'!F91</f>
        <v>1077</v>
      </c>
      <c r="G91" s="128">
        <f>F91/F92</f>
        <v>0.89749999999999996</v>
      </c>
      <c r="H91" s="128"/>
    </row>
    <row r="92" spans="1:13" ht="15" customHeight="1">
      <c r="A92" s="774"/>
      <c r="B92" s="775" t="s">
        <v>203</v>
      </c>
      <c r="C92" s="775"/>
      <c r="D92" s="131">
        <v>239</v>
      </c>
      <c r="E92" s="130"/>
      <c r="F92" s="134">
        <f>D92+'2019APR'!F92</f>
        <v>1200</v>
      </c>
      <c r="G92" s="130"/>
      <c r="H92" s="128"/>
    </row>
    <row r="93" spans="1:13">
      <c r="C93" s="126" t="s">
        <v>210</v>
      </c>
      <c r="D93" s="132">
        <v>765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445" t="s">
        <v>23</v>
      </c>
      <c r="E97" s="445" t="s">
        <v>24</v>
      </c>
      <c r="F97" s="445" t="s">
        <v>25</v>
      </c>
      <c r="G97" s="445" t="s">
        <v>23</v>
      </c>
      <c r="H97" s="445" t="s">
        <v>24</v>
      </c>
      <c r="I97" s="445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450">
        <v>1</v>
      </c>
      <c r="F98" s="37" t="e">
        <f>E98/D98</f>
        <v>#DIV/0!</v>
      </c>
      <c r="G98" s="66">
        <f>D98+'2019APR'!G98</f>
        <v>0</v>
      </c>
      <c r="H98" s="66">
        <f>E98+'2019APR'!H98</f>
        <v>1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39</v>
      </c>
      <c r="E99" s="450">
        <v>19</v>
      </c>
      <c r="F99" s="28">
        <f t="shared" ref="F99:F115" si="6">E99/D99</f>
        <v>0.48717948717948717</v>
      </c>
      <c r="G99" s="66">
        <f>D99+'2019APR'!G99</f>
        <v>195</v>
      </c>
      <c r="H99" s="66">
        <f>E99+'2019APR'!H99</f>
        <v>101</v>
      </c>
      <c r="I99" s="28">
        <f t="shared" ref="I99:I115" si="7">H99/G99</f>
        <v>0.517948717948718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448">
        <f>SUM(D98:D99)</f>
        <v>39</v>
      </c>
      <c r="E100" s="448">
        <f>SUM(E98:E99)</f>
        <v>20</v>
      </c>
      <c r="F100" s="30">
        <f t="shared" si="6"/>
        <v>0.51282051282051277</v>
      </c>
      <c r="G100" s="448">
        <f>SUM(G98:G99)</f>
        <v>195</v>
      </c>
      <c r="H100" s="448">
        <f>SUM(H98:H99)</f>
        <v>102</v>
      </c>
      <c r="I100" s="30">
        <f t="shared" si="7"/>
        <v>0.52307692307692311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450">
        <v>1</v>
      </c>
      <c r="F101" s="28" t="e">
        <f t="shared" si="6"/>
        <v>#DIV/0!</v>
      </c>
      <c r="G101" s="66">
        <f>D101+'2019APR'!G101</f>
        <v>0</v>
      </c>
      <c r="H101" s="66">
        <f>E101+'2019APR'!H101</f>
        <v>1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9</v>
      </c>
      <c r="E102" s="450">
        <v>9</v>
      </c>
      <c r="F102" s="28">
        <f t="shared" si="6"/>
        <v>1</v>
      </c>
      <c r="G102" s="66">
        <f>D102+'2019APR'!G102</f>
        <v>45</v>
      </c>
      <c r="H102" s="66">
        <f>E102+'2019APR'!H102</f>
        <v>45</v>
      </c>
      <c r="I102" s="28">
        <f t="shared" si="7"/>
        <v>1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448">
        <f>SUM(D101:D102)</f>
        <v>9</v>
      </c>
      <c r="E103" s="448">
        <f>SUM(E101:E102)</f>
        <v>10</v>
      </c>
      <c r="F103" s="30">
        <f t="shared" si="6"/>
        <v>1.1111111111111112</v>
      </c>
      <c r="G103" s="448">
        <f>SUM(G101:G102)</f>
        <v>45</v>
      </c>
      <c r="H103" s="448">
        <f>SUM(H101:H102)</f>
        <v>46</v>
      </c>
      <c r="I103" s="30">
        <f t="shared" si="7"/>
        <v>1.0222222222222221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8</v>
      </c>
      <c r="E104" s="450">
        <v>19</v>
      </c>
      <c r="F104" s="28">
        <f t="shared" si="6"/>
        <v>2.375</v>
      </c>
      <c r="G104" s="66">
        <f>D104+'2019APR'!G104</f>
        <v>43</v>
      </c>
      <c r="H104" s="66">
        <f>E104+'2019APR'!H104</f>
        <v>42</v>
      </c>
      <c r="I104" s="28">
        <f t="shared" si="7"/>
        <v>0.97674418604651159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106</v>
      </c>
      <c r="E105" s="450">
        <v>93</v>
      </c>
      <c r="F105" s="28">
        <f t="shared" si="6"/>
        <v>0.87735849056603776</v>
      </c>
      <c r="G105" s="66">
        <f>D105+'2019APR'!G105</f>
        <v>446</v>
      </c>
      <c r="H105" s="66">
        <f>E105+'2019APR'!H105</f>
        <v>386</v>
      </c>
      <c r="I105" s="28">
        <f t="shared" si="7"/>
        <v>0.86547085201793716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448">
        <f>SUM(D104:D105)</f>
        <v>114</v>
      </c>
      <c r="E106" s="448">
        <f>SUM(E104:E105)</f>
        <v>112</v>
      </c>
      <c r="F106" s="30">
        <f t="shared" si="6"/>
        <v>0.98245614035087714</v>
      </c>
      <c r="G106" s="448">
        <f>SUM(G104:G105)</f>
        <v>489</v>
      </c>
      <c r="H106" s="448">
        <f>SUM(H104:H105)</f>
        <v>428</v>
      </c>
      <c r="I106" s="30">
        <f t="shared" si="7"/>
        <v>0.87525562372188137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1</v>
      </c>
      <c r="E107" s="450">
        <v>1</v>
      </c>
      <c r="F107" s="28">
        <f>E107/D107</f>
        <v>1</v>
      </c>
      <c r="G107" s="66">
        <f>D107+'2019APR'!G107</f>
        <v>6</v>
      </c>
      <c r="H107" s="66">
        <f>E107+'2019APR'!H107</f>
        <v>5</v>
      </c>
      <c r="I107" s="28">
        <f>H107/G107</f>
        <v>0.83333333333333337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144</v>
      </c>
      <c r="E108" s="450">
        <v>140</v>
      </c>
      <c r="F108" s="28">
        <f>E108/D108</f>
        <v>0.97222222222222221</v>
      </c>
      <c r="G108" s="66">
        <f>D108+'2019APR'!G108</f>
        <v>705</v>
      </c>
      <c r="H108" s="66">
        <f>E108+'2019APR'!H108</f>
        <v>688</v>
      </c>
      <c r="I108" s="28">
        <f t="shared" si="7"/>
        <v>0.975886524822695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448">
        <f>SUM(D107:D108)</f>
        <v>145</v>
      </c>
      <c r="E109" s="448">
        <f>SUM(E107:E108)</f>
        <v>141</v>
      </c>
      <c r="F109" s="30">
        <f t="shared" si="6"/>
        <v>0.97241379310344822</v>
      </c>
      <c r="G109" s="448">
        <f>SUM(G107:G108)</f>
        <v>711</v>
      </c>
      <c r="H109" s="448">
        <f>SUM(H107:H108)</f>
        <v>693</v>
      </c>
      <c r="I109" s="30">
        <f t="shared" si="7"/>
        <v>0.97468354430379744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9</v>
      </c>
      <c r="E110" s="450">
        <v>5</v>
      </c>
      <c r="F110" s="30">
        <f>E110/D110</f>
        <v>0.55555555555555558</v>
      </c>
      <c r="G110" s="66">
        <f>D110+'2019APR'!G110</f>
        <v>46</v>
      </c>
      <c r="H110" s="66">
        <f>E110+'2019APR'!H110</f>
        <v>40</v>
      </c>
      <c r="I110" s="30">
        <f>H110/G110</f>
        <v>0.86956521739130432</v>
      </c>
      <c r="J110" s="439"/>
      <c r="K110" s="440"/>
      <c r="L110" s="440"/>
      <c r="M110" s="441"/>
    </row>
    <row r="111" spans="1:13">
      <c r="A111" s="573"/>
      <c r="B111" s="777"/>
      <c r="C111" s="27" t="s">
        <v>70</v>
      </c>
      <c r="D111" s="65">
        <v>119</v>
      </c>
      <c r="E111" s="450">
        <v>107</v>
      </c>
      <c r="F111" s="30">
        <f t="shared" ref="F111:F112" si="8">E111/D111</f>
        <v>0.89915966386554624</v>
      </c>
      <c r="G111" s="66">
        <f>D111+'2019APR'!G111</f>
        <v>504</v>
      </c>
      <c r="H111" s="66">
        <f>E111+'2019APR'!H111</f>
        <v>490</v>
      </c>
      <c r="I111" s="30">
        <f t="shared" ref="I111:I112" si="9">H111/G111</f>
        <v>0.97222222222222221</v>
      </c>
      <c r="J111" s="439"/>
      <c r="K111" s="440"/>
      <c r="L111" s="440"/>
      <c r="M111" s="441"/>
    </row>
    <row r="112" spans="1:13">
      <c r="A112" s="573"/>
      <c r="B112" s="778"/>
      <c r="C112" s="38" t="s">
        <v>166</v>
      </c>
      <c r="D112" s="448">
        <f>SUM(D110:D111)</f>
        <v>128</v>
      </c>
      <c r="E112" s="448">
        <f>SUM(E110:E111)</f>
        <v>112</v>
      </c>
      <c r="F112" s="30">
        <f t="shared" si="8"/>
        <v>0.875</v>
      </c>
      <c r="G112" s="448">
        <f>SUM(G110:G111)</f>
        <v>550</v>
      </c>
      <c r="H112" s="448">
        <f>SUM(H110:H111)</f>
        <v>530</v>
      </c>
      <c r="I112" s="30">
        <f t="shared" si="9"/>
        <v>0.96363636363636362</v>
      </c>
      <c r="J112" s="439"/>
      <c r="K112" s="440"/>
      <c r="L112" s="440"/>
      <c r="M112" s="441"/>
    </row>
    <row r="113" spans="1:13">
      <c r="A113" s="573"/>
      <c r="B113" s="603" t="s">
        <v>46</v>
      </c>
      <c r="C113" s="39" t="s">
        <v>69</v>
      </c>
      <c r="D113" s="442">
        <f>SUM(D98,D101,D104,D107,D110)</f>
        <v>18</v>
      </c>
      <c r="E113" s="442">
        <f>SUM(E98,E101,E104,E107,E110)</f>
        <v>27</v>
      </c>
      <c r="F113" s="31">
        <f t="shared" si="6"/>
        <v>1.5</v>
      </c>
      <c r="G113" s="442">
        <f>SUM(G98,G101,G104,G107,G110)</f>
        <v>95</v>
      </c>
      <c r="H113" s="442">
        <f>SUM(H98,H101,H104,H107,H110)</f>
        <v>89</v>
      </c>
      <c r="I113" s="31">
        <f t="shared" si="7"/>
        <v>0.93684210526315792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442">
        <f>SUM(D99,D102,D105,D108,D111)</f>
        <v>417</v>
      </c>
      <c r="E114" s="442">
        <f>SUM(E99,E102,E105,E108,E111)</f>
        <v>368</v>
      </c>
      <c r="F114" s="31">
        <f t="shared" si="6"/>
        <v>0.88249400479616302</v>
      </c>
      <c r="G114" s="442">
        <f>SUM(G99,G102,G105,G108,G111)</f>
        <v>1895</v>
      </c>
      <c r="H114" s="442">
        <f>SUM(H99,H102,H105,H108,H111)</f>
        <v>1710</v>
      </c>
      <c r="I114" s="31">
        <f t="shared" si="7"/>
        <v>0.90237467018469653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443">
        <f>SUM(D113:D114)</f>
        <v>435</v>
      </c>
      <c r="E115" s="443">
        <f>SUM(E113:E114)</f>
        <v>395</v>
      </c>
      <c r="F115" s="41">
        <f t="shared" si="6"/>
        <v>0.90804597701149425</v>
      </c>
      <c r="G115" s="443">
        <f>SUM(G113:G114)</f>
        <v>1990</v>
      </c>
      <c r="H115" s="443">
        <f>SUM(H113:H114)</f>
        <v>1799</v>
      </c>
      <c r="I115" s="41">
        <f t="shared" si="7"/>
        <v>0.90402010050251258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1</v>
      </c>
      <c r="E116" s="64">
        <v>1</v>
      </c>
      <c r="F116" s="43">
        <f>E116/D116</f>
        <v>1</v>
      </c>
      <c r="G116" s="70">
        <f>D116+'2019APR'!G116</f>
        <v>3</v>
      </c>
      <c r="H116" s="70">
        <f>E116+'2019APR'!H116</f>
        <v>3</v>
      </c>
      <c r="I116" s="43">
        <f>H116/G116</f>
        <v>1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79</v>
      </c>
      <c r="E117" s="450">
        <v>78</v>
      </c>
      <c r="F117" s="28">
        <f t="shared" ref="F117:F126" si="10">E117/D117</f>
        <v>0.98734177215189878</v>
      </c>
      <c r="G117" s="71">
        <f>D117+'2019APR'!G117</f>
        <v>388</v>
      </c>
      <c r="H117" s="71">
        <f>E117+'2019APR'!H117</f>
        <v>393</v>
      </c>
      <c r="I117" s="28">
        <f t="shared" ref="I117:I126" si="11">H117/G117</f>
        <v>1.0128865979381443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448">
        <f>SUM(D116:D117)</f>
        <v>80</v>
      </c>
      <c r="E118" s="448">
        <f>SUM(E116:E117)</f>
        <v>79</v>
      </c>
      <c r="F118" s="30">
        <f t="shared" si="10"/>
        <v>0.98750000000000004</v>
      </c>
      <c r="G118" s="448">
        <f>SUM(G116:G117)</f>
        <v>391</v>
      </c>
      <c r="H118" s="448">
        <f>SUM(H116:H117)</f>
        <v>396</v>
      </c>
      <c r="I118" s="30">
        <f t="shared" si="11"/>
        <v>1.0127877237851663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1</v>
      </c>
      <c r="E119" s="450">
        <v>1</v>
      </c>
      <c r="F119" s="28">
        <f t="shared" si="10"/>
        <v>1</v>
      </c>
      <c r="G119" s="66">
        <f>D119+'2019APR'!G119</f>
        <v>2</v>
      </c>
      <c r="H119" s="66">
        <f>E119+'2019APR'!H119</f>
        <v>4</v>
      </c>
      <c r="I119" s="28">
        <f t="shared" si="11"/>
        <v>2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53</v>
      </c>
      <c r="E120" s="450">
        <v>46</v>
      </c>
      <c r="F120" s="28">
        <f t="shared" si="10"/>
        <v>0.86792452830188682</v>
      </c>
      <c r="G120" s="66">
        <f>D120+'2019APR'!G120</f>
        <v>262</v>
      </c>
      <c r="H120" s="66">
        <f>E120+'2019APR'!H120</f>
        <v>231</v>
      </c>
      <c r="I120" s="28">
        <f t="shared" si="11"/>
        <v>0.88167938931297707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448">
        <f>SUM(D119:D120)</f>
        <v>54</v>
      </c>
      <c r="E121" s="448">
        <f>SUM(E119:E120)</f>
        <v>47</v>
      </c>
      <c r="F121" s="30">
        <f t="shared" si="10"/>
        <v>0.87037037037037035</v>
      </c>
      <c r="G121" s="448">
        <f>SUM(G119:G120)</f>
        <v>264</v>
      </c>
      <c r="H121" s="448">
        <f>SUM(H119:H120)</f>
        <v>235</v>
      </c>
      <c r="I121" s="30">
        <f t="shared" si="11"/>
        <v>0.89015151515151514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442">
        <f>SUM(D116,D119)</f>
        <v>2</v>
      </c>
      <c r="E122" s="442">
        <f>SUM(E116,E119)</f>
        <v>2</v>
      </c>
      <c r="F122" s="30">
        <f t="shared" si="10"/>
        <v>1</v>
      </c>
      <c r="G122" s="442">
        <f>SUM(G116,G119)</f>
        <v>5</v>
      </c>
      <c r="H122" s="442">
        <f>SUM(H116,H119)</f>
        <v>7</v>
      </c>
      <c r="I122" s="30">
        <f t="shared" si="11"/>
        <v>1.4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442">
        <f>SUM(D117,D120)</f>
        <v>132</v>
      </c>
      <c r="E123" s="442">
        <f>SUM(E117,E120)</f>
        <v>124</v>
      </c>
      <c r="F123" s="30">
        <f t="shared" si="10"/>
        <v>0.93939393939393945</v>
      </c>
      <c r="G123" s="442">
        <f>SUM(G117,G120)</f>
        <v>650</v>
      </c>
      <c r="H123" s="442">
        <f>SUM(H117,H120)</f>
        <v>624</v>
      </c>
      <c r="I123" s="30">
        <f t="shared" si="11"/>
        <v>0.96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443">
        <f>SUM(D122:D123)</f>
        <v>134</v>
      </c>
      <c r="E124" s="443">
        <f>SUM(E122:E123)</f>
        <v>126</v>
      </c>
      <c r="F124" s="41">
        <f t="shared" si="10"/>
        <v>0.94029850746268662</v>
      </c>
      <c r="G124" s="443">
        <f>SUM(G122:G123)</f>
        <v>655</v>
      </c>
      <c r="H124" s="443">
        <f>SUM(H122:H123)</f>
        <v>631</v>
      </c>
      <c r="I124" s="41">
        <f t="shared" si="11"/>
        <v>0.9633587786259542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437">
        <f>SUM(D113,D122)</f>
        <v>20</v>
      </c>
      <c r="E125" s="437">
        <f>SUM(E113,E122)</f>
        <v>29</v>
      </c>
      <c r="F125" s="45">
        <f t="shared" si="10"/>
        <v>1.45</v>
      </c>
      <c r="G125" s="46">
        <f>SUM(G113,G122)</f>
        <v>100</v>
      </c>
      <c r="H125" s="46">
        <f>SUM(H113,H122)</f>
        <v>96</v>
      </c>
      <c r="I125" s="45">
        <f t="shared" si="11"/>
        <v>0.96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438">
        <f>SUM(D114,D123)</f>
        <v>549</v>
      </c>
      <c r="E126" s="438">
        <f>SUM(E114,E123)</f>
        <v>492</v>
      </c>
      <c r="F126" s="32">
        <f t="shared" si="10"/>
        <v>0.89617486338797814</v>
      </c>
      <c r="G126" s="438">
        <f>SUM(G114,G123)</f>
        <v>2545</v>
      </c>
      <c r="H126" s="438">
        <f>SUM(H114,H123)</f>
        <v>2334</v>
      </c>
      <c r="I126" s="32">
        <f t="shared" si="11"/>
        <v>0.91709233791748523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438">
        <f>SUM(D125:D126)</f>
        <v>569</v>
      </c>
      <c r="E127" s="438">
        <f>SUM(E125:E126)</f>
        <v>521</v>
      </c>
      <c r="F127" s="49">
        <f>E127/D127</f>
        <v>0.91564147627416526</v>
      </c>
      <c r="G127" s="437">
        <f>SUM(G125:G126)</f>
        <v>2645</v>
      </c>
      <c r="H127" s="437">
        <f>SUM(H125:H126)</f>
        <v>2430</v>
      </c>
      <c r="I127" s="49">
        <f>H127/G127</f>
        <v>0.91871455576559546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226</v>
      </c>
      <c r="J134" s="631"/>
      <c r="K134" s="632"/>
      <c r="L134" s="634"/>
    </row>
    <row r="135" spans="1:12">
      <c r="A135" s="628" t="s">
        <v>91</v>
      </c>
      <c r="B135" s="629"/>
      <c r="C135" s="649">
        <v>0</v>
      </c>
      <c r="D135" s="650"/>
      <c r="E135" s="649">
        <v>5</v>
      </c>
      <c r="F135" s="650"/>
      <c r="G135" s="649">
        <v>2</v>
      </c>
      <c r="H135" s="650"/>
      <c r="I135" s="649">
        <v>13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436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436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436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436" t="s">
        <v>99</v>
      </c>
      <c r="C140" s="656">
        <v>232</v>
      </c>
      <c r="D140" s="656"/>
      <c r="E140" s="656">
        <v>143</v>
      </c>
      <c r="F140" s="656"/>
      <c r="G140" s="656">
        <v>36</v>
      </c>
      <c r="H140" s="656"/>
      <c r="I140" s="770">
        <v>20362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221</v>
      </c>
      <c r="D145" s="663"/>
      <c r="E145" s="664"/>
      <c r="F145" s="662" t="s">
        <v>217</v>
      </c>
      <c r="G145" s="663"/>
      <c r="H145" s="663"/>
      <c r="I145" s="664"/>
      <c r="J145" s="663" t="s">
        <v>222</v>
      </c>
      <c r="K145" s="663"/>
      <c r="L145" s="663"/>
      <c r="M145" s="665"/>
    </row>
    <row r="146" spans="1:13" ht="47.25" customHeight="1">
      <c r="A146" s="716" t="s">
        <v>103</v>
      </c>
      <c r="B146" s="717"/>
      <c r="C146" s="718" t="s">
        <v>301</v>
      </c>
      <c r="D146" s="723"/>
      <c r="E146" s="724"/>
      <c r="F146" s="744" t="s">
        <v>300</v>
      </c>
      <c r="G146" s="748"/>
      <c r="H146" s="748"/>
      <c r="I146" s="749"/>
      <c r="J146" s="745" t="s">
        <v>302</v>
      </c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282</v>
      </c>
      <c r="D148" s="719"/>
      <c r="E148" s="720"/>
      <c r="F148" s="744" t="s">
        <v>282</v>
      </c>
      <c r="G148" s="745"/>
      <c r="H148" s="745"/>
      <c r="I148" s="746"/>
      <c r="J148" s="744" t="s">
        <v>282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434" t="s">
        <v>109</v>
      </c>
      <c r="C154" s="434" t="s">
        <v>110</v>
      </c>
      <c r="D154" s="434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/>
      <c r="B155" s="291">
        <f>'2019APR'!H155</f>
        <v>90</v>
      </c>
      <c r="C155" s="63">
        <f>E45-E44</f>
        <v>65443</v>
      </c>
      <c r="D155" s="73">
        <f>100000</f>
        <v>100000</v>
      </c>
      <c r="E155" s="681" t="s">
        <v>114</v>
      </c>
      <c r="F155" s="681"/>
      <c r="G155" s="681"/>
      <c r="H155" s="72">
        <f>C155+A155+B155-D155</f>
        <v>-34467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97564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449"/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19046</v>
      </c>
      <c r="H165" s="790"/>
      <c r="I165" s="791"/>
      <c r="J165" s="791"/>
      <c r="K165" s="792"/>
    </row>
    <row r="166" spans="1:11" ht="14">
      <c r="A166" s="433" t="s">
        <v>126</v>
      </c>
      <c r="B166" s="789" t="s">
        <v>127</v>
      </c>
      <c r="C166" s="789"/>
      <c r="D166" s="789"/>
      <c r="E166" s="789"/>
      <c r="F166" s="789"/>
      <c r="G166" s="450">
        <v>1911</v>
      </c>
      <c r="H166" s="790"/>
      <c r="I166" s="791"/>
      <c r="J166" s="791"/>
      <c r="K166" s="792"/>
    </row>
    <row r="167" spans="1:11" ht="14">
      <c r="A167" s="433" t="s">
        <v>128</v>
      </c>
      <c r="B167" s="789" t="s">
        <v>129</v>
      </c>
      <c r="C167" s="789"/>
      <c r="D167" s="789"/>
      <c r="E167" s="789"/>
      <c r="F167" s="789"/>
      <c r="G167" s="449"/>
      <c r="H167" s="790"/>
      <c r="I167" s="791"/>
      <c r="J167" s="791"/>
      <c r="K167" s="792"/>
    </row>
  </sheetData>
  <mergeCells count="290"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</mergeCells>
  <phoneticPr fontId="20"/>
  <dataValidations count="2">
    <dataValidation type="list" allowBlank="1" showInputMessage="1" showErrorMessage="1" sqref="L3" xr:uid="{C3981200-1093-464B-8F89-3EFBB2E30C9B}">
      <formula1>"USA, JAPAN"</formula1>
    </dataValidation>
    <dataValidation type="list" allowBlank="1" showInputMessage="1" showErrorMessage="1" sqref="G1" xr:uid="{6B646D4E-DB2D-4A0A-B5D0-DACF5095B014}">
      <formula1>"Jan, Feb, March, April, May, June, July, Aug, Sep, Oct, Nov, Dec"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7EBDC-4D20-4057-BD0B-9A233AE81592}">
  <sheetPr codeName="Sheet31">
    <pageSetUpPr fitToPage="1"/>
  </sheetPr>
  <dimension ref="A1:N167"/>
  <sheetViews>
    <sheetView topLeftCell="A139" zoomScale="90" zoomScaleNormal="90" zoomScaleSheetLayoutView="85" workbookViewId="0">
      <selection activeCell="C155" sqref="C155"/>
    </sheetView>
  </sheetViews>
  <sheetFormatPr baseColWidth="10" defaultColWidth="9" defaultRowHeight="13"/>
  <cols>
    <col min="1" max="1" width="15.83203125" style="126" customWidth="1"/>
    <col min="2" max="2" width="17.6640625" style="126" customWidth="1"/>
    <col min="3" max="3" width="27.6640625" style="126" customWidth="1"/>
    <col min="4" max="4" width="11.83203125" style="126" customWidth="1"/>
    <col min="5" max="5" width="12" style="126" customWidth="1"/>
    <col min="6" max="6" width="9" style="126"/>
    <col min="7" max="7" width="11" style="126" customWidth="1"/>
    <col min="8" max="8" width="12" style="126" customWidth="1"/>
    <col min="9" max="11" width="9" style="126"/>
    <col min="12" max="12" width="10.5" style="126" customWidth="1"/>
    <col min="13" max="16384" width="9" style="126"/>
  </cols>
  <sheetData>
    <row r="1" spans="1:13" ht="20">
      <c r="A1" s="522" t="s">
        <v>0</v>
      </c>
      <c r="B1" s="522"/>
      <c r="C1" s="522"/>
      <c r="D1" s="522"/>
      <c r="E1" s="522"/>
      <c r="F1" s="522"/>
      <c r="G1" s="1" t="s">
        <v>143</v>
      </c>
      <c r="H1" s="2">
        <v>2019</v>
      </c>
      <c r="I1" s="3"/>
      <c r="J1" s="3"/>
      <c r="K1" s="3"/>
      <c r="L1" s="3"/>
      <c r="M1" s="3"/>
    </row>
    <row r="3" spans="1:13" ht="16">
      <c r="J3" s="523" t="s">
        <v>1</v>
      </c>
      <c r="K3" s="523"/>
      <c r="L3" s="524" t="s">
        <v>2</v>
      </c>
      <c r="M3" s="524"/>
    </row>
    <row r="5" spans="1:13">
      <c r="J5" s="525" t="s">
        <v>3</v>
      </c>
      <c r="K5" s="525"/>
      <c r="L5" s="525" t="s">
        <v>275</v>
      </c>
      <c r="M5" s="525"/>
    </row>
    <row r="6" spans="1:13">
      <c r="J6" s="525" t="s">
        <v>5</v>
      </c>
      <c r="K6" s="525"/>
      <c r="L6" s="525" t="s">
        <v>175</v>
      </c>
      <c r="M6" s="525"/>
    </row>
    <row r="7" spans="1:13">
      <c r="J7" s="773" t="s">
        <v>6</v>
      </c>
      <c r="K7" s="773"/>
      <c r="L7" s="702">
        <v>43656</v>
      </c>
      <c r="M7" s="538"/>
    </row>
    <row r="8" spans="1:13" ht="15" thickBot="1">
      <c r="A8" s="127" t="s">
        <v>7</v>
      </c>
    </row>
    <row r="9" spans="1:13" ht="28">
      <c r="A9" s="531" t="s">
        <v>8</v>
      </c>
      <c r="B9" s="533"/>
      <c r="C9" s="452" t="s">
        <v>181</v>
      </c>
      <c r="D9" s="6" t="s">
        <v>9</v>
      </c>
      <c r="E9" s="533" t="s">
        <v>10</v>
      </c>
      <c r="F9" s="533"/>
      <c r="G9" s="533"/>
      <c r="H9" s="533"/>
      <c r="I9" s="536"/>
    </row>
    <row r="10" spans="1:13">
      <c r="A10" s="537" t="s">
        <v>11</v>
      </c>
      <c r="B10" s="451" t="s">
        <v>176</v>
      </c>
      <c r="C10" s="61">
        <v>2</v>
      </c>
      <c r="D10" s="455">
        <v>2</v>
      </c>
      <c r="E10" s="538" t="s">
        <v>276</v>
      </c>
      <c r="F10" s="538"/>
      <c r="G10" s="538"/>
      <c r="H10" s="538"/>
      <c r="I10" s="539"/>
    </row>
    <row r="11" spans="1:13">
      <c r="A11" s="537"/>
      <c r="B11" s="451" t="s">
        <v>177</v>
      </c>
      <c r="C11" s="61">
        <v>2</v>
      </c>
      <c r="D11" s="455">
        <v>2</v>
      </c>
      <c r="E11" s="805" t="s">
        <v>183</v>
      </c>
      <c r="F11" s="541"/>
      <c r="G11" s="541"/>
      <c r="H11" s="541"/>
      <c r="I11" s="542"/>
    </row>
    <row r="12" spans="1:13">
      <c r="A12" s="537"/>
      <c r="B12" s="451" t="s">
        <v>179</v>
      </c>
      <c r="C12" s="61">
        <v>2</v>
      </c>
      <c r="D12" s="455">
        <v>3</v>
      </c>
      <c r="E12" s="768" t="s">
        <v>292</v>
      </c>
      <c r="F12" s="538"/>
      <c r="G12" s="538"/>
      <c r="H12" s="538"/>
      <c r="I12" s="539"/>
    </row>
    <row r="13" spans="1:13">
      <c r="A13" s="537"/>
      <c r="B13" s="451" t="s">
        <v>180</v>
      </c>
      <c r="C13" s="61">
        <v>3</v>
      </c>
      <c r="D13" s="455">
        <v>2</v>
      </c>
      <c r="E13" s="538" t="s">
        <v>293</v>
      </c>
      <c r="F13" s="538"/>
      <c r="G13" s="538"/>
      <c r="H13" s="538"/>
      <c r="I13" s="539"/>
    </row>
    <row r="14" spans="1:13">
      <c r="A14" s="537"/>
      <c r="B14" s="451" t="s">
        <v>12</v>
      </c>
      <c r="C14" s="61">
        <v>0</v>
      </c>
      <c r="D14" s="455">
        <v>0</v>
      </c>
      <c r="E14" s="540"/>
      <c r="F14" s="541"/>
      <c r="G14" s="541"/>
      <c r="H14" s="541"/>
      <c r="I14" s="542"/>
    </row>
    <row r="15" spans="1:13">
      <c r="A15" s="537"/>
      <c r="B15" s="451" t="s">
        <v>13</v>
      </c>
      <c r="C15" s="61">
        <v>2</v>
      </c>
      <c r="D15" s="455">
        <v>2</v>
      </c>
      <c r="E15" s="768" t="s">
        <v>303</v>
      </c>
      <c r="F15" s="538"/>
      <c r="G15" s="538"/>
      <c r="H15" s="538"/>
      <c r="I15" s="539"/>
    </row>
    <row r="16" spans="1:13" s="8" customFormat="1" ht="14" thickBot="1">
      <c r="A16" s="526" t="s">
        <v>14</v>
      </c>
      <c r="B16" s="527"/>
      <c r="C16" s="7">
        <f>SUM(C10:C15)</f>
        <v>11</v>
      </c>
      <c r="D16" s="7">
        <f>SUM(D10:D15)</f>
        <v>11</v>
      </c>
      <c r="E16" s="528" t="s">
        <v>15</v>
      </c>
      <c r="F16" s="529"/>
      <c r="G16" s="529"/>
      <c r="H16" s="529"/>
      <c r="I16" s="530"/>
    </row>
    <row r="17" spans="1:13" s="11" customFormat="1">
      <c r="A17" s="9"/>
      <c r="B17" s="9"/>
      <c r="C17" s="9"/>
      <c r="D17" s="9"/>
      <c r="E17" s="10"/>
      <c r="F17" s="9"/>
      <c r="G17" s="9"/>
      <c r="H17" s="9"/>
      <c r="I17" s="9"/>
    </row>
    <row r="19" spans="1:13" ht="15" thickBot="1">
      <c r="A19" s="127" t="s">
        <v>16</v>
      </c>
      <c r="D19" s="12" t="s">
        <v>17</v>
      </c>
    </row>
    <row r="20" spans="1:13">
      <c r="A20" s="531" t="s">
        <v>18</v>
      </c>
      <c r="B20" s="533" t="s">
        <v>19</v>
      </c>
      <c r="C20" s="533"/>
      <c r="D20" s="533" t="s">
        <v>20</v>
      </c>
      <c r="E20" s="533"/>
      <c r="F20" s="533"/>
      <c r="G20" s="533" t="s">
        <v>21</v>
      </c>
      <c r="H20" s="533"/>
      <c r="I20" s="533"/>
      <c r="J20" s="533" t="s">
        <v>22</v>
      </c>
      <c r="K20" s="533"/>
      <c r="L20" s="533"/>
      <c r="M20" s="536"/>
    </row>
    <row r="21" spans="1:13">
      <c r="A21" s="532"/>
      <c r="B21" s="534"/>
      <c r="C21" s="534"/>
      <c r="D21" s="453" t="s">
        <v>23</v>
      </c>
      <c r="E21" s="453" t="s">
        <v>24</v>
      </c>
      <c r="F21" s="453" t="s">
        <v>25</v>
      </c>
      <c r="G21" s="453" t="s">
        <v>23</v>
      </c>
      <c r="H21" s="453" t="s">
        <v>24</v>
      </c>
      <c r="I21" s="453" t="s">
        <v>25</v>
      </c>
      <c r="J21" s="534"/>
      <c r="K21" s="534"/>
      <c r="L21" s="534"/>
      <c r="M21" s="543"/>
    </row>
    <row r="22" spans="1:13">
      <c r="A22" s="544" t="s">
        <v>26</v>
      </c>
      <c r="B22" s="545"/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</row>
    <row r="23" spans="1:13">
      <c r="A23" s="547" t="s">
        <v>27</v>
      </c>
      <c r="B23" s="550" t="s">
        <v>28</v>
      </c>
      <c r="C23" s="128" t="s">
        <v>29</v>
      </c>
      <c r="D23" s="328">
        <v>19309</v>
      </c>
      <c r="E23" s="329">
        <v>18296</v>
      </c>
      <c r="F23" s="14">
        <f t="shared" ref="F23:F28" si="0">E23/D23</f>
        <v>0.94753741778445288</v>
      </c>
      <c r="G23" s="332">
        <f>D23+'2019MAY'!G23</f>
        <v>108943</v>
      </c>
      <c r="H23" s="332">
        <f>E23+'2019MAY'!H23</f>
        <v>102818</v>
      </c>
      <c r="I23" s="14">
        <f t="shared" ref="I23:I28" si="1">H23/G23</f>
        <v>0.94377793892218864</v>
      </c>
      <c r="J23" s="525"/>
      <c r="K23" s="525"/>
      <c r="L23" s="525"/>
      <c r="M23" s="552"/>
    </row>
    <row r="24" spans="1:13" ht="13.5" customHeight="1">
      <c r="A24" s="548"/>
      <c r="B24" s="551"/>
      <c r="C24" s="15" t="s">
        <v>30</v>
      </c>
      <c r="D24" s="330">
        <f>SUM(D23:D23)</f>
        <v>19309</v>
      </c>
      <c r="E24" s="330">
        <f>SUM(E23:E23)</f>
        <v>18296</v>
      </c>
      <c r="F24" s="16">
        <f t="shared" si="0"/>
        <v>0.94753741778445288</v>
      </c>
      <c r="G24" s="330">
        <f>SUM(G23:G23)</f>
        <v>108943</v>
      </c>
      <c r="H24" s="330">
        <f>SUM(H23:H23)</f>
        <v>102818</v>
      </c>
      <c r="I24" s="16">
        <f t="shared" si="1"/>
        <v>0.94377793892218864</v>
      </c>
      <c r="J24" s="553"/>
      <c r="K24" s="553"/>
      <c r="L24" s="553"/>
      <c r="M24" s="554"/>
    </row>
    <row r="25" spans="1:13" ht="13.5" customHeight="1">
      <c r="A25" s="548"/>
      <c r="B25" s="555" t="s">
        <v>31</v>
      </c>
      <c r="C25" s="128" t="s">
        <v>29</v>
      </c>
      <c r="D25" s="328">
        <v>23819</v>
      </c>
      <c r="E25" s="329">
        <v>21018</v>
      </c>
      <c r="F25" s="14">
        <f t="shared" si="0"/>
        <v>0.88240480288845036</v>
      </c>
      <c r="G25" s="332">
        <f>D25+'2019MAY'!G25</f>
        <v>128187</v>
      </c>
      <c r="H25" s="332">
        <f>E25+'2019MAY'!H25</f>
        <v>118200</v>
      </c>
      <c r="I25" s="14">
        <f t="shared" si="1"/>
        <v>0.9220903835802382</v>
      </c>
      <c r="J25" s="525"/>
      <c r="K25" s="525"/>
      <c r="L25" s="525"/>
      <c r="M25" s="552"/>
    </row>
    <row r="26" spans="1:13" ht="13.5" customHeight="1">
      <c r="A26" s="548"/>
      <c r="B26" s="555"/>
      <c r="C26" s="128" t="s">
        <v>32</v>
      </c>
      <c r="D26" s="328">
        <v>0</v>
      </c>
      <c r="E26" s="329">
        <v>0</v>
      </c>
      <c r="F26" s="14" t="e">
        <f t="shared" si="0"/>
        <v>#DIV/0!</v>
      </c>
      <c r="G26" s="333">
        <f>D26</f>
        <v>0</v>
      </c>
      <c r="H26" s="333">
        <f>E26</f>
        <v>0</v>
      </c>
      <c r="I26" s="14" t="e">
        <f t="shared" si="1"/>
        <v>#DIV/0!</v>
      </c>
      <c r="J26" s="525"/>
      <c r="K26" s="525"/>
      <c r="L26" s="525"/>
      <c r="M26" s="552"/>
    </row>
    <row r="27" spans="1:13" ht="13.5" customHeight="1">
      <c r="A27" s="548"/>
      <c r="B27" s="555"/>
      <c r="C27" s="15" t="s">
        <v>30</v>
      </c>
      <c r="D27" s="330">
        <f>SUM(D25:D26)</f>
        <v>23819</v>
      </c>
      <c r="E27" s="330">
        <f>SUM(E25:E26)</f>
        <v>21018</v>
      </c>
      <c r="F27" s="16">
        <f t="shared" si="0"/>
        <v>0.88240480288845036</v>
      </c>
      <c r="G27" s="330">
        <f>SUM(G25:G26)</f>
        <v>128187</v>
      </c>
      <c r="H27" s="330">
        <f>SUM(H25:H26)</f>
        <v>118200</v>
      </c>
      <c r="I27" s="16">
        <f t="shared" si="1"/>
        <v>0.9220903835802382</v>
      </c>
      <c r="J27" s="553"/>
      <c r="K27" s="553"/>
      <c r="L27" s="553"/>
      <c r="M27" s="554"/>
    </row>
    <row r="28" spans="1:13" s="8" customFormat="1" ht="14.25" customHeight="1" thickBot="1">
      <c r="A28" s="549"/>
      <c r="B28" s="556" t="s">
        <v>30</v>
      </c>
      <c r="C28" s="556"/>
      <c r="D28" s="331">
        <f>SUM(D24,D27)</f>
        <v>43128</v>
      </c>
      <c r="E28" s="331">
        <f>SUM(E24,E27)</f>
        <v>39314</v>
      </c>
      <c r="F28" s="17">
        <f t="shared" si="0"/>
        <v>0.91156557225004642</v>
      </c>
      <c r="G28" s="331">
        <f>SUM(G24,G27)</f>
        <v>237130</v>
      </c>
      <c r="H28" s="331">
        <f>SUM(H24,H27)</f>
        <v>221018</v>
      </c>
      <c r="I28" s="17">
        <f t="shared" si="1"/>
        <v>0.93205414751402182</v>
      </c>
      <c r="J28" s="556"/>
      <c r="K28" s="556"/>
      <c r="L28" s="556"/>
      <c r="M28" s="557"/>
    </row>
    <row r="29" spans="1:13">
      <c r="A29" s="558" t="s">
        <v>33</v>
      </c>
      <c r="B29" s="559"/>
      <c r="C29" s="559"/>
      <c r="D29" s="559"/>
      <c r="E29" s="559"/>
      <c r="F29" s="559"/>
      <c r="G29" s="559"/>
      <c r="H29" s="559"/>
      <c r="I29" s="559"/>
      <c r="J29" s="559"/>
      <c r="K29" s="559"/>
      <c r="L29" s="559"/>
      <c r="M29" s="560"/>
    </row>
    <row r="30" spans="1:13" ht="12.75" customHeight="1">
      <c r="A30" s="561" t="s">
        <v>34</v>
      </c>
      <c r="B30" s="564" t="s">
        <v>35</v>
      </c>
      <c r="C30" s="128" t="s">
        <v>29</v>
      </c>
      <c r="D30" s="328">
        <v>2900</v>
      </c>
      <c r="E30" s="329">
        <v>3088</v>
      </c>
      <c r="F30" s="14">
        <f>E30/D30</f>
        <v>1.0648275862068965</v>
      </c>
      <c r="G30" s="332">
        <f>D30+'2019MAY'!G30</f>
        <v>17400</v>
      </c>
      <c r="H30" s="332">
        <f>E30+'2019MAY'!H30</f>
        <v>17629</v>
      </c>
      <c r="I30" s="14">
        <f>H30/G30</f>
        <v>1.0131609195402298</v>
      </c>
      <c r="J30" s="525"/>
      <c r="K30" s="525"/>
      <c r="L30" s="525"/>
      <c r="M30" s="552"/>
    </row>
    <row r="31" spans="1:13">
      <c r="A31" s="562"/>
      <c r="B31" s="565"/>
      <c r="C31" s="128" t="s">
        <v>32</v>
      </c>
      <c r="D31" s="328">
        <v>0</v>
      </c>
      <c r="E31" s="329">
        <v>2055</v>
      </c>
      <c r="F31" s="14" t="e">
        <f t="shared" ref="F31:F47" si="2">E31/D31</f>
        <v>#DIV/0!</v>
      </c>
      <c r="G31" s="332">
        <f>D31+'2019MAY'!G31</f>
        <v>0</v>
      </c>
      <c r="H31" s="332">
        <f>E31+'2019MAY'!H31</f>
        <v>10533</v>
      </c>
      <c r="I31" s="14" t="e">
        <f t="shared" ref="I31:I47" si="3">H31/G31</f>
        <v>#DIV/0!</v>
      </c>
      <c r="J31" s="525"/>
      <c r="K31" s="525"/>
      <c r="L31" s="525"/>
      <c r="M31" s="552"/>
    </row>
    <row r="32" spans="1:13">
      <c r="A32" s="562"/>
      <c r="B32" s="566"/>
      <c r="C32" s="15" t="s">
        <v>30</v>
      </c>
      <c r="D32" s="330">
        <f>SUM(D30:D31)</f>
        <v>2900</v>
      </c>
      <c r="E32" s="330">
        <f>SUM(E30:E31)</f>
        <v>5143</v>
      </c>
      <c r="F32" s="14">
        <f t="shared" si="2"/>
        <v>1.7734482758620689</v>
      </c>
      <c r="G32" s="330">
        <f>SUM(G30:G31)</f>
        <v>17400</v>
      </c>
      <c r="H32" s="330">
        <f>SUM(H30:H31)</f>
        <v>28162</v>
      </c>
      <c r="I32" s="14">
        <f t="shared" si="3"/>
        <v>1.6185057471264368</v>
      </c>
      <c r="J32" s="553"/>
      <c r="K32" s="553"/>
      <c r="L32" s="553"/>
      <c r="M32" s="554"/>
    </row>
    <row r="33" spans="1:13" ht="12.75" customHeight="1">
      <c r="A33" s="562"/>
      <c r="B33" s="567" t="s">
        <v>36</v>
      </c>
      <c r="C33" s="568"/>
      <c r="D33" s="328">
        <v>0</v>
      </c>
      <c r="E33" s="329">
        <v>1247</v>
      </c>
      <c r="F33" s="14" t="e">
        <f t="shared" si="2"/>
        <v>#DIV/0!</v>
      </c>
      <c r="G33" s="332">
        <f>D33+'2019MAY'!G33</f>
        <v>0</v>
      </c>
      <c r="H33" s="332">
        <f>E33+'2019MAY'!H33</f>
        <v>9352</v>
      </c>
      <c r="I33" s="14" t="e">
        <f t="shared" si="3"/>
        <v>#DIV/0!</v>
      </c>
      <c r="J33" s="525"/>
      <c r="K33" s="525"/>
      <c r="L33" s="525"/>
      <c r="M33" s="552"/>
    </row>
    <row r="34" spans="1:13" s="8" customFormat="1">
      <c r="A34" s="563"/>
      <c r="B34" s="534" t="s">
        <v>30</v>
      </c>
      <c r="C34" s="534"/>
      <c r="D34" s="334">
        <f>SUM(D32,D33)</f>
        <v>2900</v>
      </c>
      <c r="E34" s="334">
        <f>SUM(E32,E33)</f>
        <v>6390</v>
      </c>
      <c r="F34" s="14">
        <f t="shared" si="2"/>
        <v>2.203448275862069</v>
      </c>
      <c r="G34" s="334">
        <f>SUM(G32,G33)</f>
        <v>17400</v>
      </c>
      <c r="H34" s="334">
        <f>SUM(H32,H33)</f>
        <v>37514</v>
      </c>
      <c r="I34" s="14">
        <f t="shared" si="3"/>
        <v>2.1559770114942527</v>
      </c>
      <c r="J34" s="534"/>
      <c r="K34" s="534"/>
      <c r="L34" s="534"/>
      <c r="M34" s="543"/>
    </row>
    <row r="35" spans="1:13" ht="24.75" customHeight="1">
      <c r="A35" s="573" t="s">
        <v>37</v>
      </c>
      <c r="B35" s="555" t="s">
        <v>38</v>
      </c>
      <c r="C35" s="128" t="s">
        <v>39</v>
      </c>
      <c r="D35" s="328">
        <v>36232</v>
      </c>
      <c r="E35" s="333">
        <v>394782</v>
      </c>
      <c r="F35" s="14">
        <f t="shared" si="2"/>
        <v>10.895948332965334</v>
      </c>
      <c r="G35" s="332">
        <f>D35+'2019MAY'!G35</f>
        <v>217392</v>
      </c>
      <c r="H35" s="332">
        <f>E35+'2019MAY'!H35</f>
        <v>565133</v>
      </c>
      <c r="I35" s="14">
        <f t="shared" si="3"/>
        <v>2.59960348126886</v>
      </c>
      <c r="J35" s="670" t="s">
        <v>304</v>
      </c>
      <c r="K35" s="671"/>
      <c r="L35" s="671"/>
      <c r="M35" s="705"/>
    </row>
    <row r="36" spans="1:13">
      <c r="A36" s="573"/>
      <c r="B36" s="555"/>
      <c r="C36" s="128" t="s">
        <v>279</v>
      </c>
      <c r="D36" s="333"/>
      <c r="E36" s="333"/>
      <c r="F36" s="14" t="e">
        <f t="shared" si="2"/>
        <v>#DIV/0!</v>
      </c>
      <c r="G36" s="333"/>
      <c r="H36" s="333"/>
      <c r="I36" s="14" t="e">
        <f t="shared" si="3"/>
        <v>#DIV/0!</v>
      </c>
      <c r="J36" s="525"/>
      <c r="K36" s="525"/>
      <c r="L36" s="525"/>
      <c r="M36" s="552"/>
    </row>
    <row r="37" spans="1:13">
      <c r="A37" s="573"/>
      <c r="B37" s="555"/>
      <c r="C37" s="15" t="s">
        <v>30</v>
      </c>
      <c r="D37" s="330">
        <f>SUM(D35:D36)</f>
        <v>36232</v>
      </c>
      <c r="E37" s="330">
        <f>SUM(E35:E36)</f>
        <v>394782</v>
      </c>
      <c r="F37" s="16">
        <f t="shared" si="2"/>
        <v>10.895948332965334</v>
      </c>
      <c r="G37" s="341">
        <f>SUM(G35:G36)</f>
        <v>217392</v>
      </c>
      <c r="H37" s="341">
        <f>SUM(H35:H36)</f>
        <v>565133</v>
      </c>
      <c r="I37" s="16">
        <f t="shared" si="3"/>
        <v>2.59960348126886</v>
      </c>
      <c r="J37" s="553"/>
      <c r="K37" s="553"/>
      <c r="L37" s="553"/>
      <c r="M37" s="554"/>
    </row>
    <row r="38" spans="1:13" ht="12" customHeight="1">
      <c r="A38" s="573"/>
      <c r="B38" s="574" t="s">
        <v>41</v>
      </c>
      <c r="C38" s="128" t="s">
        <v>270</v>
      </c>
      <c r="D38" s="328">
        <v>0</v>
      </c>
      <c r="E38" s="329">
        <v>0</v>
      </c>
      <c r="F38" s="14" t="e">
        <f t="shared" si="2"/>
        <v>#DIV/0!</v>
      </c>
      <c r="G38" s="332">
        <f>D38+'2019MAY'!G38</f>
        <v>0</v>
      </c>
      <c r="H38" s="332">
        <f>E38+'2019MAY'!H38</f>
        <v>15217</v>
      </c>
      <c r="I38" s="14" t="e">
        <f t="shared" si="3"/>
        <v>#DIV/0!</v>
      </c>
      <c r="J38" s="525" t="s">
        <v>280</v>
      </c>
      <c r="K38" s="525"/>
      <c r="L38" s="525"/>
      <c r="M38" s="552"/>
    </row>
    <row r="39" spans="1:13" ht="12" customHeight="1">
      <c r="A39" s="573"/>
      <c r="B39" s="574"/>
      <c r="C39" s="128" t="s">
        <v>40</v>
      </c>
      <c r="D39" s="333"/>
      <c r="E39" s="333"/>
      <c r="F39" s="14" t="e">
        <f t="shared" si="2"/>
        <v>#DIV/0!</v>
      </c>
      <c r="G39" s="333"/>
      <c r="H39" s="333"/>
      <c r="I39" s="14" t="e">
        <f t="shared" si="3"/>
        <v>#DIV/0!</v>
      </c>
      <c r="J39" s="525"/>
      <c r="K39" s="525"/>
      <c r="L39" s="525"/>
      <c r="M39" s="552"/>
    </row>
    <row r="40" spans="1:13" ht="12" customHeight="1">
      <c r="A40" s="573"/>
      <c r="B40" s="574"/>
      <c r="C40" s="15" t="s">
        <v>30</v>
      </c>
      <c r="D40" s="330">
        <f>SUM(D38:D39)</f>
        <v>0</v>
      </c>
      <c r="E40" s="330">
        <f>SUM(E38:E39)</f>
        <v>0</v>
      </c>
      <c r="F40" s="16" t="e">
        <f t="shared" si="2"/>
        <v>#DIV/0!</v>
      </c>
      <c r="G40" s="330">
        <f>SUM(G38:G39)</f>
        <v>0</v>
      </c>
      <c r="H40" s="330">
        <f>SUM(H38:H39)</f>
        <v>15217</v>
      </c>
      <c r="I40" s="16" t="e">
        <f t="shared" si="3"/>
        <v>#DIV/0!</v>
      </c>
      <c r="J40" s="553"/>
      <c r="K40" s="553"/>
      <c r="L40" s="553"/>
      <c r="M40" s="554"/>
    </row>
    <row r="41" spans="1:13" s="8" customFormat="1" ht="12" customHeight="1">
      <c r="A41" s="573"/>
      <c r="B41" s="534" t="s">
        <v>30</v>
      </c>
      <c r="C41" s="534"/>
      <c r="D41" s="334">
        <f>SUM(D37,D40)</f>
        <v>36232</v>
      </c>
      <c r="E41" s="334">
        <f>SUM(E37,E40)</f>
        <v>394782</v>
      </c>
      <c r="F41" s="19">
        <f t="shared" si="2"/>
        <v>10.895948332965334</v>
      </c>
      <c r="G41" s="334">
        <f>SUM(G37,G40)</f>
        <v>217392</v>
      </c>
      <c r="H41" s="334">
        <f>SUM(H37,H40)</f>
        <v>580350</v>
      </c>
      <c r="I41" s="19">
        <f t="shared" si="3"/>
        <v>2.6696014572753368</v>
      </c>
      <c r="J41" s="534"/>
      <c r="K41" s="534"/>
      <c r="L41" s="534"/>
      <c r="M41" s="543"/>
    </row>
    <row r="42" spans="1:13" s="8" customFormat="1">
      <c r="A42" s="569" t="s">
        <v>42</v>
      </c>
      <c r="B42" s="570"/>
      <c r="C42" s="570"/>
      <c r="D42" s="335">
        <v>13000</v>
      </c>
      <c r="E42" s="336">
        <f>C140+E140+G140+I140</f>
        <v>5104</v>
      </c>
      <c r="F42" s="21">
        <f t="shared" si="2"/>
        <v>0.39261538461538459</v>
      </c>
      <c r="G42" s="342">
        <f>D42+'2019MAY'!G42</f>
        <v>76500</v>
      </c>
      <c r="H42" s="342">
        <f>E42+'2019MAY'!H42</f>
        <v>88856</v>
      </c>
      <c r="I42" s="21">
        <f t="shared" si="3"/>
        <v>1.1615163398692812</v>
      </c>
      <c r="J42" s="570"/>
      <c r="K42" s="570"/>
      <c r="L42" s="570"/>
      <c r="M42" s="571"/>
    </row>
    <row r="43" spans="1:13" s="8" customFormat="1">
      <c r="A43" s="569" t="s">
        <v>43</v>
      </c>
      <c r="B43" s="570"/>
      <c r="C43" s="570"/>
      <c r="D43" s="337">
        <v>2000</v>
      </c>
      <c r="E43" s="338">
        <v>0</v>
      </c>
      <c r="F43" s="21">
        <f t="shared" si="2"/>
        <v>0</v>
      </c>
      <c r="G43" s="342">
        <f>D43+'2019MAY'!G43</f>
        <v>12000</v>
      </c>
      <c r="H43" s="342">
        <f>E43+'2019MAY'!H43</f>
        <v>451</v>
      </c>
      <c r="I43" s="21">
        <f t="shared" si="3"/>
        <v>3.7583333333333337E-2</v>
      </c>
      <c r="J43" s="572"/>
      <c r="K43" s="570"/>
      <c r="L43" s="570"/>
      <c r="M43" s="571"/>
    </row>
    <row r="44" spans="1:13" s="8" customFormat="1" ht="13.5" customHeight="1">
      <c r="A44" s="569" t="s">
        <v>45</v>
      </c>
      <c r="B44" s="570"/>
      <c r="C44" s="570"/>
      <c r="D44" s="337">
        <v>40000</v>
      </c>
      <c r="E44" s="338">
        <v>0</v>
      </c>
      <c r="F44" s="21">
        <f t="shared" si="2"/>
        <v>0</v>
      </c>
      <c r="G44" s="342">
        <f>D44+'2019MAY'!G44</f>
        <v>240000</v>
      </c>
      <c r="H44" s="342">
        <f>E44+'2019MAY'!H44</f>
        <v>240000</v>
      </c>
      <c r="I44" s="21">
        <f t="shared" si="3"/>
        <v>1</v>
      </c>
      <c r="J44" s="813" t="s">
        <v>296</v>
      </c>
      <c r="K44" s="813"/>
      <c r="L44" s="813"/>
      <c r="M44" s="814"/>
    </row>
    <row r="45" spans="1:13" s="8" customFormat="1">
      <c r="A45" s="587" t="s">
        <v>46</v>
      </c>
      <c r="B45" s="588"/>
      <c r="C45" s="589"/>
      <c r="D45" s="339">
        <f>SUM(D28,D34,D41,D42:D44)</f>
        <v>137260</v>
      </c>
      <c r="E45" s="339">
        <f>SUM(E28,E34,E41,E42:E44)</f>
        <v>445590</v>
      </c>
      <c r="F45" s="22">
        <f t="shared" si="2"/>
        <v>3.246320850939822</v>
      </c>
      <c r="G45" s="339">
        <f>SUM(G28,G34,G41,G42:G44)</f>
        <v>800422</v>
      </c>
      <c r="H45" s="339">
        <f>SUM(H28,H34,H41,H42:H44)</f>
        <v>1168189</v>
      </c>
      <c r="I45" s="22">
        <f t="shared" si="3"/>
        <v>1.4594663814837674</v>
      </c>
      <c r="J45" s="590" t="s">
        <v>15</v>
      </c>
      <c r="K45" s="591"/>
      <c r="L45" s="591"/>
      <c r="M45" s="592"/>
    </row>
    <row r="46" spans="1:13" s="8" customFormat="1">
      <c r="A46" s="587" t="s">
        <v>47</v>
      </c>
      <c r="B46" s="588"/>
      <c r="C46" s="589"/>
      <c r="D46" s="339">
        <f>D45-D42</f>
        <v>124260</v>
      </c>
      <c r="E46" s="339">
        <f>E45-E42</f>
        <v>440486</v>
      </c>
      <c r="F46" s="22">
        <f t="shared" si="2"/>
        <v>3.544873652019958</v>
      </c>
      <c r="G46" s="339">
        <f>G45-G42</f>
        <v>723922</v>
      </c>
      <c r="H46" s="339">
        <f>H45-H42</f>
        <v>1079333</v>
      </c>
      <c r="I46" s="22">
        <f t="shared" si="3"/>
        <v>1.4909520638963867</v>
      </c>
      <c r="J46" s="590" t="s">
        <v>15</v>
      </c>
      <c r="K46" s="591"/>
      <c r="L46" s="591"/>
      <c r="M46" s="592"/>
    </row>
    <row r="47" spans="1:13" s="8" customFormat="1" ht="14" thickBot="1">
      <c r="A47" s="575" t="s">
        <v>48</v>
      </c>
      <c r="B47" s="576"/>
      <c r="C47" s="577"/>
      <c r="D47" s="340">
        <f>D46-D44</f>
        <v>84260</v>
      </c>
      <c r="E47" s="340">
        <f>E46-E44</f>
        <v>440486</v>
      </c>
      <c r="F47" s="23">
        <f t="shared" si="2"/>
        <v>5.2276999762639447</v>
      </c>
      <c r="G47" s="340">
        <f>G46-G44</f>
        <v>483922</v>
      </c>
      <c r="H47" s="340">
        <f>H46-H44</f>
        <v>839333</v>
      </c>
      <c r="I47" s="23">
        <f t="shared" si="3"/>
        <v>1.7344386078748228</v>
      </c>
      <c r="J47" s="578" t="s">
        <v>15</v>
      </c>
      <c r="K47" s="579"/>
      <c r="L47" s="579"/>
      <c r="M47" s="580"/>
    </row>
    <row r="48" spans="1:13" s="11" customFormat="1">
      <c r="A48" s="24"/>
      <c r="B48" s="24"/>
      <c r="C48" s="24"/>
      <c r="D48" s="24"/>
      <c r="E48" s="24"/>
      <c r="F48" s="25"/>
      <c r="G48" s="24"/>
      <c r="H48" s="24"/>
      <c r="I48" s="25"/>
      <c r="J48" s="26"/>
      <c r="K48" s="24"/>
      <c r="L48" s="24"/>
      <c r="M48" s="24"/>
    </row>
    <row r="50" spans="1:13" ht="15" thickBot="1">
      <c r="A50" s="127" t="s">
        <v>49</v>
      </c>
    </row>
    <row r="51" spans="1:13" ht="16.5" customHeight="1">
      <c r="A51" s="581" t="s">
        <v>50</v>
      </c>
      <c r="B51" s="582"/>
      <c r="C51" s="582"/>
      <c r="D51" s="582" t="s">
        <v>20</v>
      </c>
      <c r="E51" s="582"/>
      <c r="F51" s="582"/>
      <c r="G51" s="582" t="s">
        <v>21</v>
      </c>
      <c r="H51" s="582"/>
      <c r="I51" s="582"/>
      <c r="J51" s="582" t="s">
        <v>10</v>
      </c>
      <c r="K51" s="582"/>
      <c r="L51" s="582"/>
      <c r="M51" s="585"/>
    </row>
    <row r="52" spans="1:13">
      <c r="A52" s="583"/>
      <c r="B52" s="584"/>
      <c r="C52" s="584"/>
      <c r="D52" s="457" t="s">
        <v>23</v>
      </c>
      <c r="E52" s="457" t="s">
        <v>24</v>
      </c>
      <c r="F52" s="457" t="s">
        <v>25</v>
      </c>
      <c r="G52" s="457" t="s">
        <v>23</v>
      </c>
      <c r="H52" s="457" t="s">
        <v>24</v>
      </c>
      <c r="I52" s="457" t="s">
        <v>25</v>
      </c>
      <c r="J52" s="584"/>
      <c r="K52" s="584"/>
      <c r="L52" s="584"/>
      <c r="M52" s="586"/>
    </row>
    <row r="53" spans="1:13" ht="13.5" customHeight="1">
      <c r="A53" s="593" t="s">
        <v>51</v>
      </c>
      <c r="B53" s="525" t="s">
        <v>29</v>
      </c>
      <c r="C53" s="27" t="s">
        <v>52</v>
      </c>
      <c r="D53" s="65">
        <v>20</v>
      </c>
      <c r="E53" s="455">
        <v>14</v>
      </c>
      <c r="F53" s="28">
        <f t="shared" ref="F53:F79" si="4">E53/D53</f>
        <v>0.7</v>
      </c>
      <c r="G53" s="66">
        <f>D53+'2019MAY'!G53</f>
        <v>120</v>
      </c>
      <c r="H53" s="66">
        <f>E53+'2019MAY'!H53</f>
        <v>110</v>
      </c>
      <c r="I53" s="28">
        <f t="shared" ref="I53:I79" si="5">H53/G53</f>
        <v>0.91666666666666663</v>
      </c>
      <c r="J53" s="596"/>
      <c r="K53" s="597"/>
      <c r="L53" s="597"/>
      <c r="M53" s="598"/>
    </row>
    <row r="54" spans="1:13">
      <c r="A54" s="594"/>
      <c r="B54" s="525"/>
      <c r="C54" s="27" t="s">
        <v>53</v>
      </c>
      <c r="D54" s="65">
        <v>435</v>
      </c>
      <c r="E54" s="455">
        <v>512</v>
      </c>
      <c r="F54" s="28">
        <f t="shared" si="4"/>
        <v>1.1770114942528735</v>
      </c>
      <c r="G54" s="66">
        <f>D54+'2019MAY'!G54</f>
        <v>2710</v>
      </c>
      <c r="H54" s="66">
        <f>E54+'2019MAY'!H54</f>
        <v>2846</v>
      </c>
      <c r="I54" s="28">
        <f t="shared" si="5"/>
        <v>1.0501845018450184</v>
      </c>
      <c r="J54" s="596"/>
      <c r="K54" s="597"/>
      <c r="L54" s="597"/>
      <c r="M54" s="598"/>
    </row>
    <row r="55" spans="1:13">
      <c r="A55" s="595"/>
      <c r="B55" s="525"/>
      <c r="C55" s="29" t="s">
        <v>54</v>
      </c>
      <c r="D55" s="456">
        <f>SUM(D53:D54)</f>
        <v>455</v>
      </c>
      <c r="E55" s="456">
        <f>SUM(E53:E54)</f>
        <v>526</v>
      </c>
      <c r="F55" s="30">
        <f t="shared" si="4"/>
        <v>1.1560439560439559</v>
      </c>
      <c r="G55" s="456">
        <f>SUM(G53:G54)</f>
        <v>2830</v>
      </c>
      <c r="H55" s="456">
        <f>SUM(H53:H54)</f>
        <v>2956</v>
      </c>
      <c r="I55" s="30">
        <f t="shared" si="5"/>
        <v>1.0445229681978798</v>
      </c>
      <c r="J55" s="599"/>
      <c r="K55" s="600"/>
      <c r="L55" s="600"/>
      <c r="M55" s="601"/>
    </row>
    <row r="56" spans="1:13">
      <c r="A56" s="602" t="s">
        <v>55</v>
      </c>
      <c r="B56" s="525" t="s">
        <v>52</v>
      </c>
      <c r="C56" s="525"/>
      <c r="D56" s="65">
        <v>83</v>
      </c>
      <c r="E56" s="455">
        <v>40</v>
      </c>
      <c r="F56" s="28">
        <f t="shared" si="4"/>
        <v>0.48192771084337349</v>
      </c>
      <c r="G56" s="66">
        <f>D56+'2019MAY'!G56</f>
        <v>498</v>
      </c>
      <c r="H56" s="66">
        <f>E56+'2019MAY'!H56</f>
        <v>337</v>
      </c>
      <c r="I56" s="28">
        <f t="shared" si="5"/>
        <v>0.67670682730923692</v>
      </c>
      <c r="J56" s="596"/>
      <c r="K56" s="597"/>
      <c r="L56" s="597"/>
      <c r="M56" s="598"/>
    </row>
    <row r="57" spans="1:13">
      <c r="A57" s="602"/>
      <c r="B57" s="525" t="s">
        <v>53</v>
      </c>
      <c r="C57" s="525"/>
      <c r="D57" s="65">
        <v>1101</v>
      </c>
      <c r="E57" s="455">
        <v>1424</v>
      </c>
      <c r="F57" s="28">
        <f t="shared" si="4"/>
        <v>1.293369663941871</v>
      </c>
      <c r="G57" s="66">
        <f>D57+'2019MAY'!G57</f>
        <v>6860</v>
      </c>
      <c r="H57" s="66">
        <f>E57+'2019MAY'!H57</f>
        <v>7831</v>
      </c>
      <c r="I57" s="28">
        <f t="shared" si="5"/>
        <v>1.1415451895043731</v>
      </c>
      <c r="J57" s="596"/>
      <c r="K57" s="597"/>
      <c r="L57" s="597"/>
      <c r="M57" s="598"/>
    </row>
    <row r="58" spans="1:13">
      <c r="A58" s="602"/>
      <c r="B58" s="603" t="s">
        <v>30</v>
      </c>
      <c r="C58" s="603"/>
      <c r="D58" s="461">
        <f>SUM(D56:D57)</f>
        <v>1184</v>
      </c>
      <c r="E58" s="461">
        <f>SUM(E56:E57)</f>
        <v>1464</v>
      </c>
      <c r="F58" s="28">
        <f t="shared" si="4"/>
        <v>1.2364864864864864</v>
      </c>
      <c r="G58" s="461">
        <f>SUM(G56:G57)</f>
        <v>7358</v>
      </c>
      <c r="H58" s="461">
        <f>SUM(H56:H57)</f>
        <v>8168</v>
      </c>
      <c r="I58" s="31">
        <f t="shared" si="5"/>
        <v>1.1100842620277249</v>
      </c>
      <c r="J58" s="604"/>
      <c r="K58" s="605"/>
      <c r="L58" s="605"/>
      <c r="M58" s="606"/>
    </row>
    <row r="59" spans="1:13" s="8" customFormat="1">
      <c r="A59" s="607" t="s">
        <v>46</v>
      </c>
      <c r="B59" s="609" t="s">
        <v>52</v>
      </c>
      <c r="C59" s="609"/>
      <c r="D59" s="462">
        <f>SUM(D53,D56)</f>
        <v>103</v>
      </c>
      <c r="E59" s="462">
        <f>SUM(E53,E56)</f>
        <v>54</v>
      </c>
      <c r="F59" s="32">
        <f t="shared" si="4"/>
        <v>0.52427184466019416</v>
      </c>
      <c r="G59" s="462">
        <f>SUM(G53,G56)</f>
        <v>618</v>
      </c>
      <c r="H59" s="462">
        <f>SUM(H53,H56)</f>
        <v>447</v>
      </c>
      <c r="I59" s="32">
        <f t="shared" si="5"/>
        <v>0.72330097087378642</v>
      </c>
      <c r="J59" s="610"/>
      <c r="K59" s="611"/>
      <c r="L59" s="611"/>
      <c r="M59" s="612"/>
    </row>
    <row r="60" spans="1:13" s="8" customFormat="1">
      <c r="A60" s="607"/>
      <c r="B60" s="609" t="s">
        <v>53</v>
      </c>
      <c r="C60" s="609"/>
      <c r="D60" s="462">
        <f>SUM(D54,D57)</f>
        <v>1536</v>
      </c>
      <c r="E60" s="462">
        <f>SUM(E54,E57)</f>
        <v>1936</v>
      </c>
      <c r="F60" s="32">
        <f t="shared" si="4"/>
        <v>1.2604166666666667</v>
      </c>
      <c r="G60" s="462">
        <f>SUM(G54,G57)</f>
        <v>9570</v>
      </c>
      <c r="H60" s="462">
        <f>SUM(H54,H57)</f>
        <v>10677</v>
      </c>
      <c r="I60" s="32">
        <f t="shared" si="5"/>
        <v>1.1156739811912226</v>
      </c>
      <c r="J60" s="610"/>
      <c r="K60" s="611"/>
      <c r="L60" s="611"/>
      <c r="M60" s="612"/>
    </row>
    <row r="61" spans="1:13" s="8" customFormat="1" ht="17.25" customHeight="1" thickBot="1">
      <c r="A61" s="608"/>
      <c r="B61" s="613" t="s">
        <v>56</v>
      </c>
      <c r="C61" s="613"/>
      <c r="D61" s="463">
        <f>SUM(D59:D60)</f>
        <v>1639</v>
      </c>
      <c r="E61" s="463">
        <f>SUM(E59:E60)</f>
        <v>1990</v>
      </c>
      <c r="F61" s="33">
        <f t="shared" si="4"/>
        <v>1.2141549725442342</v>
      </c>
      <c r="G61" s="463">
        <f>SUM(G59:G60)</f>
        <v>10188</v>
      </c>
      <c r="H61" s="463">
        <f>SUM(H59:H60)</f>
        <v>11124</v>
      </c>
      <c r="I61" s="33">
        <f t="shared" si="5"/>
        <v>1.0918727915194346</v>
      </c>
      <c r="J61" s="614"/>
      <c r="K61" s="615"/>
      <c r="L61" s="615"/>
      <c r="M61" s="616"/>
    </row>
    <row r="62" spans="1:13">
      <c r="A62" s="593" t="s">
        <v>57</v>
      </c>
      <c r="B62" s="525" t="s">
        <v>29</v>
      </c>
      <c r="C62" s="27" t="s">
        <v>52</v>
      </c>
      <c r="D62" s="65">
        <v>70</v>
      </c>
      <c r="E62" s="451">
        <f>E71/10</f>
        <v>48.7</v>
      </c>
      <c r="F62" s="28">
        <f t="shared" si="4"/>
        <v>0.69571428571428573</v>
      </c>
      <c r="G62" s="66">
        <f>D62+'2019MAY'!G62</f>
        <v>420</v>
      </c>
      <c r="H62" s="66">
        <f>E62+'2019MAY'!H62</f>
        <v>382.59999999999997</v>
      </c>
      <c r="I62" s="28">
        <f t="shared" si="5"/>
        <v>0.91095238095238085</v>
      </c>
      <c r="J62" s="596"/>
      <c r="K62" s="597"/>
      <c r="L62" s="597"/>
      <c r="M62" s="598"/>
    </row>
    <row r="63" spans="1:13">
      <c r="A63" s="594"/>
      <c r="B63" s="525"/>
      <c r="C63" s="27" t="s">
        <v>53</v>
      </c>
      <c r="D63" s="246">
        <v>1513</v>
      </c>
      <c r="E63" s="451">
        <f>E72/10</f>
        <v>1780.9</v>
      </c>
      <c r="F63" s="28">
        <f t="shared" si="4"/>
        <v>1.177065432914739</v>
      </c>
      <c r="G63" s="248">
        <f>D63+'2019MAY'!G63</f>
        <v>9433</v>
      </c>
      <c r="H63" s="66">
        <f>E63+'2019MAY'!H63</f>
        <v>9899.2000000000007</v>
      </c>
      <c r="I63" s="28">
        <f t="shared" si="5"/>
        <v>1.0494222410685892</v>
      </c>
      <c r="J63" s="596"/>
      <c r="K63" s="597"/>
      <c r="L63" s="597"/>
      <c r="M63" s="598"/>
    </row>
    <row r="64" spans="1:13">
      <c r="A64" s="595"/>
      <c r="B64" s="525"/>
      <c r="C64" s="29" t="s">
        <v>54</v>
      </c>
      <c r="D64" s="61">
        <f>SUM(D62:D63)</f>
        <v>1583</v>
      </c>
      <c r="E64" s="456">
        <f>SUM(E62:E63)</f>
        <v>1829.6000000000001</v>
      </c>
      <c r="F64" s="30">
        <f t="shared" si="4"/>
        <v>1.1557801642451042</v>
      </c>
      <c r="G64" s="456">
        <f>SUM(G62:G63)</f>
        <v>9853</v>
      </c>
      <c r="H64" s="456">
        <f>SUM(H62:H63)</f>
        <v>10281.800000000001</v>
      </c>
      <c r="I64" s="30">
        <f t="shared" si="5"/>
        <v>1.0435197401806557</v>
      </c>
      <c r="J64" s="599"/>
      <c r="K64" s="600"/>
      <c r="L64" s="600"/>
      <c r="M64" s="601"/>
    </row>
    <row r="65" spans="1:14">
      <c r="A65" s="602" t="s">
        <v>58</v>
      </c>
      <c r="B65" s="525" t="s">
        <v>52</v>
      </c>
      <c r="C65" s="525"/>
      <c r="D65" s="65">
        <v>124</v>
      </c>
      <c r="E65" s="451">
        <f>E74/10</f>
        <v>56.5</v>
      </c>
      <c r="F65" s="28">
        <f t="shared" si="4"/>
        <v>0.45564516129032256</v>
      </c>
      <c r="G65" s="66">
        <f>D65+'2019MAY'!G65</f>
        <v>744</v>
      </c>
      <c r="H65" s="66">
        <f>E65+'2019MAY'!H65</f>
        <v>462.9</v>
      </c>
      <c r="I65" s="28">
        <f t="shared" si="5"/>
        <v>0.62217741935483872</v>
      </c>
      <c r="J65" s="596"/>
      <c r="K65" s="597"/>
      <c r="L65" s="597"/>
      <c r="M65" s="598"/>
    </row>
    <row r="66" spans="1:14">
      <c r="A66" s="602"/>
      <c r="B66" s="525" t="s">
        <v>53</v>
      </c>
      <c r="C66" s="525"/>
      <c r="D66" s="65">
        <v>1640</v>
      </c>
      <c r="E66" s="451">
        <f>E75/10</f>
        <v>2045.3</v>
      </c>
      <c r="F66" s="28">
        <f t="shared" si="4"/>
        <v>1.2471341463414634</v>
      </c>
      <c r="G66" s="66">
        <f>D66+'2019MAY'!G66</f>
        <v>10222</v>
      </c>
      <c r="H66" s="66">
        <f>E66+'2019MAY'!H66</f>
        <v>11357.099999999999</v>
      </c>
      <c r="I66" s="28">
        <f t="shared" si="5"/>
        <v>1.1110448053218547</v>
      </c>
      <c r="J66" s="596"/>
      <c r="K66" s="597"/>
      <c r="L66" s="597"/>
      <c r="M66" s="598"/>
    </row>
    <row r="67" spans="1:14">
      <c r="A67" s="602"/>
      <c r="B67" s="603" t="s">
        <v>30</v>
      </c>
      <c r="C67" s="603"/>
      <c r="D67" s="461">
        <f>SUM(D65:D66)</f>
        <v>1764</v>
      </c>
      <c r="E67" s="461">
        <f>SUM(E65:E66)</f>
        <v>2101.8000000000002</v>
      </c>
      <c r="F67" s="31">
        <f t="shared" si="4"/>
        <v>1.1914965986394559</v>
      </c>
      <c r="G67" s="461">
        <f>SUM(G65:G66)</f>
        <v>10966</v>
      </c>
      <c r="H67" s="461">
        <f>SUM(H65:H66)</f>
        <v>11819.999999999998</v>
      </c>
      <c r="I67" s="31">
        <f t="shared" si="5"/>
        <v>1.0778770745942001</v>
      </c>
      <c r="J67" s="604"/>
      <c r="K67" s="605"/>
      <c r="L67" s="605"/>
      <c r="M67" s="606"/>
    </row>
    <row r="68" spans="1:14" s="8" customFormat="1">
      <c r="A68" s="607" t="s">
        <v>46</v>
      </c>
      <c r="B68" s="609" t="s">
        <v>52</v>
      </c>
      <c r="C68" s="609"/>
      <c r="D68" s="462">
        <f>SUM(D62,D65)</f>
        <v>194</v>
      </c>
      <c r="E68" s="462">
        <f>SUM(E62,E65)</f>
        <v>105.2</v>
      </c>
      <c r="F68" s="32">
        <f t="shared" si="4"/>
        <v>0.54226804123711336</v>
      </c>
      <c r="G68" s="462">
        <f>SUM(G62,G65)</f>
        <v>1164</v>
      </c>
      <c r="H68" s="462">
        <f>SUM(H62,H65)</f>
        <v>845.5</v>
      </c>
      <c r="I68" s="32">
        <f t="shared" si="5"/>
        <v>0.72637457044673537</v>
      </c>
      <c r="J68" s="610"/>
      <c r="K68" s="611"/>
      <c r="L68" s="611"/>
      <c r="M68" s="612"/>
    </row>
    <row r="69" spans="1:14" s="8" customFormat="1">
      <c r="A69" s="607"/>
      <c r="B69" s="609" t="s">
        <v>53</v>
      </c>
      <c r="C69" s="609"/>
      <c r="D69" s="462">
        <f>SUM(D63,D66)</f>
        <v>3153</v>
      </c>
      <c r="E69" s="462">
        <f>SUM(E63,E66)</f>
        <v>3826.2</v>
      </c>
      <c r="F69" s="32">
        <f t="shared" si="4"/>
        <v>1.2135109419600381</v>
      </c>
      <c r="G69" s="462">
        <f>SUM(G63,G66)</f>
        <v>19655</v>
      </c>
      <c r="H69" s="462">
        <f>SUM(H63,H66)</f>
        <v>21256.3</v>
      </c>
      <c r="I69" s="32">
        <f t="shared" si="5"/>
        <v>1.0814703637751208</v>
      </c>
      <c r="J69" s="610"/>
      <c r="K69" s="611"/>
      <c r="L69" s="611"/>
      <c r="M69" s="612"/>
    </row>
    <row r="70" spans="1:14" s="8" customFormat="1" ht="14" thickBot="1">
      <c r="A70" s="608"/>
      <c r="B70" s="613" t="s">
        <v>59</v>
      </c>
      <c r="C70" s="613"/>
      <c r="D70" s="463">
        <f>SUM(D68:D69)</f>
        <v>3347</v>
      </c>
      <c r="E70" s="463">
        <f>SUM(E68:E69)</f>
        <v>3931.3999999999996</v>
      </c>
      <c r="F70" s="34">
        <f t="shared" si="4"/>
        <v>1.174604123095309</v>
      </c>
      <c r="G70" s="463">
        <f>SUM(G68:G69)</f>
        <v>20819</v>
      </c>
      <c r="H70" s="463">
        <f>SUM(H68:H69)</f>
        <v>22101.8</v>
      </c>
      <c r="I70" s="34">
        <f t="shared" si="5"/>
        <v>1.061616792353139</v>
      </c>
      <c r="J70" s="614"/>
      <c r="K70" s="615"/>
      <c r="L70" s="615"/>
      <c r="M70" s="616"/>
    </row>
    <row r="71" spans="1:14">
      <c r="A71" s="593" t="s">
        <v>60</v>
      </c>
      <c r="B71" s="525" t="s">
        <v>29</v>
      </c>
      <c r="C71" s="27" t="s">
        <v>52</v>
      </c>
      <c r="D71" s="177">
        <v>4176</v>
      </c>
      <c r="E71" s="455">
        <v>487</v>
      </c>
      <c r="F71" s="28">
        <f t="shared" si="4"/>
        <v>0.11661877394636015</v>
      </c>
      <c r="G71" s="179">
        <f>D71+'2019MAY'!G71</f>
        <v>14616</v>
      </c>
      <c r="H71" s="66">
        <f>E71+'2019MAY'!H71</f>
        <v>3826</v>
      </c>
      <c r="I71" s="28">
        <f t="shared" si="5"/>
        <v>0.26176792556102901</v>
      </c>
      <c r="J71" s="596"/>
      <c r="K71" s="597"/>
      <c r="L71" s="597"/>
      <c r="M71" s="598"/>
    </row>
    <row r="72" spans="1:14">
      <c r="A72" s="594"/>
      <c r="B72" s="525"/>
      <c r="C72" s="27" t="s">
        <v>53</v>
      </c>
      <c r="D72" s="246">
        <v>15133</v>
      </c>
      <c r="E72" s="341">
        <f>E23-E71</f>
        <v>17809</v>
      </c>
      <c r="F72" s="28">
        <f t="shared" si="4"/>
        <v>1.176832088812529</v>
      </c>
      <c r="G72" s="248">
        <f>D72+'2019MAY'!G72</f>
        <v>94327</v>
      </c>
      <c r="H72" s="332">
        <f>E72+'2019MAY'!H72</f>
        <v>98992</v>
      </c>
      <c r="I72" s="28">
        <f t="shared" si="5"/>
        <v>1.0494556171615763</v>
      </c>
      <c r="J72" s="596"/>
      <c r="K72" s="597"/>
      <c r="L72" s="597"/>
      <c r="M72" s="598"/>
    </row>
    <row r="73" spans="1:14">
      <c r="A73" s="595"/>
      <c r="B73" s="525"/>
      <c r="C73" s="29" t="s">
        <v>54</v>
      </c>
      <c r="D73" s="456">
        <f>SUM(D71:D72)</f>
        <v>19309</v>
      </c>
      <c r="E73" s="456">
        <f>SUM(E71:E72)</f>
        <v>18296</v>
      </c>
      <c r="F73" s="30">
        <f t="shared" si="4"/>
        <v>0.94753741778445288</v>
      </c>
      <c r="G73" s="456">
        <f>SUM(G71:G72)</f>
        <v>108943</v>
      </c>
      <c r="H73" s="456">
        <f>SUM(H71:H72)</f>
        <v>102818</v>
      </c>
      <c r="I73" s="30">
        <f t="shared" si="5"/>
        <v>0.94377793892218864</v>
      </c>
      <c r="J73" s="599"/>
      <c r="K73" s="600"/>
      <c r="L73" s="600"/>
      <c r="M73" s="601"/>
    </row>
    <row r="74" spans="1:14">
      <c r="A74" s="602" t="s">
        <v>61</v>
      </c>
      <c r="B74" s="525" t="s">
        <v>52</v>
      </c>
      <c r="C74" s="525"/>
      <c r="D74" s="177">
        <v>7420</v>
      </c>
      <c r="E74" s="455">
        <v>565</v>
      </c>
      <c r="F74" s="28">
        <f t="shared" si="4"/>
        <v>7.6145552560646895E-2</v>
      </c>
      <c r="G74" s="179">
        <f>D74+'2019MAY'!G74</f>
        <v>25971</v>
      </c>
      <c r="H74" s="66">
        <f>E74+'2019MAY'!H74</f>
        <v>4629</v>
      </c>
      <c r="I74" s="28">
        <f t="shared" si="5"/>
        <v>0.17823726464133072</v>
      </c>
      <c r="J74" s="596"/>
      <c r="K74" s="597"/>
      <c r="L74" s="597"/>
      <c r="M74" s="598"/>
    </row>
    <row r="75" spans="1:14">
      <c r="A75" s="602"/>
      <c r="B75" s="525" t="s">
        <v>53</v>
      </c>
      <c r="C75" s="525"/>
      <c r="D75" s="246">
        <v>16399</v>
      </c>
      <c r="E75" s="454">
        <f>E25-E74</f>
        <v>20453</v>
      </c>
      <c r="F75" s="28">
        <f t="shared" si="4"/>
        <v>1.247210195743643</v>
      </c>
      <c r="G75" s="248">
        <f>D75+'2019MAY'!G75</f>
        <v>102217</v>
      </c>
      <c r="H75" s="66">
        <f>E75+'2019MAY'!H75</f>
        <v>113571</v>
      </c>
      <c r="I75" s="28">
        <f t="shared" si="5"/>
        <v>1.1110774137374408</v>
      </c>
      <c r="J75" s="596"/>
      <c r="K75" s="597"/>
      <c r="L75" s="597"/>
      <c r="M75" s="598"/>
    </row>
    <row r="76" spans="1:14">
      <c r="A76" s="602"/>
      <c r="B76" s="603" t="s">
        <v>30</v>
      </c>
      <c r="C76" s="603"/>
      <c r="D76" s="461">
        <f>SUM(D74:D75)</f>
        <v>23819</v>
      </c>
      <c r="E76" s="461">
        <f>SUM(E74:E75)</f>
        <v>21018</v>
      </c>
      <c r="F76" s="31">
        <f t="shared" si="4"/>
        <v>0.88240480288845036</v>
      </c>
      <c r="G76" s="461">
        <f>SUM(G74:G75)</f>
        <v>128188</v>
      </c>
      <c r="H76" s="461">
        <f>SUM(H74:H75)</f>
        <v>118200</v>
      </c>
      <c r="I76" s="31">
        <f t="shared" si="5"/>
        <v>0.92208319031422603</v>
      </c>
      <c r="J76" s="604"/>
      <c r="K76" s="605"/>
      <c r="L76" s="605"/>
      <c r="M76" s="606"/>
    </row>
    <row r="77" spans="1:14" s="8" customFormat="1">
      <c r="A77" s="607" t="s">
        <v>46</v>
      </c>
      <c r="B77" s="609" t="s">
        <v>52</v>
      </c>
      <c r="C77" s="609"/>
      <c r="D77" s="462">
        <f>SUM(D71,D74)</f>
        <v>11596</v>
      </c>
      <c r="E77" s="462">
        <f>SUM(E71,E74)</f>
        <v>1052</v>
      </c>
      <c r="F77" s="32">
        <f t="shared" si="4"/>
        <v>9.0720938254570546E-2</v>
      </c>
      <c r="G77" s="462">
        <f>SUM(G71,G74)</f>
        <v>40587</v>
      </c>
      <c r="H77" s="462">
        <f>SUM(H71,H74)</f>
        <v>8455</v>
      </c>
      <c r="I77" s="32">
        <f t="shared" si="5"/>
        <v>0.20831793431394288</v>
      </c>
      <c r="J77" s="610"/>
      <c r="K77" s="611"/>
      <c r="L77" s="611"/>
      <c r="M77" s="612"/>
    </row>
    <row r="78" spans="1:14" s="8" customFormat="1">
      <c r="A78" s="607"/>
      <c r="B78" s="609" t="s">
        <v>53</v>
      </c>
      <c r="C78" s="609"/>
      <c r="D78" s="462">
        <f>SUM(D72,D75)</f>
        <v>31532</v>
      </c>
      <c r="E78" s="462">
        <f>SUM(E72,E75)</f>
        <v>38262</v>
      </c>
      <c r="F78" s="32">
        <f t="shared" si="4"/>
        <v>1.2134339718381326</v>
      </c>
      <c r="G78" s="462">
        <f>SUM(G72,G75)</f>
        <v>196544</v>
      </c>
      <c r="H78" s="462">
        <f>SUM(H72,H75)</f>
        <v>212563</v>
      </c>
      <c r="I78" s="32">
        <f t="shared" si="5"/>
        <v>1.0815033783783783</v>
      </c>
      <c r="J78" s="610"/>
      <c r="K78" s="611"/>
      <c r="L78" s="611"/>
      <c r="M78" s="612"/>
    </row>
    <row r="79" spans="1:14" s="8" customFormat="1" ht="14" thickBot="1">
      <c r="A79" s="608"/>
      <c r="B79" s="613" t="s">
        <v>62</v>
      </c>
      <c r="C79" s="613"/>
      <c r="D79" s="463">
        <f>SUM(D77:D78)</f>
        <v>43128</v>
      </c>
      <c r="E79" s="463">
        <f>SUM(E77:E78)</f>
        <v>39314</v>
      </c>
      <c r="F79" s="34">
        <f t="shared" si="4"/>
        <v>0.91156557225004642</v>
      </c>
      <c r="G79" s="463">
        <f>SUM(G77:G78)</f>
        <v>237131</v>
      </c>
      <c r="H79" s="463">
        <f>SUM(H77:H78)</f>
        <v>221018</v>
      </c>
      <c r="I79" s="34">
        <f t="shared" si="5"/>
        <v>0.93205021696867973</v>
      </c>
      <c r="J79" s="614"/>
      <c r="K79" s="615"/>
      <c r="L79" s="615"/>
      <c r="M79" s="616"/>
      <c r="N79" s="12" t="s">
        <v>63</v>
      </c>
    </row>
    <row r="80" spans="1:14" s="11" customFormat="1">
      <c r="A80" s="35"/>
      <c r="B80" s="9"/>
      <c r="C80" s="9"/>
      <c r="D80" s="36"/>
      <c r="E80" s="36"/>
      <c r="F80" s="36"/>
      <c r="G80" s="36"/>
      <c r="H80" s="36"/>
      <c r="I80" s="36"/>
      <c r="J80" s="9"/>
      <c r="K80" s="9"/>
      <c r="L80" s="9"/>
      <c r="M80" s="9"/>
    </row>
    <row r="82" spans="1:13" ht="14">
      <c r="A82" s="127" t="s">
        <v>64</v>
      </c>
    </row>
    <row r="83" spans="1:13" ht="14">
      <c r="A83" s="125" t="s">
        <v>188</v>
      </c>
    </row>
    <row r="84" spans="1:13" ht="15" customHeight="1">
      <c r="A84" s="774" t="s">
        <v>189</v>
      </c>
      <c r="B84" s="774"/>
      <c r="C84" s="774"/>
      <c r="D84" s="775" t="s">
        <v>213</v>
      </c>
      <c r="E84" s="775"/>
      <c r="F84" s="775" t="s">
        <v>190</v>
      </c>
      <c r="G84" s="775"/>
      <c r="H84" s="775" t="s">
        <v>191</v>
      </c>
    </row>
    <row r="85" spans="1:13" ht="15" customHeight="1">
      <c r="A85" s="774"/>
      <c r="B85" s="774"/>
      <c r="C85" s="774"/>
      <c r="D85" s="128" t="s">
        <v>192</v>
      </c>
      <c r="E85" s="128" t="s">
        <v>193</v>
      </c>
      <c r="F85" s="128" t="s">
        <v>192</v>
      </c>
      <c r="G85" s="128" t="s">
        <v>193</v>
      </c>
      <c r="H85" s="775"/>
    </row>
    <row r="86" spans="1:13" ht="15" customHeight="1">
      <c r="A86" s="774" t="s">
        <v>194</v>
      </c>
      <c r="B86" s="775" t="s">
        <v>195</v>
      </c>
      <c r="C86" s="775"/>
      <c r="D86" s="133">
        <v>311</v>
      </c>
      <c r="E86" s="130"/>
      <c r="F86" s="133">
        <v>311</v>
      </c>
      <c r="G86" s="130"/>
      <c r="H86" s="128" t="s">
        <v>196</v>
      </c>
    </row>
    <row r="87" spans="1:13" ht="15" customHeight="1">
      <c r="A87" s="774"/>
      <c r="B87" s="775" t="s">
        <v>197</v>
      </c>
      <c r="C87" s="775"/>
      <c r="D87" s="131">
        <v>526</v>
      </c>
      <c r="E87" s="130"/>
      <c r="F87" s="134">
        <f>D87+'2019MAY'!F87</f>
        <v>2956</v>
      </c>
      <c r="G87" s="130"/>
      <c r="H87" s="128"/>
    </row>
    <row r="88" spans="1:13" ht="15" customHeight="1">
      <c r="A88" s="774"/>
      <c r="B88" s="775" t="s">
        <v>198</v>
      </c>
      <c r="C88" s="775"/>
      <c r="D88" s="131">
        <v>14</v>
      </c>
      <c r="E88" s="128"/>
      <c r="F88" s="134">
        <f>D88+'2019MAY'!F88</f>
        <v>110</v>
      </c>
      <c r="G88" s="128"/>
      <c r="H88" s="128"/>
    </row>
    <row r="89" spans="1:13" ht="15" customHeight="1">
      <c r="A89" s="774"/>
      <c r="B89" s="775" t="s">
        <v>199</v>
      </c>
      <c r="C89" s="775"/>
      <c r="D89" s="131">
        <v>4</v>
      </c>
      <c r="E89" s="128">
        <f>D89/D87</f>
        <v>7.6045627376425855E-3</v>
      </c>
      <c r="F89" s="134">
        <f>D89+'2019MAY'!F89</f>
        <v>15</v>
      </c>
      <c r="G89" s="128">
        <f>F89/F87</f>
        <v>5.0744248985115023E-3</v>
      </c>
      <c r="H89" s="128"/>
    </row>
    <row r="90" spans="1:13" ht="15" customHeight="1">
      <c r="A90" s="774" t="s">
        <v>200</v>
      </c>
      <c r="B90" s="775" t="s">
        <v>201</v>
      </c>
      <c r="C90" s="775"/>
      <c r="D90" s="131">
        <v>9</v>
      </c>
      <c r="E90" s="128">
        <f>D90/D92</f>
        <v>3.9130434782608699E-2</v>
      </c>
      <c r="F90" s="134">
        <f>D90+'2019MAY'!F90</f>
        <v>238</v>
      </c>
      <c r="G90" s="128">
        <f>F90/F92</f>
        <v>0.16643356643356644</v>
      </c>
      <c r="H90" s="128"/>
    </row>
    <row r="91" spans="1:13" ht="15" customHeight="1">
      <c r="A91" s="774"/>
      <c r="B91" s="775" t="s">
        <v>202</v>
      </c>
      <c r="C91" s="775"/>
      <c r="D91" s="131">
        <v>239</v>
      </c>
      <c r="E91" s="128">
        <f>D91/D92</f>
        <v>1.0391304347826087</v>
      </c>
      <c r="F91" s="134">
        <f>D91+'2019MAY'!F91</f>
        <v>1316</v>
      </c>
      <c r="G91" s="128">
        <f>F91/F92</f>
        <v>0.92027972027972027</v>
      </c>
      <c r="H91" s="128"/>
    </row>
    <row r="92" spans="1:13" ht="15" customHeight="1">
      <c r="A92" s="774"/>
      <c r="B92" s="775" t="s">
        <v>203</v>
      </c>
      <c r="C92" s="775"/>
      <c r="D92" s="131">
        <v>230</v>
      </c>
      <c r="E92" s="130"/>
      <c r="F92" s="134">
        <f>D92+'2019MAY'!F92</f>
        <v>1430</v>
      </c>
      <c r="G92" s="130"/>
      <c r="H92" s="128"/>
    </row>
    <row r="93" spans="1:13">
      <c r="C93" s="126" t="s">
        <v>210</v>
      </c>
      <c r="D93" s="132">
        <v>756</v>
      </c>
    </row>
    <row r="94" spans="1:13" ht="14">
      <c r="A94" s="129" t="s">
        <v>211</v>
      </c>
    </row>
    <row r="95" spans="1:13" ht="14" thickBot="1"/>
    <row r="96" spans="1:13" ht="16.5" customHeight="1">
      <c r="A96" s="581" t="s">
        <v>65</v>
      </c>
      <c r="B96" s="582" t="s">
        <v>66</v>
      </c>
      <c r="C96" s="582" t="s">
        <v>50</v>
      </c>
      <c r="D96" s="582" t="s">
        <v>20</v>
      </c>
      <c r="E96" s="582"/>
      <c r="F96" s="582"/>
      <c r="G96" s="582" t="s">
        <v>21</v>
      </c>
      <c r="H96" s="582"/>
      <c r="I96" s="582"/>
      <c r="J96" s="582" t="s">
        <v>10</v>
      </c>
      <c r="K96" s="582"/>
      <c r="L96" s="582"/>
      <c r="M96" s="585"/>
    </row>
    <row r="97" spans="1:13">
      <c r="A97" s="583"/>
      <c r="B97" s="584"/>
      <c r="C97" s="584"/>
      <c r="D97" s="457" t="s">
        <v>23</v>
      </c>
      <c r="E97" s="457" t="s">
        <v>24</v>
      </c>
      <c r="F97" s="457" t="s">
        <v>25</v>
      </c>
      <c r="G97" s="457" t="s">
        <v>23</v>
      </c>
      <c r="H97" s="457" t="s">
        <v>24</v>
      </c>
      <c r="I97" s="457" t="s">
        <v>25</v>
      </c>
      <c r="J97" s="584"/>
      <c r="K97" s="584"/>
      <c r="L97" s="584"/>
      <c r="M97" s="586"/>
    </row>
    <row r="98" spans="1:13">
      <c r="A98" s="573" t="s">
        <v>67</v>
      </c>
      <c r="B98" s="525" t="s">
        <v>68</v>
      </c>
      <c r="C98" s="27" t="s">
        <v>69</v>
      </c>
      <c r="D98" s="65">
        <v>0</v>
      </c>
      <c r="E98" s="455">
        <v>0</v>
      </c>
      <c r="F98" s="37" t="e">
        <f>E98/D98</f>
        <v>#DIV/0!</v>
      </c>
      <c r="G98" s="66">
        <f>D98+'2019MAY'!G98</f>
        <v>0</v>
      </c>
      <c r="H98" s="66">
        <f>E98+'2019MAY'!H98</f>
        <v>1</v>
      </c>
      <c r="I98" s="37" t="e">
        <f>H98/G98</f>
        <v>#DIV/0!</v>
      </c>
      <c r="J98" s="596"/>
      <c r="K98" s="597"/>
      <c r="L98" s="597"/>
      <c r="M98" s="598"/>
    </row>
    <row r="99" spans="1:13">
      <c r="A99" s="573"/>
      <c r="B99" s="525"/>
      <c r="C99" s="27" t="s">
        <v>70</v>
      </c>
      <c r="D99" s="65">
        <v>39</v>
      </c>
      <c r="E99" s="455">
        <v>19</v>
      </c>
      <c r="F99" s="28">
        <f t="shared" ref="F99:F115" si="6">E99/D99</f>
        <v>0.48717948717948717</v>
      </c>
      <c r="G99" s="66">
        <f>D99+'2019MAY'!G99</f>
        <v>234</v>
      </c>
      <c r="H99" s="66">
        <f>E99+'2019MAY'!H99</f>
        <v>120</v>
      </c>
      <c r="I99" s="28">
        <f t="shared" ref="I99:I115" si="7">H99/G99</f>
        <v>0.51282051282051277</v>
      </c>
      <c r="J99" s="596"/>
      <c r="K99" s="597"/>
      <c r="L99" s="597"/>
      <c r="M99" s="598"/>
    </row>
    <row r="100" spans="1:13">
      <c r="A100" s="573"/>
      <c r="B100" s="525"/>
      <c r="C100" s="38" t="s">
        <v>71</v>
      </c>
      <c r="D100" s="456">
        <f>SUM(D98:D99)</f>
        <v>39</v>
      </c>
      <c r="E100" s="456">
        <f>SUM(E98:E99)</f>
        <v>19</v>
      </c>
      <c r="F100" s="30">
        <f t="shared" si="6"/>
        <v>0.48717948717948717</v>
      </c>
      <c r="G100" s="456">
        <f>SUM(G98:G99)</f>
        <v>234</v>
      </c>
      <c r="H100" s="456">
        <f>SUM(H98:H99)</f>
        <v>121</v>
      </c>
      <c r="I100" s="30">
        <f t="shared" si="7"/>
        <v>0.51709401709401714</v>
      </c>
      <c r="J100" s="599"/>
      <c r="K100" s="600"/>
      <c r="L100" s="600"/>
      <c r="M100" s="601"/>
    </row>
    <row r="101" spans="1:13">
      <c r="A101" s="573"/>
      <c r="B101" s="525" t="s">
        <v>72</v>
      </c>
      <c r="C101" s="27" t="s">
        <v>69</v>
      </c>
      <c r="D101" s="65">
        <v>0</v>
      </c>
      <c r="E101" s="455">
        <v>0</v>
      </c>
      <c r="F101" s="28" t="e">
        <f t="shared" si="6"/>
        <v>#DIV/0!</v>
      </c>
      <c r="G101" s="66">
        <f>D101+'2019MAY'!G101</f>
        <v>0</v>
      </c>
      <c r="H101" s="66">
        <f>E101+'2019MAY'!H101</f>
        <v>1</v>
      </c>
      <c r="I101" s="28" t="e">
        <f t="shared" si="7"/>
        <v>#DIV/0!</v>
      </c>
      <c r="J101" s="596"/>
      <c r="K101" s="597"/>
      <c r="L101" s="597"/>
      <c r="M101" s="598"/>
    </row>
    <row r="102" spans="1:13">
      <c r="A102" s="573"/>
      <c r="B102" s="525"/>
      <c r="C102" s="27" t="s">
        <v>70</v>
      </c>
      <c r="D102" s="65">
        <v>9</v>
      </c>
      <c r="E102" s="455">
        <v>8</v>
      </c>
      <c r="F102" s="28">
        <f t="shared" si="6"/>
        <v>0.88888888888888884</v>
      </c>
      <c r="G102" s="66">
        <f>D102+'2019MAY'!G102</f>
        <v>54</v>
      </c>
      <c r="H102" s="66">
        <f>E102+'2019MAY'!H102</f>
        <v>53</v>
      </c>
      <c r="I102" s="28">
        <f t="shared" si="7"/>
        <v>0.98148148148148151</v>
      </c>
      <c r="J102" s="596"/>
      <c r="K102" s="597"/>
      <c r="L102" s="597"/>
      <c r="M102" s="598"/>
    </row>
    <row r="103" spans="1:13">
      <c r="A103" s="573"/>
      <c r="B103" s="525"/>
      <c r="C103" s="38" t="s">
        <v>71</v>
      </c>
      <c r="D103" s="456">
        <f>SUM(D101:D102)</f>
        <v>9</v>
      </c>
      <c r="E103" s="456">
        <f>SUM(E101:E102)</f>
        <v>8</v>
      </c>
      <c r="F103" s="30">
        <f t="shared" si="6"/>
        <v>0.88888888888888884</v>
      </c>
      <c r="G103" s="456">
        <f>SUM(G101:G102)</f>
        <v>54</v>
      </c>
      <c r="H103" s="456">
        <f>SUM(H101:H102)</f>
        <v>54</v>
      </c>
      <c r="I103" s="30">
        <f t="shared" si="7"/>
        <v>1</v>
      </c>
      <c r="J103" s="599"/>
      <c r="K103" s="600"/>
      <c r="L103" s="600"/>
      <c r="M103" s="601"/>
    </row>
    <row r="104" spans="1:13">
      <c r="A104" s="573"/>
      <c r="B104" s="525" t="s">
        <v>73</v>
      </c>
      <c r="C104" s="27" t="s">
        <v>69</v>
      </c>
      <c r="D104" s="65">
        <v>8</v>
      </c>
      <c r="E104" s="455">
        <v>11</v>
      </c>
      <c r="F104" s="28">
        <f t="shared" si="6"/>
        <v>1.375</v>
      </c>
      <c r="G104" s="66">
        <f>D104+'2019MAY'!G104</f>
        <v>51</v>
      </c>
      <c r="H104" s="66">
        <f>E104+'2019MAY'!H104</f>
        <v>53</v>
      </c>
      <c r="I104" s="28">
        <f t="shared" si="7"/>
        <v>1.0392156862745099</v>
      </c>
      <c r="J104" s="596"/>
      <c r="K104" s="597"/>
      <c r="L104" s="597"/>
      <c r="M104" s="598"/>
    </row>
    <row r="105" spans="1:13">
      <c r="A105" s="573"/>
      <c r="B105" s="525"/>
      <c r="C105" s="27" t="s">
        <v>70</v>
      </c>
      <c r="D105" s="65">
        <v>114</v>
      </c>
      <c r="E105" s="455">
        <v>110</v>
      </c>
      <c r="F105" s="28">
        <f t="shared" si="6"/>
        <v>0.96491228070175439</v>
      </c>
      <c r="G105" s="66">
        <f>D105+'2019MAY'!G105</f>
        <v>560</v>
      </c>
      <c r="H105" s="66">
        <f>E105+'2019MAY'!H105</f>
        <v>496</v>
      </c>
      <c r="I105" s="28">
        <f t="shared" si="7"/>
        <v>0.88571428571428568</v>
      </c>
      <c r="J105" s="596"/>
      <c r="K105" s="597"/>
      <c r="L105" s="597"/>
      <c r="M105" s="598"/>
    </row>
    <row r="106" spans="1:13">
      <c r="A106" s="573"/>
      <c r="B106" s="525"/>
      <c r="C106" s="38" t="s">
        <v>71</v>
      </c>
      <c r="D106" s="456">
        <f>SUM(D104:D105)</f>
        <v>122</v>
      </c>
      <c r="E106" s="456">
        <f>SUM(E104:E105)</f>
        <v>121</v>
      </c>
      <c r="F106" s="30">
        <f t="shared" si="6"/>
        <v>0.99180327868852458</v>
      </c>
      <c r="G106" s="456">
        <f>SUM(G104:G105)</f>
        <v>611</v>
      </c>
      <c r="H106" s="456">
        <f>SUM(H104:H105)</f>
        <v>549</v>
      </c>
      <c r="I106" s="30">
        <f t="shared" si="7"/>
        <v>0.89852700490998361</v>
      </c>
      <c r="J106" s="599"/>
      <c r="K106" s="600"/>
      <c r="L106" s="600"/>
      <c r="M106" s="601"/>
    </row>
    <row r="107" spans="1:13">
      <c r="A107" s="573"/>
      <c r="B107" s="525" t="s">
        <v>74</v>
      </c>
      <c r="C107" s="27" t="s">
        <v>69</v>
      </c>
      <c r="D107" s="65">
        <v>2</v>
      </c>
      <c r="E107" s="455">
        <v>0</v>
      </c>
      <c r="F107" s="28">
        <f>E107/D107</f>
        <v>0</v>
      </c>
      <c r="G107" s="66">
        <f>D107+'2019MAY'!G107</f>
        <v>8</v>
      </c>
      <c r="H107" s="66">
        <f>E107+'2019MAY'!H107</f>
        <v>5</v>
      </c>
      <c r="I107" s="28">
        <f>H107/G107</f>
        <v>0.625</v>
      </c>
      <c r="J107" s="596"/>
      <c r="K107" s="597"/>
      <c r="L107" s="597"/>
      <c r="M107" s="598"/>
    </row>
    <row r="108" spans="1:13">
      <c r="A108" s="573"/>
      <c r="B108" s="525"/>
      <c r="C108" s="27" t="s">
        <v>70</v>
      </c>
      <c r="D108" s="65">
        <v>145</v>
      </c>
      <c r="E108" s="455">
        <v>140</v>
      </c>
      <c r="F108" s="28">
        <f>E108/D108</f>
        <v>0.96551724137931039</v>
      </c>
      <c r="G108" s="66">
        <f>D108+'2019MAY'!G108</f>
        <v>850</v>
      </c>
      <c r="H108" s="66">
        <f>E108+'2019MAY'!H108</f>
        <v>828</v>
      </c>
      <c r="I108" s="28">
        <f t="shared" si="7"/>
        <v>0.97411764705882353</v>
      </c>
      <c r="J108" s="596"/>
      <c r="K108" s="597"/>
      <c r="L108" s="597"/>
      <c r="M108" s="598"/>
    </row>
    <row r="109" spans="1:13">
      <c r="A109" s="573"/>
      <c r="B109" s="525"/>
      <c r="C109" s="38" t="s">
        <v>71</v>
      </c>
      <c r="D109" s="456">
        <f>SUM(D107:D108)</f>
        <v>147</v>
      </c>
      <c r="E109" s="456">
        <f>SUM(E107:E108)</f>
        <v>140</v>
      </c>
      <c r="F109" s="30">
        <f t="shared" si="6"/>
        <v>0.95238095238095233</v>
      </c>
      <c r="G109" s="456">
        <f>SUM(G107:G108)</f>
        <v>858</v>
      </c>
      <c r="H109" s="456">
        <f>SUM(H107:H108)</f>
        <v>833</v>
      </c>
      <c r="I109" s="30">
        <f t="shared" si="7"/>
        <v>0.97086247086247091</v>
      </c>
      <c r="J109" s="599"/>
      <c r="K109" s="600"/>
      <c r="L109" s="600"/>
      <c r="M109" s="601"/>
    </row>
    <row r="110" spans="1:13">
      <c r="A110" s="573"/>
      <c r="B110" s="776" t="s">
        <v>165</v>
      </c>
      <c r="C110" s="27" t="s">
        <v>69</v>
      </c>
      <c r="D110" s="65">
        <v>8</v>
      </c>
      <c r="E110" s="455">
        <v>3</v>
      </c>
      <c r="F110" s="30">
        <f>E110/D110</f>
        <v>0.375</v>
      </c>
      <c r="G110" s="66">
        <f>D110+'2019MAY'!G110</f>
        <v>54</v>
      </c>
      <c r="H110" s="66">
        <f>E110+'2019MAY'!H110</f>
        <v>43</v>
      </c>
      <c r="I110" s="30">
        <f>H110/G110</f>
        <v>0.79629629629629628</v>
      </c>
      <c r="J110" s="458"/>
      <c r="K110" s="459"/>
      <c r="L110" s="459"/>
      <c r="M110" s="460"/>
    </row>
    <row r="111" spans="1:13">
      <c r="A111" s="573"/>
      <c r="B111" s="777"/>
      <c r="C111" s="27" t="s">
        <v>70</v>
      </c>
      <c r="D111" s="65">
        <v>128</v>
      </c>
      <c r="E111" s="455">
        <v>109</v>
      </c>
      <c r="F111" s="30">
        <f t="shared" ref="F111:F112" si="8">E111/D111</f>
        <v>0.8515625</v>
      </c>
      <c r="G111" s="66">
        <f>D111+'2019MAY'!G111</f>
        <v>632</v>
      </c>
      <c r="H111" s="66">
        <f>E111+'2019MAY'!H111</f>
        <v>599</v>
      </c>
      <c r="I111" s="30">
        <f t="shared" ref="I111:I112" si="9">H111/G111</f>
        <v>0.94778481012658233</v>
      </c>
      <c r="J111" s="458"/>
      <c r="K111" s="459"/>
      <c r="L111" s="459"/>
      <c r="M111" s="460"/>
    </row>
    <row r="112" spans="1:13">
      <c r="A112" s="573"/>
      <c r="B112" s="778"/>
      <c r="C112" s="38" t="s">
        <v>166</v>
      </c>
      <c r="D112" s="456">
        <f>SUM(D110:D111)</f>
        <v>136</v>
      </c>
      <c r="E112" s="456">
        <f>SUM(E110:E111)</f>
        <v>112</v>
      </c>
      <c r="F112" s="30">
        <f t="shared" si="8"/>
        <v>0.82352941176470584</v>
      </c>
      <c r="G112" s="456">
        <f>SUM(G110:G111)</f>
        <v>686</v>
      </c>
      <c r="H112" s="456">
        <f>SUM(H110:H111)</f>
        <v>642</v>
      </c>
      <c r="I112" s="30">
        <f t="shared" si="9"/>
        <v>0.93586005830903785</v>
      </c>
      <c r="J112" s="458"/>
      <c r="K112" s="459"/>
      <c r="L112" s="459"/>
      <c r="M112" s="460"/>
    </row>
    <row r="113" spans="1:13">
      <c r="A113" s="573"/>
      <c r="B113" s="603" t="s">
        <v>46</v>
      </c>
      <c r="C113" s="39" t="s">
        <v>69</v>
      </c>
      <c r="D113" s="461">
        <f>SUM(D98,D101,D104,D107,D110)</f>
        <v>18</v>
      </c>
      <c r="E113" s="461">
        <f>SUM(E98,E101,E104,E107,E110)</f>
        <v>14</v>
      </c>
      <c r="F113" s="31">
        <f t="shared" si="6"/>
        <v>0.77777777777777779</v>
      </c>
      <c r="G113" s="461">
        <f>SUM(G98,G101,G104,G107,G110)</f>
        <v>113</v>
      </c>
      <c r="H113" s="461">
        <f>SUM(H98,H101,H104,H107,H110)</f>
        <v>103</v>
      </c>
      <c r="I113" s="31">
        <f t="shared" si="7"/>
        <v>0.91150442477876104</v>
      </c>
      <c r="J113" s="604"/>
      <c r="K113" s="605"/>
      <c r="L113" s="605"/>
      <c r="M113" s="606"/>
    </row>
    <row r="114" spans="1:13">
      <c r="A114" s="573"/>
      <c r="B114" s="603"/>
      <c r="C114" s="39" t="s">
        <v>70</v>
      </c>
      <c r="D114" s="461">
        <f>SUM(D99,D102,D105,D108,D111)</f>
        <v>435</v>
      </c>
      <c r="E114" s="461">
        <f>SUM(E99,E102,E105,E108,E111)</f>
        <v>386</v>
      </c>
      <c r="F114" s="31">
        <f t="shared" si="6"/>
        <v>0.88735632183908042</v>
      </c>
      <c r="G114" s="461">
        <f>SUM(G99,G102,G105,G108,G111)</f>
        <v>2330</v>
      </c>
      <c r="H114" s="461">
        <f>SUM(H99,H102,H105,H108,H111)</f>
        <v>2096</v>
      </c>
      <c r="I114" s="31">
        <f t="shared" si="7"/>
        <v>0.89957081545064377</v>
      </c>
      <c r="J114" s="604"/>
      <c r="K114" s="605"/>
      <c r="L114" s="605"/>
      <c r="M114" s="606"/>
    </row>
    <row r="115" spans="1:13" ht="14" thickBot="1">
      <c r="A115" s="623"/>
      <c r="B115" s="624"/>
      <c r="C115" s="40" t="s">
        <v>46</v>
      </c>
      <c r="D115" s="464">
        <f>SUM(D113:D114)</f>
        <v>453</v>
      </c>
      <c r="E115" s="464">
        <f>SUM(E113:E114)</f>
        <v>400</v>
      </c>
      <c r="F115" s="41">
        <f t="shared" si="6"/>
        <v>0.88300220750551872</v>
      </c>
      <c r="G115" s="464">
        <f>SUM(G113:G114)</f>
        <v>2443</v>
      </c>
      <c r="H115" s="464">
        <f>SUM(H113:H114)</f>
        <v>2199</v>
      </c>
      <c r="I115" s="41">
        <f t="shared" si="7"/>
        <v>0.90012279983626686</v>
      </c>
      <c r="J115" s="625"/>
      <c r="K115" s="626"/>
      <c r="L115" s="626"/>
      <c r="M115" s="627"/>
    </row>
    <row r="116" spans="1:13">
      <c r="A116" s="617" t="s">
        <v>75</v>
      </c>
      <c r="B116" s="619" t="s">
        <v>76</v>
      </c>
      <c r="C116" s="42" t="s">
        <v>69</v>
      </c>
      <c r="D116" s="69">
        <v>1</v>
      </c>
      <c r="E116" s="64">
        <v>0</v>
      </c>
      <c r="F116" s="43">
        <f>E116/D116</f>
        <v>0</v>
      </c>
      <c r="G116" s="70">
        <f>D116+'2019MAY'!G116</f>
        <v>4</v>
      </c>
      <c r="H116" s="70">
        <f>E116+'2019MAY'!H116</f>
        <v>3</v>
      </c>
      <c r="I116" s="43">
        <f>H116/G116</f>
        <v>0.75</v>
      </c>
      <c r="J116" s="620"/>
      <c r="K116" s="621"/>
      <c r="L116" s="621"/>
      <c r="M116" s="622"/>
    </row>
    <row r="117" spans="1:13" ht="13.5" customHeight="1">
      <c r="A117" s="562"/>
      <c r="B117" s="525"/>
      <c r="C117" s="27" t="s">
        <v>70</v>
      </c>
      <c r="D117" s="65">
        <v>80</v>
      </c>
      <c r="E117" s="455">
        <v>79</v>
      </c>
      <c r="F117" s="28">
        <f t="shared" ref="F117:F126" si="10">E117/D117</f>
        <v>0.98750000000000004</v>
      </c>
      <c r="G117" s="71">
        <f>D117+'2019MAY'!G117</f>
        <v>468</v>
      </c>
      <c r="H117" s="71">
        <f>E117+'2019MAY'!H117</f>
        <v>472</v>
      </c>
      <c r="I117" s="28">
        <f t="shared" ref="I117:I126" si="11">H117/G117</f>
        <v>1.0085470085470085</v>
      </c>
      <c r="J117" s="596"/>
      <c r="K117" s="597"/>
      <c r="L117" s="597"/>
      <c r="M117" s="598"/>
    </row>
    <row r="118" spans="1:13" ht="13.5" customHeight="1">
      <c r="A118" s="562"/>
      <c r="B118" s="525"/>
      <c r="C118" s="38" t="s">
        <v>71</v>
      </c>
      <c r="D118" s="456">
        <f>SUM(D116:D117)</f>
        <v>81</v>
      </c>
      <c r="E118" s="456">
        <f>SUM(E116:E117)</f>
        <v>79</v>
      </c>
      <c r="F118" s="30">
        <f t="shared" si="10"/>
        <v>0.97530864197530864</v>
      </c>
      <c r="G118" s="456">
        <f>SUM(G116:G117)</f>
        <v>472</v>
      </c>
      <c r="H118" s="456">
        <f>SUM(H116:H117)</f>
        <v>475</v>
      </c>
      <c r="I118" s="30">
        <f t="shared" si="11"/>
        <v>1.0063559322033899</v>
      </c>
      <c r="J118" s="599"/>
      <c r="K118" s="600"/>
      <c r="L118" s="600"/>
      <c r="M118" s="601"/>
    </row>
    <row r="119" spans="1:13" ht="13.5" customHeight="1">
      <c r="A119" s="562"/>
      <c r="B119" s="525" t="s">
        <v>77</v>
      </c>
      <c r="C119" s="27" t="s">
        <v>69</v>
      </c>
      <c r="D119" s="65">
        <v>1</v>
      </c>
      <c r="E119" s="455">
        <v>0</v>
      </c>
      <c r="F119" s="28">
        <f t="shared" si="10"/>
        <v>0</v>
      </c>
      <c r="G119" s="66">
        <f>D119+'2019MAY'!G119</f>
        <v>3</v>
      </c>
      <c r="H119" s="66">
        <f>E119+'2019MAY'!H119</f>
        <v>4</v>
      </c>
      <c r="I119" s="28">
        <f t="shared" si="11"/>
        <v>1.3333333333333333</v>
      </c>
      <c r="J119" s="596"/>
      <c r="K119" s="597"/>
      <c r="L119" s="597"/>
      <c r="M119" s="598"/>
    </row>
    <row r="120" spans="1:13" ht="13.5" customHeight="1">
      <c r="A120" s="562"/>
      <c r="B120" s="525"/>
      <c r="C120" s="27" t="s">
        <v>70</v>
      </c>
      <c r="D120" s="65">
        <v>54</v>
      </c>
      <c r="E120" s="455">
        <v>47</v>
      </c>
      <c r="F120" s="28">
        <f t="shared" si="10"/>
        <v>0.87037037037037035</v>
      </c>
      <c r="G120" s="66">
        <f>D120+'2019MAY'!G120</f>
        <v>316</v>
      </c>
      <c r="H120" s="66">
        <f>E120+'2019MAY'!H120</f>
        <v>278</v>
      </c>
      <c r="I120" s="28">
        <f t="shared" si="11"/>
        <v>0.879746835443038</v>
      </c>
      <c r="J120" s="596"/>
      <c r="K120" s="597"/>
      <c r="L120" s="597"/>
      <c r="M120" s="598"/>
    </row>
    <row r="121" spans="1:13" ht="13.5" customHeight="1">
      <c r="A121" s="562"/>
      <c r="B121" s="525"/>
      <c r="C121" s="38" t="s">
        <v>71</v>
      </c>
      <c r="D121" s="456">
        <f>SUM(D119:D120)</f>
        <v>55</v>
      </c>
      <c r="E121" s="456">
        <f>SUM(E119:E120)</f>
        <v>47</v>
      </c>
      <c r="F121" s="30">
        <f t="shared" si="10"/>
        <v>0.8545454545454545</v>
      </c>
      <c r="G121" s="456">
        <f>SUM(G119:G120)</f>
        <v>319</v>
      </c>
      <c r="H121" s="456">
        <f>SUM(H119:H120)</f>
        <v>282</v>
      </c>
      <c r="I121" s="30">
        <f t="shared" si="11"/>
        <v>0.88401253918495293</v>
      </c>
      <c r="J121" s="599"/>
      <c r="K121" s="600"/>
      <c r="L121" s="600"/>
      <c r="M121" s="601"/>
    </row>
    <row r="122" spans="1:13" ht="13.5" customHeight="1">
      <c r="A122" s="562"/>
      <c r="B122" s="603" t="s">
        <v>46</v>
      </c>
      <c r="C122" s="39" t="s">
        <v>69</v>
      </c>
      <c r="D122" s="461">
        <f>SUM(D116,D119)</f>
        <v>2</v>
      </c>
      <c r="E122" s="461">
        <f>SUM(E116,E119)</f>
        <v>0</v>
      </c>
      <c r="F122" s="30">
        <f t="shared" si="10"/>
        <v>0</v>
      </c>
      <c r="G122" s="461">
        <f>SUM(G116,G119)</f>
        <v>7</v>
      </c>
      <c r="H122" s="461">
        <f>SUM(H116,H119)</f>
        <v>7</v>
      </c>
      <c r="I122" s="30">
        <f t="shared" si="11"/>
        <v>1</v>
      </c>
      <c r="J122" s="604"/>
      <c r="K122" s="605"/>
      <c r="L122" s="605"/>
      <c r="M122" s="606"/>
    </row>
    <row r="123" spans="1:13" ht="13.5" customHeight="1">
      <c r="A123" s="562"/>
      <c r="B123" s="603"/>
      <c r="C123" s="39" t="s">
        <v>70</v>
      </c>
      <c r="D123" s="461">
        <f>SUM(D117,D120)</f>
        <v>134</v>
      </c>
      <c r="E123" s="461">
        <f>SUM(E117,E120)</f>
        <v>126</v>
      </c>
      <c r="F123" s="30">
        <f t="shared" si="10"/>
        <v>0.94029850746268662</v>
      </c>
      <c r="G123" s="461">
        <f>SUM(G117,G120)</f>
        <v>784</v>
      </c>
      <c r="H123" s="461">
        <f>SUM(H117,H120)</f>
        <v>750</v>
      </c>
      <c r="I123" s="30">
        <f t="shared" si="11"/>
        <v>0.95663265306122447</v>
      </c>
      <c r="J123" s="604"/>
      <c r="K123" s="605"/>
      <c r="L123" s="605"/>
      <c r="M123" s="606"/>
    </row>
    <row r="124" spans="1:13" ht="14.25" customHeight="1" thickBot="1">
      <c r="A124" s="618"/>
      <c r="B124" s="624"/>
      <c r="C124" s="40" t="s">
        <v>46</v>
      </c>
      <c r="D124" s="464">
        <f>SUM(D122:D123)</f>
        <v>136</v>
      </c>
      <c r="E124" s="464">
        <f>SUM(E122:E123)</f>
        <v>126</v>
      </c>
      <c r="F124" s="41">
        <f t="shared" si="10"/>
        <v>0.92647058823529416</v>
      </c>
      <c r="G124" s="464">
        <f>SUM(G122:G123)</f>
        <v>791</v>
      </c>
      <c r="H124" s="464">
        <f>SUM(H122:H123)</f>
        <v>757</v>
      </c>
      <c r="I124" s="41">
        <f t="shared" si="11"/>
        <v>0.95701643489254107</v>
      </c>
      <c r="J124" s="625"/>
      <c r="K124" s="626"/>
      <c r="L124" s="626"/>
      <c r="M124" s="627"/>
    </row>
    <row r="125" spans="1:13">
      <c r="A125" s="635" t="s">
        <v>46</v>
      </c>
      <c r="B125" s="635"/>
      <c r="C125" s="44" t="s">
        <v>69</v>
      </c>
      <c r="D125" s="466">
        <f>SUM(D113,D122)</f>
        <v>20</v>
      </c>
      <c r="E125" s="466">
        <f>SUM(E113,E122)</f>
        <v>14</v>
      </c>
      <c r="F125" s="45">
        <f t="shared" si="10"/>
        <v>0.7</v>
      </c>
      <c r="G125" s="46">
        <f>SUM(G113,G122)</f>
        <v>120</v>
      </c>
      <c r="H125" s="46">
        <f>SUM(H113,H122)</f>
        <v>110</v>
      </c>
      <c r="I125" s="45">
        <f t="shared" si="11"/>
        <v>0.91666666666666663</v>
      </c>
      <c r="J125" s="636"/>
      <c r="K125" s="637"/>
      <c r="L125" s="637"/>
      <c r="M125" s="638"/>
    </row>
    <row r="126" spans="1:13">
      <c r="A126" s="609"/>
      <c r="B126" s="609"/>
      <c r="C126" s="47" t="s">
        <v>70</v>
      </c>
      <c r="D126" s="462">
        <f>SUM(D114,D123)</f>
        <v>569</v>
      </c>
      <c r="E126" s="462">
        <f>SUM(E114,E123)</f>
        <v>512</v>
      </c>
      <c r="F126" s="32">
        <f t="shared" si="10"/>
        <v>0.89982425307557112</v>
      </c>
      <c r="G126" s="462">
        <f>SUM(G114,G123)</f>
        <v>3114</v>
      </c>
      <c r="H126" s="462">
        <f>SUM(H114,H123)</f>
        <v>2846</v>
      </c>
      <c r="I126" s="32">
        <f t="shared" si="11"/>
        <v>0.91393705844572892</v>
      </c>
      <c r="J126" s="639"/>
      <c r="K126" s="640"/>
      <c r="L126" s="640"/>
      <c r="M126" s="641"/>
    </row>
    <row r="127" spans="1:13">
      <c r="A127" s="609"/>
      <c r="B127" s="609"/>
      <c r="C127" s="48" t="s">
        <v>46</v>
      </c>
      <c r="D127" s="462">
        <f>SUM(D125:D126)</f>
        <v>589</v>
      </c>
      <c r="E127" s="462">
        <f>SUM(E125:E126)</f>
        <v>526</v>
      </c>
      <c r="F127" s="49">
        <f>E127/D127</f>
        <v>0.8930390492359932</v>
      </c>
      <c r="G127" s="466">
        <f>SUM(G125:G126)</f>
        <v>3234</v>
      </c>
      <c r="H127" s="466">
        <f>SUM(H125:H126)</f>
        <v>2956</v>
      </c>
      <c r="I127" s="49">
        <f>H127/G127</f>
        <v>0.91403834260977113</v>
      </c>
      <c r="J127" s="639"/>
      <c r="K127" s="640"/>
      <c r="L127" s="640"/>
      <c r="M127" s="641"/>
    </row>
    <row r="130" spans="1:12" ht="15" thickBot="1">
      <c r="A130" s="127" t="s">
        <v>78</v>
      </c>
    </row>
    <row r="131" spans="1:12">
      <c r="A131" s="642" t="s">
        <v>79</v>
      </c>
      <c r="B131" s="643"/>
      <c r="C131" s="644" t="s">
        <v>80</v>
      </c>
      <c r="D131" s="645"/>
      <c r="E131" s="644" t="s">
        <v>81</v>
      </c>
      <c r="F131" s="645"/>
      <c r="G131" s="644" t="s">
        <v>136</v>
      </c>
      <c r="H131" s="703"/>
      <c r="I131" s="769" t="s">
        <v>147</v>
      </c>
      <c r="J131" s="645"/>
      <c r="K131" s="646"/>
      <c r="L131" s="648"/>
    </row>
    <row r="132" spans="1:12" ht="15" customHeight="1">
      <c r="A132" s="628" t="s">
        <v>82</v>
      </c>
      <c r="B132" s="629"/>
      <c r="C132" s="779" t="s">
        <v>83</v>
      </c>
      <c r="D132" s="780"/>
      <c r="E132" s="779" t="s">
        <v>84</v>
      </c>
      <c r="F132" s="780"/>
      <c r="G132" s="779" t="s">
        <v>84</v>
      </c>
      <c r="H132" s="780"/>
      <c r="I132" s="779" t="s">
        <v>84</v>
      </c>
      <c r="J132" s="780"/>
      <c r="K132" s="632"/>
      <c r="L132" s="634"/>
    </row>
    <row r="133" spans="1:12" ht="15" customHeight="1">
      <c r="A133" s="628" t="s">
        <v>85</v>
      </c>
      <c r="B133" s="629"/>
      <c r="C133" s="779" t="s">
        <v>86</v>
      </c>
      <c r="D133" s="780"/>
      <c r="E133" s="779" t="s">
        <v>87</v>
      </c>
      <c r="F133" s="780"/>
      <c r="G133" s="779" t="s">
        <v>87</v>
      </c>
      <c r="H133" s="780"/>
      <c r="I133" s="630" t="s">
        <v>86</v>
      </c>
      <c r="J133" s="631"/>
      <c r="K133" s="632"/>
      <c r="L133" s="634"/>
    </row>
    <row r="134" spans="1:12" ht="15" customHeight="1">
      <c r="A134" s="628" t="s">
        <v>88</v>
      </c>
      <c r="B134" s="629"/>
      <c r="C134" s="779" t="s">
        <v>89</v>
      </c>
      <c r="D134" s="780"/>
      <c r="E134" s="779" t="s">
        <v>90</v>
      </c>
      <c r="F134" s="780"/>
      <c r="G134" s="779" t="s">
        <v>138</v>
      </c>
      <c r="H134" s="780"/>
      <c r="I134" s="630" t="s">
        <v>226</v>
      </c>
      <c r="J134" s="631"/>
      <c r="K134" s="632"/>
      <c r="L134" s="634"/>
    </row>
    <row r="135" spans="1:12">
      <c r="A135" s="628" t="s">
        <v>91</v>
      </c>
      <c r="B135" s="629"/>
      <c r="C135" s="649">
        <v>0</v>
      </c>
      <c r="D135" s="650"/>
      <c r="E135" s="649">
        <v>2</v>
      </c>
      <c r="F135" s="650"/>
      <c r="G135" s="649">
        <v>2</v>
      </c>
      <c r="H135" s="650"/>
      <c r="I135" s="649">
        <v>9</v>
      </c>
      <c r="J135" s="650"/>
      <c r="K135" s="632"/>
      <c r="L135" s="634"/>
    </row>
    <row r="136" spans="1:12">
      <c r="A136" s="628" t="s">
        <v>92</v>
      </c>
      <c r="B136" s="629"/>
      <c r="C136" s="779" t="s">
        <v>93</v>
      </c>
      <c r="D136" s="780"/>
      <c r="E136" s="779" t="s">
        <v>94</v>
      </c>
      <c r="F136" s="780"/>
      <c r="G136" s="779" t="s">
        <v>94</v>
      </c>
      <c r="H136" s="780"/>
      <c r="I136" s="779" t="s">
        <v>94</v>
      </c>
      <c r="J136" s="780"/>
      <c r="K136" s="632"/>
      <c r="L136" s="634"/>
    </row>
    <row r="137" spans="1:12">
      <c r="A137" s="628" t="s">
        <v>95</v>
      </c>
      <c r="B137" s="465" t="s">
        <v>96</v>
      </c>
      <c r="C137" s="779">
        <v>0</v>
      </c>
      <c r="D137" s="780"/>
      <c r="E137" s="779">
        <v>0</v>
      </c>
      <c r="F137" s="780"/>
      <c r="G137" s="779">
        <v>0</v>
      </c>
      <c r="H137" s="780"/>
      <c r="I137" s="630">
        <v>0</v>
      </c>
      <c r="J137" s="631"/>
      <c r="K137" s="632"/>
      <c r="L137" s="634"/>
    </row>
    <row r="138" spans="1:12">
      <c r="A138" s="628"/>
      <c r="B138" s="465" t="s">
        <v>97</v>
      </c>
      <c r="C138" s="779">
        <v>0</v>
      </c>
      <c r="D138" s="780"/>
      <c r="E138" s="779">
        <v>0</v>
      </c>
      <c r="F138" s="780"/>
      <c r="G138" s="779">
        <v>0</v>
      </c>
      <c r="H138" s="780"/>
      <c r="I138" s="630">
        <v>0</v>
      </c>
      <c r="J138" s="631"/>
      <c r="K138" s="632"/>
      <c r="L138" s="634"/>
    </row>
    <row r="139" spans="1:12">
      <c r="A139" s="628"/>
      <c r="B139" s="465" t="s">
        <v>98</v>
      </c>
      <c r="C139" s="784">
        <v>0</v>
      </c>
      <c r="D139" s="785"/>
      <c r="E139" s="784">
        <v>0</v>
      </c>
      <c r="F139" s="785"/>
      <c r="G139" s="784">
        <v>0</v>
      </c>
      <c r="H139" s="785"/>
      <c r="I139" s="630">
        <v>0</v>
      </c>
      <c r="J139" s="631"/>
      <c r="K139" s="653"/>
      <c r="L139" s="655"/>
    </row>
    <row r="140" spans="1:12">
      <c r="A140" s="628"/>
      <c r="B140" s="465" t="s">
        <v>99</v>
      </c>
      <c r="C140" s="656">
        <v>0</v>
      </c>
      <c r="D140" s="656"/>
      <c r="E140" s="656">
        <v>231</v>
      </c>
      <c r="F140" s="656"/>
      <c r="G140" s="656">
        <v>10</v>
      </c>
      <c r="H140" s="656"/>
      <c r="I140" s="770">
        <v>4863</v>
      </c>
      <c r="J140" s="771"/>
      <c r="K140" s="653"/>
      <c r="L140" s="655"/>
    </row>
    <row r="141" spans="1:12" ht="13.5" customHeight="1" thickBot="1">
      <c r="A141" s="673" t="s">
        <v>10</v>
      </c>
      <c r="B141" s="674"/>
      <c r="C141" s="675"/>
      <c r="D141" s="676"/>
      <c r="E141" s="675"/>
      <c r="F141" s="676"/>
      <c r="G141" s="660"/>
      <c r="H141" s="677"/>
      <c r="I141" s="660"/>
      <c r="J141" s="677"/>
      <c r="K141" s="660"/>
      <c r="L141" s="661"/>
    </row>
    <row r="142" spans="1:12">
      <c r="A142" s="50"/>
      <c r="B142" s="50"/>
      <c r="C142" s="51"/>
      <c r="D142" s="52"/>
      <c r="E142" s="52"/>
      <c r="F142" s="52"/>
      <c r="G142" s="52"/>
      <c r="H142" s="52"/>
    </row>
    <row r="144" spans="1:12" ht="15" thickBot="1">
      <c r="A144" s="127" t="s">
        <v>100</v>
      </c>
    </row>
    <row r="145" spans="1:13" ht="13.5" customHeight="1">
      <c r="A145" s="531" t="s">
        <v>101</v>
      </c>
      <c r="B145" s="533"/>
      <c r="C145" s="662" t="s">
        <v>221</v>
      </c>
      <c r="D145" s="663"/>
      <c r="E145" s="664"/>
      <c r="F145" s="662" t="s">
        <v>217</v>
      </c>
      <c r="G145" s="663"/>
      <c r="H145" s="663"/>
      <c r="I145" s="664"/>
      <c r="J145" s="663" t="s">
        <v>222</v>
      </c>
      <c r="K145" s="663"/>
      <c r="L145" s="663"/>
      <c r="M145" s="665"/>
    </row>
    <row r="146" spans="1:13" ht="47.25" customHeight="1">
      <c r="A146" s="716" t="s">
        <v>103</v>
      </c>
      <c r="B146" s="717"/>
      <c r="C146" s="718" t="s">
        <v>301</v>
      </c>
      <c r="D146" s="723"/>
      <c r="E146" s="724"/>
      <c r="F146" s="744" t="s">
        <v>300</v>
      </c>
      <c r="G146" s="748"/>
      <c r="H146" s="748"/>
      <c r="I146" s="749"/>
      <c r="J146" s="745" t="s">
        <v>302</v>
      </c>
      <c r="K146" s="748"/>
      <c r="L146" s="748"/>
      <c r="M146" s="750"/>
    </row>
    <row r="147" spans="1:13" ht="35.25" customHeight="1">
      <c r="A147" s="716" t="s">
        <v>104</v>
      </c>
      <c r="B147" s="717"/>
      <c r="C147" s="786"/>
      <c r="D147" s="787"/>
      <c r="E147" s="788"/>
      <c r="F147" s="786"/>
      <c r="G147" s="787"/>
      <c r="H147" s="787"/>
      <c r="I147" s="788"/>
      <c r="J147" s="781"/>
      <c r="K147" s="782"/>
      <c r="L147" s="782"/>
      <c r="M147" s="783"/>
    </row>
    <row r="148" spans="1:13" ht="67.5" customHeight="1">
      <c r="A148" s="716" t="s">
        <v>105</v>
      </c>
      <c r="B148" s="717"/>
      <c r="C148" s="718" t="s">
        <v>282</v>
      </c>
      <c r="D148" s="719"/>
      <c r="E148" s="720"/>
      <c r="F148" s="744" t="s">
        <v>282</v>
      </c>
      <c r="G148" s="745"/>
      <c r="H148" s="745"/>
      <c r="I148" s="746"/>
      <c r="J148" s="744" t="s">
        <v>282</v>
      </c>
      <c r="K148" s="745"/>
      <c r="L148" s="745"/>
      <c r="M148" s="766"/>
    </row>
    <row r="149" spans="1:13" ht="35.25" customHeight="1" thickBot="1">
      <c r="A149" s="733" t="s">
        <v>106</v>
      </c>
      <c r="B149" s="734"/>
      <c r="C149" s="772"/>
      <c r="D149" s="736"/>
      <c r="E149" s="737"/>
      <c r="F149" s="754" t="s">
        <v>15</v>
      </c>
      <c r="G149" s="755"/>
      <c r="H149" s="755"/>
      <c r="I149" s="756"/>
      <c r="J149" s="764" t="s">
        <v>15</v>
      </c>
      <c r="K149" s="755"/>
      <c r="L149" s="755"/>
      <c r="M149" s="765"/>
    </row>
    <row r="152" spans="1:13" ht="14">
      <c r="A152" s="127" t="s">
        <v>134</v>
      </c>
    </row>
    <row r="153" spans="1:13" ht="14" thickBot="1">
      <c r="A153" s="8" t="s">
        <v>107</v>
      </c>
    </row>
    <row r="154" spans="1:13" ht="27.75" customHeight="1">
      <c r="A154" s="53" t="s">
        <v>108</v>
      </c>
      <c r="B154" s="467" t="s">
        <v>109</v>
      </c>
      <c r="C154" s="467" t="s">
        <v>110</v>
      </c>
      <c r="D154" s="467" t="s">
        <v>111</v>
      </c>
      <c r="E154" s="701" t="s">
        <v>112</v>
      </c>
      <c r="F154" s="701"/>
      <c r="G154" s="701"/>
      <c r="H154" s="54" t="s">
        <v>113</v>
      </c>
    </row>
    <row r="155" spans="1:13" ht="40.5" customHeight="1" thickBot="1">
      <c r="A155" s="62"/>
      <c r="B155" s="291">
        <f>'2019MAY'!H155</f>
        <v>-34467</v>
      </c>
      <c r="C155" s="63">
        <f>E45-E44</f>
        <v>445590</v>
      </c>
      <c r="D155" s="73">
        <f>400000</f>
        <v>400000</v>
      </c>
      <c r="E155" s="681" t="s">
        <v>114</v>
      </c>
      <c r="F155" s="681"/>
      <c r="G155" s="681"/>
      <c r="H155" s="72">
        <f>C155+A155+B155-D155</f>
        <v>11123</v>
      </c>
    </row>
    <row r="156" spans="1:13" ht="14" thickBot="1">
      <c r="A156" s="8" t="s">
        <v>115</v>
      </c>
      <c r="D156" s="126" t="s">
        <v>135</v>
      </c>
    </row>
    <row r="157" spans="1:13" ht="17.25" customHeight="1">
      <c r="A157" s="55" t="s">
        <v>116</v>
      </c>
      <c r="B157" s="679" t="s">
        <v>117</v>
      </c>
      <c r="C157" s="679"/>
      <c r="D157" s="679"/>
      <c r="E157" s="679"/>
      <c r="F157" s="679"/>
      <c r="G157" s="680"/>
    </row>
    <row r="158" spans="1:13" ht="45" customHeight="1" thickBot="1">
      <c r="A158" s="56">
        <v>17000</v>
      </c>
      <c r="B158" s="681" t="s">
        <v>114</v>
      </c>
      <c r="C158" s="681"/>
      <c r="D158" s="681"/>
      <c r="E158" s="681"/>
      <c r="F158" s="681"/>
      <c r="G158" s="682"/>
    </row>
    <row r="160" spans="1:13" ht="14">
      <c r="A160" s="57" t="s">
        <v>118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</row>
    <row r="161" spans="1:11">
      <c r="A161" s="794" t="s">
        <v>50</v>
      </c>
      <c r="B161" s="794"/>
      <c r="C161" s="794"/>
      <c r="D161" s="794"/>
      <c r="E161" s="794"/>
      <c r="F161" s="794"/>
      <c r="G161" s="59" t="s">
        <v>119</v>
      </c>
      <c r="H161" s="795" t="s">
        <v>10</v>
      </c>
      <c r="I161" s="796"/>
      <c r="J161" s="796"/>
      <c r="K161" s="797"/>
    </row>
    <row r="162" spans="1:11">
      <c r="A162" s="793" t="s">
        <v>120</v>
      </c>
      <c r="B162" s="789" t="s">
        <v>121</v>
      </c>
      <c r="C162" s="789"/>
      <c r="D162" s="789"/>
      <c r="E162" s="789"/>
      <c r="F162" s="789"/>
      <c r="G162" s="60">
        <v>15</v>
      </c>
      <c r="H162" s="798"/>
      <c r="I162" s="799"/>
      <c r="J162" s="799"/>
      <c r="K162" s="800"/>
    </row>
    <row r="163" spans="1:11">
      <c r="A163" s="793"/>
      <c r="B163" s="789" t="s">
        <v>122</v>
      </c>
      <c r="C163" s="789"/>
      <c r="D163" s="789"/>
      <c r="E163" s="789"/>
      <c r="F163" s="789"/>
      <c r="G163" s="74">
        <v>78870</v>
      </c>
      <c r="H163" s="801"/>
      <c r="I163" s="802"/>
      <c r="J163" s="802"/>
      <c r="K163" s="803"/>
    </row>
    <row r="164" spans="1:11">
      <c r="A164" s="793" t="s">
        <v>123</v>
      </c>
      <c r="B164" s="789" t="s">
        <v>124</v>
      </c>
      <c r="C164" s="789"/>
      <c r="D164" s="789"/>
      <c r="E164" s="789"/>
      <c r="F164" s="789"/>
      <c r="G164" s="454"/>
      <c r="H164" s="790"/>
      <c r="I164" s="791"/>
      <c r="J164" s="791"/>
      <c r="K164" s="792"/>
    </row>
    <row r="165" spans="1:11">
      <c r="A165" s="793"/>
      <c r="B165" s="789" t="s">
        <v>125</v>
      </c>
      <c r="C165" s="789"/>
      <c r="D165" s="789"/>
      <c r="E165" s="789"/>
      <c r="F165" s="789"/>
      <c r="G165" s="75">
        <v>19037</v>
      </c>
      <c r="H165" s="790"/>
      <c r="I165" s="791"/>
      <c r="J165" s="791"/>
      <c r="K165" s="792"/>
    </row>
    <row r="166" spans="1:11" ht="14">
      <c r="A166" s="468" t="s">
        <v>126</v>
      </c>
      <c r="B166" s="789" t="s">
        <v>127</v>
      </c>
      <c r="C166" s="789"/>
      <c r="D166" s="789"/>
      <c r="E166" s="789"/>
      <c r="F166" s="789"/>
      <c r="G166" s="455">
        <v>1909</v>
      </c>
      <c r="H166" s="790"/>
      <c r="I166" s="791"/>
      <c r="J166" s="791"/>
      <c r="K166" s="792"/>
    </row>
    <row r="167" spans="1:11" ht="14">
      <c r="A167" s="468" t="s">
        <v>128</v>
      </c>
      <c r="B167" s="789" t="s">
        <v>129</v>
      </c>
      <c r="C167" s="789"/>
      <c r="D167" s="789"/>
      <c r="E167" s="789"/>
      <c r="F167" s="789"/>
      <c r="G167" s="454"/>
      <c r="H167" s="790"/>
      <c r="I167" s="791"/>
      <c r="J167" s="791"/>
      <c r="K167" s="792"/>
    </row>
  </sheetData>
  <mergeCells count="290">
    <mergeCell ref="A1:F1"/>
    <mergeCell ref="J3:K3"/>
    <mergeCell ref="L3:M3"/>
    <mergeCell ref="J5:K5"/>
    <mergeCell ref="L5:M5"/>
    <mergeCell ref="J6:K6"/>
    <mergeCell ref="L6:M6"/>
    <mergeCell ref="E15:I15"/>
    <mergeCell ref="A16:B16"/>
    <mergeCell ref="E16:I16"/>
    <mergeCell ref="A20:A21"/>
    <mergeCell ref="B20:C21"/>
    <mergeCell ref="D20:F20"/>
    <mergeCell ref="G20:I20"/>
    <mergeCell ref="J7:K7"/>
    <mergeCell ref="L7:M7"/>
    <mergeCell ref="A9:B9"/>
    <mergeCell ref="E9:I9"/>
    <mergeCell ref="A10:A15"/>
    <mergeCell ref="E10:I10"/>
    <mergeCell ref="E11:I11"/>
    <mergeCell ref="E12:I12"/>
    <mergeCell ref="E13:I13"/>
    <mergeCell ref="E14:I14"/>
    <mergeCell ref="J20:M21"/>
    <mergeCell ref="A22:M22"/>
    <mergeCell ref="A23:A28"/>
    <mergeCell ref="B23:B24"/>
    <mergeCell ref="J23:M23"/>
    <mergeCell ref="J24:M24"/>
    <mergeCell ref="B25:B27"/>
    <mergeCell ref="J25:M25"/>
    <mergeCell ref="J26:M26"/>
    <mergeCell ref="J27:M27"/>
    <mergeCell ref="B28:C28"/>
    <mergeCell ref="J28:M28"/>
    <mergeCell ref="A29:M29"/>
    <mergeCell ref="A30:A34"/>
    <mergeCell ref="B30:B32"/>
    <mergeCell ref="J30:M30"/>
    <mergeCell ref="J31:M31"/>
    <mergeCell ref="J32:M32"/>
    <mergeCell ref="B33:C33"/>
    <mergeCell ref="J33:M33"/>
    <mergeCell ref="J40:M40"/>
    <mergeCell ref="B41:C41"/>
    <mergeCell ref="J41:M41"/>
    <mergeCell ref="A42:C42"/>
    <mergeCell ref="J42:M42"/>
    <mergeCell ref="A43:C43"/>
    <mergeCell ref="J43:M43"/>
    <mergeCell ref="B34:C34"/>
    <mergeCell ref="J34:M34"/>
    <mergeCell ref="A35:A41"/>
    <mergeCell ref="B35:B37"/>
    <mergeCell ref="J35:M35"/>
    <mergeCell ref="J36:M36"/>
    <mergeCell ref="J37:M37"/>
    <mergeCell ref="B38:B40"/>
    <mergeCell ref="J38:M38"/>
    <mergeCell ref="J39:M39"/>
    <mergeCell ref="A47:C47"/>
    <mergeCell ref="J47:M47"/>
    <mergeCell ref="A51:C52"/>
    <mergeCell ref="D51:F51"/>
    <mergeCell ref="G51:I51"/>
    <mergeCell ref="J51:M52"/>
    <mergeCell ref="A44:C44"/>
    <mergeCell ref="J44:M44"/>
    <mergeCell ref="A45:C45"/>
    <mergeCell ref="J45:M45"/>
    <mergeCell ref="A46:C46"/>
    <mergeCell ref="J46:M46"/>
    <mergeCell ref="A53:A55"/>
    <mergeCell ref="B53:B55"/>
    <mergeCell ref="J53:M53"/>
    <mergeCell ref="J54:M54"/>
    <mergeCell ref="J55:M55"/>
    <mergeCell ref="A56:A58"/>
    <mergeCell ref="B56:C56"/>
    <mergeCell ref="J56:M56"/>
    <mergeCell ref="B57:C57"/>
    <mergeCell ref="J57:M57"/>
    <mergeCell ref="B58:C58"/>
    <mergeCell ref="J58:M58"/>
    <mergeCell ref="A59:A61"/>
    <mergeCell ref="B59:C59"/>
    <mergeCell ref="J59:M59"/>
    <mergeCell ref="B60:C60"/>
    <mergeCell ref="J60:M60"/>
    <mergeCell ref="B61:C61"/>
    <mergeCell ref="J61:M61"/>
    <mergeCell ref="A62:A64"/>
    <mergeCell ref="B62:B64"/>
    <mergeCell ref="J62:M62"/>
    <mergeCell ref="J63:M63"/>
    <mergeCell ref="J64:M64"/>
    <mergeCell ref="A65:A67"/>
    <mergeCell ref="B65:C65"/>
    <mergeCell ref="J65:M65"/>
    <mergeCell ref="B66:C66"/>
    <mergeCell ref="J66:M66"/>
    <mergeCell ref="B67:C67"/>
    <mergeCell ref="J67:M67"/>
    <mergeCell ref="A68:A70"/>
    <mergeCell ref="B68:C68"/>
    <mergeCell ref="J68:M68"/>
    <mergeCell ref="B69:C69"/>
    <mergeCell ref="J69:M69"/>
    <mergeCell ref="B70:C70"/>
    <mergeCell ref="J70:M70"/>
    <mergeCell ref="A71:A73"/>
    <mergeCell ref="B71:B73"/>
    <mergeCell ref="J71:M71"/>
    <mergeCell ref="J72:M72"/>
    <mergeCell ref="J73:M73"/>
    <mergeCell ref="A74:A76"/>
    <mergeCell ref="B74:C74"/>
    <mergeCell ref="J74:M74"/>
    <mergeCell ref="B75:C75"/>
    <mergeCell ref="J75:M75"/>
    <mergeCell ref="B76:C76"/>
    <mergeCell ref="J76:M76"/>
    <mergeCell ref="A77:A79"/>
    <mergeCell ref="B77:C77"/>
    <mergeCell ref="J77:M77"/>
    <mergeCell ref="B78:C78"/>
    <mergeCell ref="J78:M78"/>
    <mergeCell ref="B79:C79"/>
    <mergeCell ref="J79:M79"/>
    <mergeCell ref="A84:C85"/>
    <mergeCell ref="D84:E84"/>
    <mergeCell ref="F84:G84"/>
    <mergeCell ref="H84:H85"/>
    <mergeCell ref="A86:A89"/>
    <mergeCell ref="B86:C86"/>
    <mergeCell ref="B87:C87"/>
    <mergeCell ref="B88:C88"/>
    <mergeCell ref="B89:C89"/>
    <mergeCell ref="A98:A115"/>
    <mergeCell ref="B98:B100"/>
    <mergeCell ref="J98:M98"/>
    <mergeCell ref="J99:M99"/>
    <mergeCell ref="J100:M100"/>
    <mergeCell ref="B101:B103"/>
    <mergeCell ref="J101:M101"/>
    <mergeCell ref="A90:A92"/>
    <mergeCell ref="B90:C90"/>
    <mergeCell ref="B91:C91"/>
    <mergeCell ref="B92:C92"/>
    <mergeCell ref="A96:A97"/>
    <mergeCell ref="B96:B97"/>
    <mergeCell ref="C96:C97"/>
    <mergeCell ref="J102:M102"/>
    <mergeCell ref="J103:M103"/>
    <mergeCell ref="B104:B106"/>
    <mergeCell ref="J104:M104"/>
    <mergeCell ref="J105:M105"/>
    <mergeCell ref="J106:M106"/>
    <mergeCell ref="D96:F96"/>
    <mergeCell ref="G96:I96"/>
    <mergeCell ref="J96:M97"/>
    <mergeCell ref="B107:B109"/>
    <mergeCell ref="J107:M107"/>
    <mergeCell ref="J108:M108"/>
    <mergeCell ref="J109:M109"/>
    <mergeCell ref="B110:B112"/>
    <mergeCell ref="B113:B115"/>
    <mergeCell ref="J113:M113"/>
    <mergeCell ref="J114:M114"/>
    <mergeCell ref="J115:M115"/>
    <mergeCell ref="J122:M122"/>
    <mergeCell ref="J123:M123"/>
    <mergeCell ref="J124:M124"/>
    <mergeCell ref="A125:B127"/>
    <mergeCell ref="J125:M125"/>
    <mergeCell ref="J126:M126"/>
    <mergeCell ref="J127:M127"/>
    <mergeCell ref="A116:A124"/>
    <mergeCell ref="B116:B118"/>
    <mergeCell ref="J116:M116"/>
    <mergeCell ref="J117:M117"/>
    <mergeCell ref="J118:M118"/>
    <mergeCell ref="B119:B121"/>
    <mergeCell ref="J119:M119"/>
    <mergeCell ref="J120:M120"/>
    <mergeCell ref="J121:M121"/>
    <mergeCell ref="B122:B124"/>
    <mergeCell ref="A132:B132"/>
    <mergeCell ref="C132:D132"/>
    <mergeCell ref="E132:F132"/>
    <mergeCell ref="G132:H132"/>
    <mergeCell ref="I132:J132"/>
    <mergeCell ref="K132:L132"/>
    <mergeCell ref="A131:B131"/>
    <mergeCell ref="C131:D131"/>
    <mergeCell ref="E131:F131"/>
    <mergeCell ref="G131:H131"/>
    <mergeCell ref="I131:J131"/>
    <mergeCell ref="K131:L131"/>
    <mergeCell ref="A134:B134"/>
    <mergeCell ref="C134:D134"/>
    <mergeCell ref="E134:F134"/>
    <mergeCell ref="G134:H134"/>
    <mergeCell ref="I134:J134"/>
    <mergeCell ref="K134:L134"/>
    <mergeCell ref="A133:B133"/>
    <mergeCell ref="C133:D133"/>
    <mergeCell ref="E133:F133"/>
    <mergeCell ref="G133:H133"/>
    <mergeCell ref="I133:J133"/>
    <mergeCell ref="K133:L133"/>
    <mergeCell ref="A136:B136"/>
    <mergeCell ref="C136:D136"/>
    <mergeCell ref="E136:F136"/>
    <mergeCell ref="G136:H136"/>
    <mergeCell ref="I136:J136"/>
    <mergeCell ref="K136:L136"/>
    <mergeCell ref="A135:B135"/>
    <mergeCell ref="C135:D135"/>
    <mergeCell ref="E135:F135"/>
    <mergeCell ref="G135:H135"/>
    <mergeCell ref="I135:J135"/>
    <mergeCell ref="K135:L135"/>
    <mergeCell ref="K138:L138"/>
    <mergeCell ref="C139:D139"/>
    <mergeCell ref="E139:F139"/>
    <mergeCell ref="G139:H139"/>
    <mergeCell ref="I139:J139"/>
    <mergeCell ref="K139:L139"/>
    <mergeCell ref="A137:A140"/>
    <mergeCell ref="C137:D137"/>
    <mergeCell ref="E137:F137"/>
    <mergeCell ref="G137:H137"/>
    <mergeCell ref="I137:J137"/>
    <mergeCell ref="K137:L137"/>
    <mergeCell ref="C138:D138"/>
    <mergeCell ref="E138:F138"/>
    <mergeCell ref="G138:H138"/>
    <mergeCell ref="I138:J138"/>
    <mergeCell ref="C140:D140"/>
    <mergeCell ref="E140:F140"/>
    <mergeCell ref="G140:H140"/>
    <mergeCell ref="I140:J140"/>
    <mergeCell ref="K140:L140"/>
    <mergeCell ref="A148:B148"/>
    <mergeCell ref="C148:E148"/>
    <mergeCell ref="F148:I148"/>
    <mergeCell ref="J148:M148"/>
    <mergeCell ref="K141:L141"/>
    <mergeCell ref="A145:B145"/>
    <mergeCell ref="C145:E145"/>
    <mergeCell ref="F145:I145"/>
    <mergeCell ref="J145:M145"/>
    <mergeCell ref="A146:B146"/>
    <mergeCell ref="C146:E146"/>
    <mergeCell ref="F146:I146"/>
    <mergeCell ref="J146:M146"/>
    <mergeCell ref="A141:B141"/>
    <mergeCell ref="C141:D141"/>
    <mergeCell ref="E141:F141"/>
    <mergeCell ref="G141:H141"/>
    <mergeCell ref="I141:J141"/>
    <mergeCell ref="A147:B147"/>
    <mergeCell ref="C147:E147"/>
    <mergeCell ref="F147:I147"/>
    <mergeCell ref="J147:M147"/>
    <mergeCell ref="B157:G157"/>
    <mergeCell ref="B158:G158"/>
    <mergeCell ref="A161:F161"/>
    <mergeCell ref="H161:K161"/>
    <mergeCell ref="A162:A163"/>
    <mergeCell ref="B162:F162"/>
    <mergeCell ref="H162:K163"/>
    <mergeCell ref="B163:F163"/>
    <mergeCell ref="A149:B149"/>
    <mergeCell ref="C149:E149"/>
    <mergeCell ref="F149:I149"/>
    <mergeCell ref="J149:M149"/>
    <mergeCell ref="E154:G154"/>
    <mergeCell ref="E155:G155"/>
    <mergeCell ref="B167:F167"/>
    <mergeCell ref="H167:K167"/>
    <mergeCell ref="A164:A165"/>
    <mergeCell ref="B164:F164"/>
    <mergeCell ref="H164:K164"/>
    <mergeCell ref="B165:F165"/>
    <mergeCell ref="H165:K165"/>
    <mergeCell ref="B166:F166"/>
    <mergeCell ref="H166:K166"/>
  </mergeCells>
  <phoneticPr fontId="20"/>
  <dataValidations count="2">
    <dataValidation type="list" allowBlank="1" showInputMessage="1" showErrorMessage="1" sqref="G1" xr:uid="{7332A690-4775-4C5D-AD0C-7D8427DBB00D}">
      <formula1>"Jan, Feb, March, April, May, June, July, Aug, Sep, Oct, Nov, Dec"</formula1>
    </dataValidation>
    <dataValidation type="list" allowBlank="1" showInputMessage="1" showErrorMessage="1" sqref="L3" xr:uid="{0120D53E-622B-4357-8E97-9232807EC4B6}">
      <formula1>"USA, JAPAN"</formula1>
    </dataValidation>
  </dataValidations>
  <pageMargins left="0" right="0" top="0" bottom="0" header="0" footer="0"/>
  <pageSetup paperSize="9" scale="60" fitToHeight="0" orientation="portrait" r:id="rId1"/>
  <rowBreaks count="1" manualBreakCount="1">
    <brk id="150" max="12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30</vt:i4>
      </vt:variant>
    </vt:vector>
  </HeadingPairs>
  <TitlesOfParts>
    <vt:vector size="61" baseType="lpstr">
      <vt:lpstr>Data</vt:lpstr>
      <vt:lpstr>2017JAN</vt:lpstr>
      <vt:lpstr>2017FEB</vt:lpstr>
      <vt:lpstr>2017MAR</vt:lpstr>
      <vt:lpstr>2017APR</vt:lpstr>
      <vt:lpstr>2017MAY</vt:lpstr>
      <vt:lpstr>2017JUN</vt:lpstr>
      <vt:lpstr>2017JUL</vt:lpstr>
      <vt:lpstr>2017AUG</vt:lpstr>
      <vt:lpstr>2017SEP</vt:lpstr>
      <vt:lpstr>2017OCT</vt:lpstr>
      <vt:lpstr>2017NOV</vt:lpstr>
      <vt:lpstr>2017DEC</vt:lpstr>
      <vt:lpstr>2018JAN</vt:lpstr>
      <vt:lpstr>2018FEB</vt:lpstr>
      <vt:lpstr>2018MAR</vt:lpstr>
      <vt:lpstr>2018APR</vt:lpstr>
      <vt:lpstr>2018MAY</vt:lpstr>
      <vt:lpstr>2018JUN</vt:lpstr>
      <vt:lpstr>2018JUL</vt:lpstr>
      <vt:lpstr>2018AUG</vt:lpstr>
      <vt:lpstr>2018SEP</vt:lpstr>
      <vt:lpstr>2018OCT</vt:lpstr>
      <vt:lpstr>2018NOV</vt:lpstr>
      <vt:lpstr>2018DEC</vt:lpstr>
      <vt:lpstr>2019JAN</vt:lpstr>
      <vt:lpstr>2019FEB</vt:lpstr>
      <vt:lpstr>2019MAR</vt:lpstr>
      <vt:lpstr>2019APR</vt:lpstr>
      <vt:lpstr>2019MAY</vt:lpstr>
      <vt:lpstr>2019JUN</vt:lpstr>
      <vt:lpstr>'2017APR'!Print_Area</vt:lpstr>
      <vt:lpstr>'2017AUG'!Print_Area</vt:lpstr>
      <vt:lpstr>'2017DEC'!Print_Area</vt:lpstr>
      <vt:lpstr>'2017FEB'!Print_Area</vt:lpstr>
      <vt:lpstr>'2017JAN'!Print_Area</vt:lpstr>
      <vt:lpstr>'2017JUL'!Print_Area</vt:lpstr>
      <vt:lpstr>'2017JUN'!Print_Area</vt:lpstr>
      <vt:lpstr>'2017MAR'!Print_Area</vt:lpstr>
      <vt:lpstr>'2017MAY'!Print_Area</vt:lpstr>
      <vt:lpstr>'2017NOV'!Print_Area</vt:lpstr>
      <vt:lpstr>'2017OCT'!Print_Area</vt:lpstr>
      <vt:lpstr>'2017SEP'!Print_Area</vt:lpstr>
      <vt:lpstr>'2018APR'!Print_Area</vt:lpstr>
      <vt:lpstr>'2018AUG'!Print_Area</vt:lpstr>
      <vt:lpstr>'2018DEC'!Print_Area</vt:lpstr>
      <vt:lpstr>'2018FEB'!Print_Area</vt:lpstr>
      <vt:lpstr>'2018JAN'!Print_Area</vt:lpstr>
      <vt:lpstr>'2018JUL'!Print_Area</vt:lpstr>
      <vt:lpstr>'2018JUN'!Print_Area</vt:lpstr>
      <vt:lpstr>'2018MAR'!Print_Area</vt:lpstr>
      <vt:lpstr>'2018MAY'!Print_Area</vt:lpstr>
      <vt:lpstr>'2018NOV'!Print_Area</vt:lpstr>
      <vt:lpstr>'2018OCT'!Print_Area</vt:lpstr>
      <vt:lpstr>'2018SEP'!Print_Area</vt:lpstr>
      <vt:lpstr>'2019APR'!Print_Area</vt:lpstr>
      <vt:lpstr>'2019FEB'!Print_Area</vt:lpstr>
      <vt:lpstr>'2019JAN'!Print_Area</vt:lpstr>
      <vt:lpstr>'2019JUN'!Print_Area</vt:lpstr>
      <vt:lpstr>'2019MAR'!Print_Area</vt:lpstr>
      <vt:lpstr>'2019MAY'!Print_Area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GiminKim</dc:creator>
  <cp:lastModifiedBy>Microsoft Office User</cp:lastModifiedBy>
  <dcterms:created xsi:type="dcterms:W3CDTF">2017-02-21T03:49:21Z</dcterms:created>
  <dcterms:modified xsi:type="dcterms:W3CDTF">2019-08-28T18:11:21Z</dcterms:modified>
</cp:coreProperties>
</file>